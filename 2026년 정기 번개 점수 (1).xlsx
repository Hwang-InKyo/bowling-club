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F:\일 산 아르케 존\2026년\아르케 존 점수현황\"/>
    </mc:Choice>
  </mc:AlternateContent>
  <x:bookViews>
    <x:workbookView xWindow="0" yWindow="0" windowWidth="19770" windowHeight="11190" tabRatio="703" activeTab="4"/>
  </x:bookViews>
  <x:sheets>
    <x:sheet name="회원명단 및 기준에버" sheetId="1" r:id="rId4"/>
    <x:sheet name="00회번개 6인팀" sheetId="2" r:id="rId5"/>
    <x:sheet name="00회번개 5인팀" sheetId="3" r:id="rId6"/>
    <x:sheet name="00회번개 4인팀" sheetId="4" r:id="rId7"/>
    <x:sheet name="07회번개" sheetId="5" r:id="rId8"/>
    <x:sheet name="06회번개" sheetId="6" r:id="rId9"/>
    <x:sheet name="05회번개" sheetId="7" r:id="rId10"/>
    <x:sheet name="04회번개" sheetId="8" r:id="rId11"/>
    <x:sheet name="03회번개" sheetId="9" r:id="rId12"/>
    <x:sheet name="02회번개" sheetId="10" r:id="rId13"/>
    <x:sheet name="01회번개" sheetId="11" r:id="rId1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<x:sst xmlns:r="http://schemas.openxmlformats.org/officeDocument/2006/relationships" xmlns:c="http://schemas.openxmlformats.org/drawingml/2006/chart" xmlns:x="http://schemas.openxmlformats.org/spreadsheetml/2006/main" count="1667" uniqueCount="68">
  <x:si>
    <x:t>순위에버오차기준</x:t>
  </x:si>
  <x:si>
    <x:t>최    진</x:t>
  </x:si>
  <x:si>
    <x:t>박 성 현</x:t>
  </x:si>
  <x:si>
    <x:t>나 경 주</x:t>
  </x:si>
  <x:si>
    <x:t>박 시 진</x:t>
  </x:si>
  <x:si>
    <x:t>김 선 미</x:t>
  </x:si>
  <x:si>
    <x:t>이 재 용</x:t>
  </x:si>
  <x:si>
    <x:t>장 영 민</x:t>
  </x:si>
  <x:si>
    <x:t>엄 정 도</x:t>
  </x:si>
  <x:si>
    <x:t>천 성 일</x:t>
  </x:si>
  <x:si>
    <x:t>임 승 기</x:t>
  </x:si>
  <x:si>
    <x:t>이 상 현</x:t>
  </x:si>
  <x:si>
    <x:t>이 정 석</x:t>
  </x:si>
  <x:si>
    <x:t>이 승 미</x:t>
  </x:si>
  <x:si>
    <x:t xml:space="preserve">이 름 </x:t>
  </x:si>
  <x:si>
    <x:t>송 정 현</x:t>
  </x:si>
  <x:si>
    <x:t>변 상 필</x:t>
  </x:si>
  <x:si>
    <x:t>황 인 교</x:t>
  </x:si>
  <x:si>
    <x:t>팀전에버기준</x:t>
  </x:si>
  <x:si>
    <x:t>최 현 수</x:t>
  </x:si>
  <x:si>
    <x:t>지 옥 명</x:t>
  </x:si>
  <x:si>
    <x:t>팀    전</x:t>
  </x:si>
  <x:si>
    <x:t>강 완 규</x:t>
  </x:si>
  <x:si>
    <x:t>정 영 우</x:t>
  </x:si>
  <x:si>
    <x:t>김 규 희</x:t>
  </x:si>
  <x:si>
    <x:t>임 연 진</x:t>
  </x:si>
  <x:si>
    <x:t>김 남 주</x:t>
  </x:si>
  <x:si>
    <x:t>강 희 태</x:t>
  </x:si>
  <x:si>
    <x:t>김 정 희</x:t>
  </x:si>
  <x:si>
    <x:t>이 대 용</x:t>
  </x:si>
  <x:si>
    <x:t>윤    주</x:t>
  </x:si>
  <x:si>
    <x:t>김 태 환</x:t>
  </x:si>
  <x:si>
    <x:t>김 태 호</x:t>
  </x:si>
  <x:si>
    <x:t>이 우 석</x:t>
  </x:si>
  <x:si>
    <x:t>김 미 란</x:t>
  </x:si>
  <x:si>
    <x:t>기준 에버</x:t>
  </x:si>
  <x:si>
    <x:t>진 명 옥</x:t>
  </x:si>
  <x:si>
    <x:t>손 은 주</x:t>
  </x:si>
  <x:si>
    <x:t>고 경 훈</x:t>
  </x:si>
  <x:si>
    <x:t>김 종 훈</x:t>
  </x:si>
  <x:si>
    <x:t>이 범 수</x:t>
  </x:si>
  <x:si>
    <x:t>기본에버</x:t>
  </x:si>
  <x:si>
    <x:t/>
  </x:si>
  <x:si>
    <x:t>4분기</x:t>
  </x:si>
  <x:si>
    <x:t>1 G</x:t>
  </x:si>
  <x:si>
    <x:t>순번</x:t>
  </x:si>
  <x:si>
    <x:t>2분기</x:t>
  </x:si>
  <x:si>
    <x:t>에 버</x:t>
  </x:si>
  <x:si>
    <x:t>날짜</x:t>
  </x:si>
  <x:si>
    <x:t>최 진</x:t>
  </x:si>
  <x:si>
    <x:t>1분기</x:t>
  </x:si>
  <x:si>
    <x:t>이름</x:t>
  </x:si>
  <x:si>
    <x:t>합 계</x:t>
  </x:si>
  <x:si>
    <x:t>4G</x:t>
  </x:si>
  <x:si>
    <x:t>3 G</x:t>
  </x:si>
  <x:si>
    <x:t>2 G</x:t>
  </x:si>
  <x:si>
    <x:t>오 차</x:t>
  </x:si>
  <x:si>
    <x:t>3분기</x:t>
  </x:si>
  <x:si>
    <x:t>수식입력부분 삭제하지마세요~</x:t>
  </x:si>
  <x:si>
    <x:t>2026 아르케 존 00회 정기 번개 점수</x:t>
  </x:si>
  <x:si>
    <x:t>2026 아르케 존 00회 번개 모임 점수</x:t>
  </x:si>
  <x:si>
    <x:t>2026 아르케 존 02회 번개 모임 점수</x:t>
  </x:si>
  <x:si>
    <x:t>2026 아르케 존 01회 번개 모임 점수</x:t>
  </x:si>
  <x:si>
    <x:t>2026 아르케 존 05회 번개 모임 점수</x:t>
  </x:si>
  <x:si>
    <x:t>2026 아르케 존 04회 번개 모임 점수</x:t>
  </x:si>
  <x:si>
    <x:t>2026 아르케 존 03회 번개 모임 점수</x:t>
  </x:si>
  <x:si>
    <x:t>2026 아르케 존 06회 번개 모임 점수</x:t>
  </x:si>
  <x:si>
    <x:t>2026 아르케 존 07회 번개 모임 점수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</x:si>
</x:sst>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_ ;[Red]\-0\ "/>
    <x:numFmt numFmtId="165" formatCode="#,##0_);[Red]\(#,##0\)"/>
    <x:numFmt numFmtId="166" formatCode="0;[Red]0"/>
    <x:numFmt numFmtId="167" formatCode="0.0"/>
    <x:numFmt numFmtId="168" formatCode="0.0_ ;[Red]\-0.0\ "/>
  </x:numFmts>
  <x:fonts count="2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궁서체"/>
      <x:sz val="11"/>
      <x:color rgb="ff000000"/>
    </x:font>
    <x:font>
      <x:name val="궁서체"/>
      <x:sz val="12"/>
      <x:color rgb="ff000000"/>
    </x:font>
    <x:font>
      <x:name val="궁서체"/>
      <x:sz val="12"/>
      <x:color rgb="ff0000ff"/>
    </x:font>
    <x:font>
      <x:name val="맑은 고딕"/>
      <x:sz val="12"/>
      <x:color rgb="ff000000"/>
    </x:fo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궁서체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궁서체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9"/>
          <x:color rgb="ff00b0f0"/>
          <x:b val="1"/>
          <hs:size val="100"/>
          <hs:ratio val="100"/>
          <hs:spacing val="0"/>
          <hs:offset val="0"/>
        </x:font>
      </mc:Choice>
      <mc:Fallback>
        <x:font>
          <x:name val="궁서체"/>
          <x:sz val="19"/>
          <x:color rgb="ff00b0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1"/>
          <x:color rgb="ff00b0f0"/>
          <x:b val="1"/>
          <hs:size val="100"/>
          <hs:ratio val="100"/>
          <hs:spacing val="0"/>
          <hs:offset val="0"/>
        </x:font>
      </mc:Choice>
      <mc:Fallback>
        <x:font>
          <x:name val="궁서체"/>
          <x:sz val="11"/>
          <x:color rgb="ff00b0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3"/>
          <x:color rgb="ff0000ff"/>
          <hs:size val="100"/>
          <hs:ratio val="100"/>
          <hs:spacing val="0"/>
          <hs:offset val="0"/>
        </x:font>
      </mc:Choice>
      <mc:Fallback>
        <x:font>
          <x:name val="궁서체"/>
          <x:sz val="13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6"/>
          <x:color rgb="ff0000ff"/>
          <hs:size val="100"/>
          <hs:ratio val="100"/>
          <hs:spacing val="0"/>
          <hs:offset val="0"/>
        </x:font>
      </mc:Choice>
      <mc:Fallback>
        <x:font>
          <x:name val="궁서체"/>
          <x:sz val="16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22"/>
          <x:color rgb="ffff33cc"/>
          <hs:size val="100"/>
          <hs:ratio val="100"/>
          <hs:spacing val="0"/>
          <hs:offset val="0"/>
        </x:font>
      </mc:Choice>
      <mc:Fallback>
        <x:font>
          <x:name val="궁서체"/>
          <x:sz val="22"/>
          <x:color rgb="ffff33c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궁서체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3"/>
          <x:color rgb="ffff0000"/>
          <hs:size val="100"/>
          <hs:ratio val="100"/>
          <hs:spacing val="0"/>
          <hs:offset val="0"/>
        </x:font>
      </mc:Choice>
      <mc:Fallback>
        <x:font>
          <x:name val="궁서체"/>
          <x:sz val="13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2"/>
          <x:color rgb="ffff0000"/>
          <hs:size val="100"/>
          <hs:ratio val="100"/>
          <hs:spacing val="0"/>
          <hs:offset val="0"/>
        </x:font>
      </mc:Choice>
      <mc:Fallback>
        <x:font>
          <x:name val="궁서체"/>
          <x:sz val="12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20"/>
          <x:color rgb="ff0000ff"/>
          <hs:size val="100"/>
          <hs:ratio val="100"/>
          <hs:spacing val="0"/>
          <hs:offset val="0"/>
        </x:font>
      </mc:Choice>
      <mc:Fallback>
        <x:font>
          <x:name val="궁서체"/>
          <x:sz val="20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1"/>
          <x:color rgb="ff00b0f0"/>
          <hs:size val="100"/>
          <hs:ratio val="100"/>
          <hs:spacing val="0"/>
          <hs:offset val="0"/>
        </x:font>
      </mc:Choice>
      <mc:Fallback>
        <x:font>
          <x:name val="궁서체"/>
          <x:sz val="11"/>
          <x:color rgb="ff00b0f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6"/>
          <x:color rgb="ffff0000"/>
          <hs:size val="100"/>
          <hs:ratio val="100"/>
          <hs:spacing val="0"/>
          <hs:offset val="0"/>
        </x:font>
      </mc:Choice>
      <mc:Fallback>
        <x:font>
          <x:name val="궁서체"/>
          <x:sz val="16"/>
          <x:color rgb="ffff0000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96b3d7"/>
        <x:bgColor indexed="64"/>
      </x:patternFill>
    </x:fill>
    <x:fill>
      <x:patternFill patternType="solid">
        <x:fgColor rgb="ffebf1de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dbeef3"/>
        <x:bgColor indexed="64"/>
      </x:patternFill>
    </x:fill>
  </x:fills>
  <x:borders count="40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ck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ck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thick">
        <x:color indexed="64"/>
      </x:right>
      <x:top style="medium">
        <x:color indexed="64"/>
      </x:top>
      <x:bottom>
        <x:color indexed="64"/>
      </x:bottom>
    </x:border>
    <x:border>
      <x:left style="thin">
        <x:color indexed="64"/>
      </x:left>
      <x:right style="thick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ck">
        <x:color indexed="64"/>
      </x:right>
      <x:top>
        <x:color indexed="64"/>
      </x:top>
      <x:bottom style="thick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medium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4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1" xfId="0" applyNumberFormat="1" applyFont="1" applyBorder="1" applyAlignment="1">
          <x:alignment horizontal="center" vertical="center"/>
        </x:xf>
      </mc:Fallback>
    </mc:AlternateContent>
    <x:xf numFmtId="0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8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8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7" fillId="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7" fillId="4" borderId="6" xfId="0" applyNumberFormat="1" applyFont="1" applyFill="1" applyBorder="1" applyAlignment="1">
          <x:alignment horizontal="center" vertical="center"/>
        </x:xf>
      </mc:Fallback>
    </mc:AlternateContent>
    <x:xf numFmtId="167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2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2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>
          <x:alignment horizontal="center" vertical="center"/>
        </x:xf>
      </mc:Fallback>
    </mc:AlternateContent>
    <x:xf numFmtId="0" fontId="0" fillId="5" borderId="1" xfId="0" applyNumberFormat="1" applyFill="1" applyBorder="1">
      <x:alignment horizontal="general" vertical="center"/>
    </x:xf>
    <x:xf numFmtId="0" fontId="0" fillId="0" borderId="9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2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2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2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2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8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8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" fillId="3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" fillId="3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7" fillId="4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7" fillId="4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5" fillId="0" borderId="8" xfId="0" applyNumberFormat="1" applyFont="1" applyBorder="1" applyAlignment="1">
          <x:alignment horizontal="center" vertical="center"/>
        </x:xf>
      </mc:Fallback>
    </mc:AlternateContent>
    <x:xf numFmtId="0" fontId="1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10" xfId="0" applyNumberFormat="1" applyFont="1" applyBorder="1" applyAlignment="1">
          <x:alignment horizontal="center" vertical="center"/>
        </x:xf>
      </mc:Fallback>
    </mc:AlternateContent>
    <x:xf numFmtId="0" fontId="17" fillId="0" borderId="0" xfId="0" applyNumberFormat="1" applyFont="1" applyBorder="1">
      <x:alignment horizontal="general" vertical="center"/>
    </x:xf>
    <x:xf numFmtId="0" fontId="17" fillId="0" borderId="15" xfId="0" applyNumberFormat="1" applyFont="1" applyBorder="1">
      <x:alignment horizontal="general" vertical="center"/>
    </x:xf>
    <x:xf numFmtId="165" fontId="17" fillId="0" borderId="16" xfId="0" applyNumberFormat="1" applyFont="1" applyBorder="1">
      <x:alignment horizontal="general" vertical="center"/>
    </x:xf>
    <x:xf numFmtId="0" fontId="17" fillId="0" borderId="17" xfId="0" applyNumberFormat="1" applyFont="1" applyBorder="1">
      <x:alignment horizontal="general" vertical="center"/>
    </x:xf>
    <x:xf numFmtId="0" fontId="17" fillId="0" borderId="18" xfId="0" applyNumberFormat="1" applyFont="1" applyBorder="1">
      <x:alignment horizontal="general" vertical="center"/>
    </x:xf>
    <x:xf numFmtId="165" fontId="17" fillId="0" borderId="19" xfId="0" applyNumberFormat="1" applyFont="1" applyBorder="1">
      <x:alignment horizontal="general" vertical="center"/>
    </x:xf>
    <x:xf numFmtId="0" fontId="17" fillId="0" borderId="20" xfId="0" applyNumberFormat="1" applyFont="1" applyBorder="1">
      <x:alignment horizontal="general" vertical="center"/>
    </x:xf>
    <x:xf numFmtId="165" fontId="17" fillId="0" borderId="21" xfId="0" applyNumberFormat="1" applyFont="1" applyBorder="1">
      <x:alignment horizontal="general" vertical="center"/>
    </x:xf>
    <x:xf numFmtId="0" fontId="17" fillId="0" borderId="22" xfId="0" applyNumberFormat="1" applyFont="1" applyBorder="1">
      <x:alignment horizontal="general" vertical="center"/>
    </x:xf>
    <x:xf numFmtId="0" fontId="18" fillId="5" borderId="1" xfId="0" applyNumberFormat="1" applyFont="1" applyFill="1" applyBorder="1">
      <x:alignment horizontal="general" vertical="center"/>
    </x:xf>
    <x:xf numFmtId="0" fontId="6" fillId="0" borderId="23" xfId="0" applyNumberFormat="1" applyFont="1" applyFill="1" applyBorder="1" applyAlignment="1" applyProtection="1">
      <x:alignment horizontal="general" vertical="center"/>
    </x:xf>
    <x:xf numFmtId="164" fontId="6" fillId="0" borderId="23" xfId="0" applyNumberFormat="1" applyFont="1" applyFill="1" applyBorder="1" applyAlignment="1" applyProtection="1">
      <x:alignment horizontal="general" vertical="center"/>
    </x:xf>
    <x:xf numFmtId="164" fontId="19" fillId="0" borderId="23" xfId="0" applyNumberFormat="1" applyFont="1" applyFill="1" applyBorder="1" applyAlignment="1" applyProtection="1">
      <x:alignment horizontal="general" vertical="center"/>
    </x:xf>
    <x:xf numFmtId="0" fontId="20" fillId="0" borderId="23" xfId="0" applyNumberFormat="1" applyFont="1" applyFill="1" applyBorder="1" applyAlignment="1" applyProtection="1">
      <x:alignment horizontal="general" vertical="center"/>
    </x:xf>
    <x:xf numFmtId="0" fontId="6" fillId="0" borderId="0" xfId="0" applyNumberFormat="1" applyFont="1" applyFill="1" applyBorder="1" applyAlignment="1" applyProtection="1">
      <x:alignment horizontal="general" vertical="center"/>
    </x:xf>
    <x:xf numFmtId="164" fontId="6" fillId="0" borderId="0" xfId="0" applyNumberFormat="1" applyFont="1" applyFill="1" applyBorder="1" applyAlignment="1" applyProtection="1">
      <x:alignment horizontal="general" vertical="center"/>
    </x:xf>
    <x:xf numFmtId="164" fontId="19" fillId="0" borderId="0" xfId="0" applyNumberFormat="1" applyFont="1" applyFill="1" applyBorder="1" applyAlignment="1" applyProtection="1">
      <x:alignment horizontal="general" vertical="center"/>
    </x:xf>
    <x:xf numFmtId="0" fontId="20" fillId="0" borderId="0" xfId="0" applyNumberFormat="1" applyFont="1" applyFill="1" applyBorder="1" applyAlignment="1" applyProtection="1">
      <x:alignment horizontal="general" vertical="center"/>
    </x:xf>
    <x:xf numFmtId="164" fontId="12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2" fillId="0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2" fillId="0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21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21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1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1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1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1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21" fillId="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21" fillId="4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2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2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3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3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3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3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3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3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2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2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3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3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3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3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3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3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3" fillId="0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3" fillId="0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3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3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3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3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4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4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9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9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9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9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9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9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9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9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9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9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9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9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9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9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9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9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9" fillId="0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9" fillId="0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6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6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6" fillId="0" borderId="10" xfId="0" applyNumberFormat="1" applyFont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77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hs:size val="0"/>
            <hs:ratio val="0"/>
            <hs:spacing val="0"/>
            <hs:offset val="0"/>
          </x:font>
          <x:fill>
            <x:patternFill>
              <x:bgColor rgb="ff7030a0"/>
            </x:patternFill>
          </x:fill>
        </x:dxf>
      </mc:Choice>
      <mc:Fallback>
        <x:dxf>
          <x:font>
            <x:color rgb="ffffffff"/>
          </x:font>
          <x:fill>
            <x:patternFill>
              <x:bgColor rgb="ff7030a0"/>
            </x:patternFill>
          </x:fill>
        </x:dxf>
      </mc:Fallback>
    </mc:AlternateContent>
    <x:dxf>
      <x:fill>
        <x:patternFill>
          <x:bgColor rgb="ffffff00"/>
        </x:patternFill>
      </x:fill>
    </x:dxf>
    <x:dxf>
      <x:fill>
        <x:patternFill>
          <x:bgColor rgb="ff00b05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ffc000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ff"/>
          </x:font>
          <x:fill>
            <x:patternFill>
              <x:bgColor rgb="ffff0000"/>
            </x:patternFill>
          </x:fill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B1:G43"/>
  <x:sheetViews>
    <x:sheetView topLeftCell="A1" zoomScaleNormal="100" zoomScaleSheetLayoutView="75" workbookViewId="0">
      <x:selection activeCell="J18" activeCellId="0" sqref="J18:J18"/>
    </x:sheetView>
  </x:sheetViews>
  <x:sheetFormatPr defaultColWidth="9" defaultRowHeight="16.399999999999999"/>
  <x:cols>
    <x:col min="2" max="2" width="7.625" style="3" customWidth="1"/>
    <x:col min="3" max="7" width="20.625" style="3" customWidth="1"/>
  </x:cols>
  <x:sheetData>
    <x:row r="1" spans="2:4" ht="17.800000000000001">
      <x:c r="B1" s="7"/>
      <x:c r="C1" s="7"/>
      <x:c r="D1" s="7"/>
    </x:row>
    <x:row r="2" spans="2:4" ht="17.800000000000001">
      <x:c r="B2" s="7"/>
      <x:c r="C2" s="7"/>
      <x:c r="D2" s="7"/>
    </x:row>
    <x:row r="3" spans="2:7" ht="29.149999999999999" customHeight="1">
      <x:c r="B3" s="111" t="s">
        <x:v>35</x:v>
      </x:c>
      <x:c r="C3" s="111"/>
      <x:c r="D3" s="111"/>
      <x:c r="E3" s="111"/>
      <x:c r="F3" s="111"/>
      <x:c r="G3" s="111"/>
    </x:row>
    <x:row r="4" spans="2:7" ht="20.100000000000001" customHeight="1">
      <x:c r="B4" s="8" t="s">
        <x:v>45</x:v>
      </x:c>
      <x:c r="C4" s="8" t="s">
        <x:v>51</x:v>
      </x:c>
      <x:c r="D4" s="8" t="s">
        <x:v>50</x:v>
      </x:c>
      <x:c r="E4" s="8" t="s">
        <x:v>46</x:v>
      </x:c>
      <x:c r="F4" s="8" t="s">
        <x:v>57</x:v>
      </x:c>
      <x:c r="G4" s="8" t="s">
        <x:v>43</x:v>
      </x:c>
    </x:row>
    <x:row r="5" spans="2:7" s="1" customFormat="1" ht="20.100000000000001" customHeight="1">
      <x:c r="B5" s="9">
        <x:v>1</x:v>
      </x:c>
      <x:c r="C5" s="19" t="s">
        <x:v>19</x:v>
      </x:c>
      <x:c r="D5" s="10">
        <x:v>200</x:v>
      </x:c>
      <x:c r="E5" s="10">
        <x:v>200</x:v>
      </x:c>
      <x:c r="F5" s="10"/>
      <x:c r="G5" s="10"/>
    </x:row>
    <x:row r="6" spans="2:7" s="2" customFormat="1" ht="20.100000000000001" customHeight="1">
      <x:c r="B6" s="9">
        <x:v>2</x:v>
      </x:c>
      <x:c r="C6" s="19" t="s">
        <x:v>10</x:v>
      </x:c>
      <x:c r="D6" s="10">
        <x:v>200</x:v>
      </x:c>
      <x:c r="E6" s="10">
        <x:v>200</x:v>
      </x:c>
      <x:c r="F6" s="10"/>
      <x:c r="G6" s="10"/>
    </x:row>
    <x:row r="7" spans="2:7" ht="25" customHeight="1">
      <x:c r="B7" s="9">
        <x:v>3</x:v>
      </x:c>
      <x:c r="C7" s="19" t="s">
        <x:v>40</x:v>
      </x:c>
      <x:c r="D7" s="10">
        <x:v>193</x:v>
      </x:c>
      <x:c r="E7" s="10">
        <x:v>200</x:v>
      </x:c>
      <x:c r="F7" s="10"/>
      <x:c r="G7" s="10"/>
    </x:row>
    <x:row r="8" spans="2:7" ht="25" customHeight="1">
      <x:c r="B8" s="9">
        <x:v>4</x:v>
      </x:c>
      <x:c r="C8" s="19" t="s">
        <x:v>27</x:v>
      </x:c>
      <x:c r="D8" s="10">
        <x:v>200</x:v>
      </x:c>
      <x:c r="E8" s="10">
        <x:v>200</x:v>
      </x:c>
      <x:c r="F8" s="10"/>
      <x:c r="G8" s="10"/>
    </x:row>
    <x:row r="9" spans="2:7" ht="25" customHeight="1">
      <x:c r="B9" s="9">
        <x:v>5</x:v>
      </x:c>
      <x:c r="C9" s="19" t="s">
        <x:v>4</x:v>
      </x:c>
      <x:c r="D9" s="10">
        <x:v>196</x:v>
      </x:c>
      <x:c r="E9" s="10">
        <x:v>200</x:v>
      </x:c>
      <x:c r="F9" s="10"/>
      <x:c r="G9" s="10"/>
    </x:row>
    <x:row r="10" spans="2:7" ht="25" customHeight="1">
      <x:c r="B10" s="9">
        <x:v>6</x:v>
      </x:c>
      <x:c r="C10" s="19" t="s">
        <x:v>26</x:v>
      </x:c>
      <x:c r="D10" s="10">
        <x:v>195</x:v>
      </x:c>
      <x:c r="E10" s="10">
        <x:v>200</x:v>
      </x:c>
      <x:c r="F10" s="10"/>
      <x:c r="G10" s="10"/>
    </x:row>
    <x:row r="11" spans="2:7" ht="25" customHeight="1">
      <x:c r="B11" s="9">
        <x:v>7</x:v>
      </x:c>
      <x:c r="C11" s="19" t="s">
        <x:v>7</x:v>
      </x:c>
      <x:c r="D11" s="10">
        <x:v>200</x:v>
      </x:c>
      <x:c r="E11" s="10">
        <x:v>200</x:v>
      </x:c>
      <x:c r="F11" s="10"/>
      <x:c r="G11" s="10"/>
    </x:row>
    <x:row r="12" spans="2:7" ht="25" customHeight="1">
      <x:c r="B12" s="9">
        <x:v>8</x:v>
      </x:c>
      <x:c r="C12" s="19" t="s">
        <x:v>16</x:v>
      </x:c>
      <x:c r="D12" s="10">
        <x:v>200</x:v>
      </x:c>
      <x:c r="E12" s="10">
        <x:v>200</x:v>
      </x:c>
      <x:c r="F12" s="10"/>
      <x:c r="G12" s="10"/>
    </x:row>
    <x:row r="13" spans="2:7" ht="25" customHeight="1">
      <x:c r="B13" s="9">
        <x:v>9</x:v>
      </x:c>
      <x:c r="C13" s="19" t="s">
        <x:v>25</x:v>
      </x:c>
      <x:c r="D13" s="10">
        <x:v>194</x:v>
      </x:c>
      <x:c r="E13" s="10">
        <x:v>200</x:v>
      </x:c>
      <x:c r="F13" s="10"/>
      <x:c r="G13" s="10"/>
    </x:row>
    <x:row r="14" spans="2:7" ht="25" customHeight="1">
      <x:c r="B14" s="9">
        <x:v>10</x:v>
      </x:c>
      <x:c r="C14" s="19" t="s">
        <x:v>15</x:v>
      </x:c>
      <x:c r="D14" s="10">
        <x:v>187</x:v>
      </x:c>
      <x:c r="E14" s="10">
        <x:v>200</x:v>
      </x:c>
      <x:c r="F14" s="10"/>
      <x:c r="G14" s="10"/>
    </x:row>
    <x:row r="15" spans="2:7" ht="25" customHeight="1">
      <x:c r="B15" s="9">
        <x:v>11</x:v>
      </x:c>
      <x:c r="C15" s="19" t="s">
        <x:v>28</x:v>
      </x:c>
      <x:c r="D15" s="10">
        <x:v>200</x:v>
      </x:c>
      <x:c r="E15" s="10">
        <x:v>200</x:v>
      </x:c>
      <x:c r="F15" s="10"/>
      <x:c r="G15" s="10"/>
    </x:row>
    <x:row r="16" spans="2:7" ht="25" customHeight="1">
      <x:c r="B16" s="9">
        <x:v>12</x:v>
      </x:c>
      <x:c r="C16" s="19" t="s">
        <x:v>29</x:v>
      </x:c>
      <x:c r="D16" s="10">
        <x:v>200</x:v>
      </x:c>
      <x:c r="E16" s="10">
        <x:v>200</x:v>
      </x:c>
      <x:c r="F16" s="10"/>
      <x:c r="G16" s="10"/>
    </x:row>
    <x:row r="17" spans="2:7" s="2" customFormat="1" ht="25" customHeight="1">
      <x:c r="B17" s="9">
        <x:v>13</x:v>
      </x:c>
      <x:c r="C17" s="19" t="s">
        <x:v>12</x:v>
      </x:c>
      <x:c r="D17" s="10">
        <x:v>196</x:v>
      </x:c>
      <x:c r="E17" s="10">
        <x:v>200</x:v>
      </x:c>
      <x:c r="F17" s="10"/>
      <x:c r="G17" s="10"/>
    </x:row>
    <x:row r="18" spans="2:7" ht="25" customHeight="1">
      <x:c r="B18" s="9">
        <x:v>14</x:v>
      </x:c>
      <x:c r="C18" s="19" t="s">
        <x:v>31</x:v>
      </x:c>
      <x:c r="D18" s="10">
        <x:v>198</x:v>
      </x:c>
      <x:c r="E18" s="10">
        <x:v>199</x:v>
      </x:c>
      <x:c r="F18" s="10"/>
      <x:c r="G18" s="10"/>
    </x:row>
    <x:row r="19" spans="2:7" ht="25" customHeight="1">
      <x:c r="B19" s="9">
        <x:v>15</x:v>
      </x:c>
      <x:c r="C19" s="19" t="s">
        <x:v>33</x:v>
      </x:c>
      <x:c r="D19" s="10">
        <x:v>200</x:v>
      </x:c>
      <x:c r="E19" s="10">
        <x:v>199</x:v>
      </x:c>
      <x:c r="F19" s="10"/>
      <x:c r="G19" s="10"/>
    </x:row>
    <x:row r="20" spans="2:7" ht="25" customHeight="1">
      <x:c r="B20" s="9">
        <x:v>16</x:v>
      </x:c>
      <x:c r="C20" s="19" t="s">
        <x:v>22</x:v>
      </x:c>
      <x:c r="D20" s="10">
        <x:v>194</x:v>
      </x:c>
      <x:c r="E20" s="10">
        <x:v>198</x:v>
      </x:c>
      <x:c r="F20" s="10"/>
      <x:c r="G20" s="10"/>
    </x:row>
    <x:row r="21" spans="2:7" ht="25" customHeight="1">
      <x:c r="B21" s="9">
        <x:v>17</x:v>
      </x:c>
      <x:c r="C21" s="19" t="s">
        <x:v>38</x:v>
      </x:c>
      <x:c r="D21" s="10">
        <x:v>195</x:v>
      </x:c>
      <x:c r="E21" s="10">
        <x:v>196</x:v>
      </x:c>
      <x:c r="F21" s="10"/>
      <x:c r="G21" s="10"/>
    </x:row>
    <x:row r="22" spans="2:7" ht="25" customHeight="1">
      <x:c r="B22" s="9">
        <x:v>18</x:v>
      </x:c>
      <x:c r="C22" s="19" t="s">
        <x:v>6</x:v>
      </x:c>
      <x:c r="D22" s="10">
        <x:v>190</x:v>
      </x:c>
      <x:c r="E22" s="10">
        <x:v>196</x:v>
      </x:c>
      <x:c r="F22" s="10"/>
      <x:c r="G22" s="10"/>
    </x:row>
    <x:row r="23" spans="2:7" ht="25" customHeight="1">
      <x:c r="B23" s="9">
        <x:v>19</x:v>
      </x:c>
      <x:c r="C23" s="19" t="s">
        <x:v>3</x:v>
      </x:c>
      <x:c r="D23" s="10">
        <x:v>192</x:v>
      </x:c>
      <x:c r="E23" s="10">
        <x:v>195</x:v>
      </x:c>
      <x:c r="F23" s="10"/>
      <x:c r="G23" s="10"/>
    </x:row>
    <x:row r="24" spans="2:7" s="2" customFormat="1" ht="25" customHeight="1">
      <x:c r="B24" s="9">
        <x:v>20</x:v>
      </x:c>
      <x:c r="C24" s="19" t="s">
        <x:v>11</x:v>
      </x:c>
      <x:c r="D24" s="10">
        <x:v>188</x:v>
      </x:c>
      <x:c r="E24" s="10">
        <x:v>195</x:v>
      </x:c>
      <x:c r="F24" s="10"/>
      <x:c r="G24" s="10"/>
    </x:row>
    <x:row r="25" spans="2:7" ht="25" customHeight="1">
      <x:c r="B25" s="9">
        <x:v>21</x:v>
      </x:c>
      <x:c r="C25" s="19" t="s">
        <x:v>23</x:v>
      </x:c>
      <x:c r="D25" s="10">
        <x:v>184</x:v>
      </x:c>
      <x:c r="E25" s="10">
        <x:v>194</x:v>
      </x:c>
      <x:c r="F25" s="10"/>
      <x:c r="G25" s="10"/>
    </x:row>
    <x:row r="26" spans="2:7" ht="25" customHeight="1">
      <x:c r="B26" s="9">
        <x:v>22</x:v>
      </x:c>
      <x:c r="C26" s="19" t="s">
        <x:v>9</x:v>
      </x:c>
      <x:c r="D26" s="10">
        <x:v>191</x:v>
      </x:c>
      <x:c r="E26" s="10">
        <x:v>191</x:v>
      </x:c>
      <x:c r="F26" s="10"/>
      <x:c r="G26" s="10"/>
    </x:row>
    <x:row r="27" spans="2:7" ht="25" customHeight="1">
      <x:c r="B27" s="9">
        <x:v>23</x:v>
      </x:c>
      <x:c r="C27" s="19" t="s">
        <x:v>2</x:v>
      </x:c>
      <x:c r="D27" s="10">
        <x:v>190</x:v>
      </x:c>
      <x:c r="E27" s="10">
        <x:v>191</x:v>
      </x:c>
      <x:c r="F27" s="10"/>
      <x:c r="G27" s="10"/>
    </x:row>
    <x:row r="28" spans="2:7" ht="25" customHeight="1">
      <x:c r="B28" s="9">
        <x:v>24</x:v>
      </x:c>
      <x:c r="C28" s="19" t="s">
        <x:v>39</x:v>
      </x:c>
      <x:c r="D28" s="10">
        <x:v>198</x:v>
      </x:c>
      <x:c r="E28" s="10">
        <x:v>190</x:v>
      </x:c>
      <x:c r="F28" s="10"/>
      <x:c r="G28" s="10"/>
    </x:row>
    <x:row r="29" spans="2:7" ht="25" customHeight="1">
      <x:c r="B29" s="9">
        <x:v>25</x:v>
      </x:c>
      <x:c r="C29" s="19" t="s">
        <x:v>49</x:v>
      </x:c>
      <x:c r="D29" s="10">
        <x:v>200</x:v>
      </x:c>
      <x:c r="E29" s="10">
        <x:v>186</x:v>
      </x:c>
      <x:c r="F29" s="10"/>
      <x:c r="G29" s="10"/>
    </x:row>
    <x:row r="30" spans="2:7" ht="25" customHeight="1">
      <x:c r="B30" s="9">
        <x:v>26</x:v>
      </x:c>
      <x:c r="C30" s="19" t="s">
        <x:v>17</x:v>
      </x:c>
      <x:c r="D30" s="10">
        <x:v>184</x:v>
      </x:c>
      <x:c r="E30" s="10">
        <x:v>184</x:v>
      </x:c>
      <x:c r="F30" s="10"/>
      <x:c r="G30" s="10"/>
    </x:row>
    <x:row r="31" spans="2:7" ht="25" customHeight="1">
      <x:c r="B31" s="9">
        <x:v>27</x:v>
      </x:c>
      <x:c r="C31" s="19" t="s">
        <x:v>34</x:v>
      </x:c>
      <x:c r="D31" s="10">
        <x:v>182</x:v>
      </x:c>
      <x:c r="E31" s="10">
        <x:v>183</x:v>
      </x:c>
      <x:c r="F31" s="10"/>
      <x:c r="G31" s="10"/>
    </x:row>
    <x:row r="32" spans="2:7" ht="25" customHeight="1">
      <x:c r="B32" s="9">
        <x:v>28</x:v>
      </x:c>
      <x:c r="C32" s="19" t="s">
        <x:v>24</x:v>
      </x:c>
      <x:c r="D32" s="10">
        <x:v>182</x:v>
      </x:c>
      <x:c r="E32" s="10">
        <x:v>182</x:v>
      </x:c>
      <x:c r="F32" s="10"/>
      <x:c r="G32" s="10"/>
    </x:row>
    <x:row r="33" spans="2:7" ht="25" customHeight="1">
      <x:c r="B33" s="9">
        <x:v>29</x:v>
      </x:c>
      <x:c r="C33" s="19" t="s">
        <x:v>36</x:v>
      </x:c>
      <x:c r="D33" s="10">
        <x:v>171</x:v>
      </x:c>
      <x:c r="E33" s="10">
        <x:v>179</x:v>
      </x:c>
      <x:c r="F33" s="10"/>
      <x:c r="G33" s="10"/>
    </x:row>
    <x:row r="34" spans="2:7" ht="25" customHeight="1">
      <x:c r="B34" s="9">
        <x:v>30</x:v>
      </x:c>
      <x:c r="C34" s="19" t="s">
        <x:v>8</x:v>
      </x:c>
      <x:c r="D34" s="10">
        <x:v>184</x:v>
      </x:c>
      <x:c r="E34" s="10">
        <x:v>178</x:v>
      </x:c>
      <x:c r="F34" s="10"/>
      <x:c r="G34" s="10"/>
    </x:row>
    <x:row r="35" spans="2:7" ht="25" customHeight="1">
      <x:c r="B35" s="9">
        <x:v>31</x:v>
      </x:c>
      <x:c r="C35" s="19" t="s">
        <x:v>20</x:v>
      </x:c>
      <x:c r="D35" s="10">
        <x:v>183</x:v>
      </x:c>
      <x:c r="E35" s="10">
        <x:v>177</x:v>
      </x:c>
      <x:c r="F35" s="10"/>
      <x:c r="G35" s="10"/>
    </x:row>
    <x:row r="36" spans="2:7" ht="25" customHeight="1">
      <x:c r="B36" s="9">
        <x:v>32</x:v>
      </x:c>
      <x:c r="C36" s="19" t="s">
        <x:v>32</x:v>
      </x:c>
      <x:c r="D36" s="10">
        <x:v>166</x:v>
      </x:c>
      <x:c r="E36" s="10">
        <x:v>166</x:v>
      </x:c>
      <x:c r="F36" s="10"/>
      <x:c r="G36" s="10"/>
    </x:row>
    <x:row r="37" spans="2:7" ht="25" customHeight="1">
      <x:c r="B37" s="9">
        <x:v>33</x:v>
      </x:c>
      <x:c r="C37" s="19" t="s">
        <x:v>13</x:v>
      </x:c>
      <x:c r="D37" s="10">
        <x:v>165</x:v>
      </x:c>
      <x:c r="E37" s="10">
        <x:v>165</x:v>
      </x:c>
      <x:c r="F37" s="10"/>
      <x:c r="G37" s="10"/>
    </x:row>
    <x:row r="38" spans="2:7" ht="25" customHeight="1">
      <x:c r="B38" s="9">
        <x:v>34</x:v>
      </x:c>
      <x:c r="C38" s="19" t="s">
        <x:v>5</x:v>
      </x:c>
      <x:c r="D38" s="10">
        <x:v>161</x:v>
      </x:c>
      <x:c r="E38" s="10">
        <x:v>162</x:v>
      </x:c>
      <x:c r="F38" s="10"/>
      <x:c r="G38" s="10"/>
    </x:row>
    <x:row r="39" spans="2:7" ht="25" customHeight="1">
      <x:c r="B39" s="9">
        <x:v>35</x:v>
      </x:c>
      <x:c r="C39" s="19" t="s">
        <x:v>37</x:v>
      </x:c>
      <x:c r="D39" s="10">
        <x:v>151</x:v>
      </x:c>
      <x:c r="E39" s="10">
        <x:v>144</x:v>
      </x:c>
      <x:c r="F39" s="10"/>
      <x:c r="G39" s="10"/>
    </x:row>
    <x:row r="40" spans="2:7" ht="25" customHeight="1">
      <x:c r="B40" s="9">
        <x:v>36</x:v>
      </x:c>
      <x:c r="C40" s="19"/>
      <x:c r="D40" s="10"/>
      <x:c r="E40" s="10"/>
      <x:c r="F40" s="10"/>
      <x:c r="G40" s="10"/>
    </x:row>
    <x:row r="41" spans="2:7" ht="25" customHeight="1">
      <x:c r="B41" s="9">
        <x:v>37</x:v>
      </x:c>
      <x:c r="C41" s="19"/>
      <x:c r="D41" s="10"/>
      <x:c r="E41" s="10"/>
      <x:c r="F41" s="10"/>
      <x:c r="G41" s="10"/>
    </x:row>
    <x:row r="42" spans="2:7" ht="25" customHeight="1">
      <x:c r="B42" s="9">
        <x:v>38</x:v>
      </x:c>
      <x:c r="C42" s="19"/>
      <x:c r="D42" s="10"/>
      <x:c r="E42" s="10"/>
      <x:c r="F42" s="10"/>
      <x:c r="G42" s="10"/>
    </x:row>
    <x:row r="43" spans="2:7" ht="25" customHeight="1">
      <x:c r="B43" s="9">
        <x:v>39</x:v>
      </x:c>
      <x:c r="C43" s="19"/>
      <x:c r="D43" s="10"/>
      <x:c r="E43" s="10"/>
      <x:c r="F43" s="10"/>
      <x:c r="G43" s="10"/>
    </x:row>
  </x:sheetData>
  <x:mergeCells count="1">
    <x:mergeCell ref="B3:G3"/>
  </x:mergeCells>
  <x:conditionalFormatting sqref="D5:G43">
    <x:cfRule type="cellIs" dxfId="71" priority="6" operator="lessThan">
      <x:formula>160</x:formula>
    </x:cfRule>
    <x:cfRule type="cellIs" dxfId="72" priority="5" operator="between">
      <x:formula>160</x:formula>
      <x:formula>169</x:formula>
    </x:cfRule>
    <x:cfRule type="cellIs" dxfId="73" priority="4" operator="between">
      <x:formula>170</x:formula>
      <x:formula>179</x:formula>
    </x:cfRule>
    <x:cfRule type="cellIs" dxfId="74" priority="3" operator="between">
      <x:formula>180</x:formula>
      <x:formula>189</x:formula>
    </x:cfRule>
    <x:cfRule type="cellIs" dxfId="75" priority="2" operator="between">
      <x:formula>190</x:formula>
      <x:formula>199</x:formula>
    </x:cfRule>
    <x:cfRule type="cellIs" dxfId="76" priority="1" operator="greaterThanOrEqual">
      <x:formula>200</x:formula>
    </x:cfRule>
  </x:conditionalFormatting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X116"/>
  <x:sheetViews>
    <x:sheetView topLeftCell="A1" zoomScale="85" zoomScaleNormal="85" zoomScaleSheetLayoutView="110" workbookViewId="0">
      <x:selection activeCell="I11" activeCellId="0" sqref="I11:I11"/>
    </x:sheetView>
  </x:sheetViews>
  <x:sheetFormatPr defaultColWidth="9" defaultRowHeight="16.399999999999999"/>
  <x:cols>
    <x:col min="1" max="1" width="4.625" style="3" customWidth="1"/>
    <x:col min="2" max="2" width="14.625" style="3" customWidth="1"/>
    <x:col min="3" max="8" width="11.625" style="3" customWidth="1"/>
    <x:col min="9" max="9" width="14.625" style="3" customWidth="1"/>
    <x:col min="10" max="15" width="11.625" style="3" customWidth="1"/>
    <x:col min="16" max="16" width="9.875" style="3" bestFit="1" customWidth="1"/>
    <x:col min="17" max="17" width="8" style="3" customWidth="1"/>
    <x:col min="19" max="19" width="8.75" style="3" customWidth="1"/>
    <x:col min="21" max="21" width="14.75" style="3" customWidth="1"/>
    <x:col min="23" max="23" width="17.25" style="3" bestFit="1" customWidth="1"/>
    <x:col min="24" max="24" width="9" style="3" bestFit="1" customWidth="1"/>
  </x:cols>
  <x:sheetData>
    <x:row r="1" spans="1:15" ht="60" customHeight="1">
      <x:c r="A1" s="112" t="s">
        <x:v>59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</x:row>
    <x:row r="2" spans="1:24" ht="24.949999999999999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4" t="s">
        <x:v>48</x:v>
      </x:c>
      <x:c r="M2" s="34"/>
      <x:c r="N2" s="113">
        <x:v>46113</x:v>
      </x:c>
      <x:c r="O2" s="114"/>
      <x:c r="U2" s="35" t="s">
        <x:v>18</x:v>
      </x:c>
      <x:c r="V2" s="35">
        <x:v>0</x:v>
      </x:c>
      <x:c r="W2" s="35" t="s">
        <x:v>0</x:v>
      </x:c>
      <x:c r="X2" s="35">
        <x:v>1</x:v>
      </x:c>
    </x:row>
    <x:row r="3" spans="1:24" ht="24.949999999999999" customHeight="1">
      <x:c r="A3" s="13"/>
      <x:c r="B3" s="14" t="s">
        <x:v>14</x:v>
      </x:c>
      <x:c r="C3" s="14" t="s">
        <x:v>44</x:v>
      </x:c>
      <x:c r="D3" s="14" t="s">
        <x:v>55</x:v>
      </x:c>
      <x:c r="E3" s="14" t="s">
        <x:v>54</x:v>
      </x:c>
      <x:c r="F3" s="14" t="s">
        <x:v>53</x:v>
      </x:c>
      <x:c r="G3" s="14" t="s">
        <x:v>52</x:v>
      </x:c>
      <x:c r="H3" s="14" t="s">
        <x:v>47</x:v>
      </x:c>
      <x:c r="I3" s="15" t="s">
        <x:v>41</x:v>
      </x:c>
      <x:c r="J3" s="14" t="s">
        <x:v>44</x:v>
      </x:c>
      <x:c r="K3" s="14" t="s">
        <x:v>55</x:v>
      </x:c>
      <x:c r="L3" s="14" t="s">
        <x:v>54</x:v>
      </x:c>
      <x:c r="M3" s="14" t="s">
        <x:v>53</x:v>
      </x:c>
      <x:c r="N3" s="16" t="s">
        <x:v>52</x:v>
      </x:c>
      <x:c r="O3" s="17" t="s">
        <x:v>56</x:v>
      </x:c>
      <x:c r="U3" s="36" t="s">
        <x:v>58</x:v>
      </x:c>
      <x:c r="V3" s="36"/>
      <x:c r="W3" s="36"/>
      <x:c r="X3" s="36"/>
    </x:row>
    <x:row r="4" spans="1:24" ht="24.949999999999999" customHeight="1">
      <x:c r="A4" s="18">
        <x:v>1</x:v>
      </x:c>
      <x:c r="B4" s="19"/>
      <x:c r="C4" s="20"/>
      <x:c r="D4" s="20"/>
      <x:c r="E4" s="20"/>
      <x:c r="F4" s="20"/>
      <x:c r="G4" s="21">
        <x:f>F4+E4+D4+C4</x:f>
        <x:v>0</x:v>
      </x:c>
      <x:c r="H4" s="22">
        <x:f>G4/4</x:f>
        <x:v>0</x:v>
      </x:c>
      <x:c r="I4" s="23" t="str">
        <x:f>IF(B4="","",IFERROR(INDEX('회원명단 및 기준에버'!D:G,MATCH(B4,'회원명단 및 기준에버'!$C:$C,0),CHOOSE(INT((MONTH($N$2)-1)/3)+1,1,2,3,4)),""))</x:f>
        <x:v/>
      </x:c>
      <x:c r="J4" s="5">
        <x:f>IFERROR(C4+-I4,0)</x:f>
        <x:v>0</x:v>
      </x:c>
      <x:c r="K4" s="5">
        <x:f>IFERROR(D4+-I4,0)</x:f>
        <x:v>0</x:v>
      </x:c>
      <x:c r="L4" s="5">
        <x:f>IFERROR(E4+-I4,0)</x:f>
        <x:v>0</x:v>
      </x:c>
      <x:c r="M4" s="5">
        <x:f>IFERROR(F4+-I4,0)</x:f>
        <x:v>0</x:v>
      </x:c>
      <x:c r="N4" s="6">
        <x:f>SUM(J4:M4)</x:f>
        <x:v>0</x:v>
      </x:c>
      <x:c r="O4" s="24">
        <x:f>IFERROR(H4+-I4,0)</x:f>
        <x:v>0</x:v>
      </x:c>
      <x:c r="P4" s="25"/>
      <x:c r="U4" s="59">
        <x:f t="shared" ref="U4:U33" si="0">MAX(C4:F4)-MIN(C4:F4)</x:f>
        <x:v>0</x:v>
      </x:c>
      <x:c r="V4" s="60">
        <x:f>IF($X$2=0,(G4*1000000+U4*1000+A4),(O4*1000000+U4*1000+A4))</x:f>
        <x:v>1</x:v>
      </x:c>
      <x:c r="W4" s="60">
        <x:f t="shared" ref="W4:W33" si="1">_xlfn.RANK.EQ(V4,$V$4:$V$33,0)</x:f>
        <x:v>30</x:v>
      </x:c>
      <x:c r="X4" s="61"/>
    </x:row>
    <x:row r="5" spans="1:24" ht="24.949999999999999" customHeight="1">
      <x:c r="A5" s="18">
        <x:v>2</x:v>
      </x:c>
      <x:c r="B5" s="19"/>
      <x:c r="C5" s="20"/>
      <x:c r="D5" s="20"/>
      <x:c r="E5" s="20"/>
      <x:c r="F5" s="20"/>
      <x:c r="G5" s="21">
        <x:f t="shared" ref="G5:G33" si="2">F5+E5+D5+C5</x:f>
        <x:v>0</x:v>
      </x:c>
      <x:c r="H5" s="22">
        <x:f t="shared" ref="H5:H33" si="3">G5/4</x:f>
        <x:v>0</x:v>
      </x:c>
      <x:c r="I5" s="23" t="str">
        <x:f>IF(B5="","",IFERROR(INDEX('회원명단 및 기준에버'!D:G,MATCH(B5,'회원명단 및 기준에버'!$C:$C,0),CHOOSE(INT((MONTH($N$2)-1)/3)+1,1,2,3,4)),""))</x:f>
        <x:v/>
      </x:c>
      <x:c r="J5" s="5">
        <x:f>IFERROR(C5+-I5,0)</x:f>
        <x:v>0</x:v>
      </x:c>
      <x:c r="K5" s="5">
        <x:f>IFERROR(D5+-I5,0)</x:f>
        <x:v>0</x:v>
      </x:c>
      <x:c r="L5" s="5">
        <x:f>IFERROR(E5+-I5,0)</x:f>
        <x:v>0</x:v>
      </x:c>
      <x:c r="M5" s="5">
        <x:f t="shared" ref="M5:M33" si="4">IFERROR(F5+-I5,0)</x:f>
        <x:v>0</x:v>
      </x:c>
      <x:c r="N5" s="6">
        <x:f t="shared" ref="N5:N33" si="5">SUM(J5:M5)</x:f>
        <x:v>0</x:v>
      </x:c>
      <x:c r="O5" s="24">
        <x:f>IFERROR(H5+-I5,0)</x:f>
        <x:v>0</x:v>
      </x:c>
      <x:c r="P5" s="25"/>
      <x:c r="U5" s="62">
        <x:f t="shared" si="0"/>
        <x:v>0</x:v>
      </x:c>
      <x:c r="V5" s="57">
        <x:f>IF($X$2=0,(G5*1000000+U5*1000+A5),(O5*1000000+U5*1000+A5))</x:f>
        <x:v>2</x:v>
      </x:c>
      <x:c r="W5" s="57">
        <x:f t="shared" si="1"/>
        <x:v>29</x:v>
      </x:c>
      <x:c r="X5" s="63"/>
    </x:row>
    <x:row r="6" spans="1:24" ht="24.949999999999999" customHeight="1">
      <x:c r="A6" s="18">
        <x:v>3</x:v>
      </x:c>
      <x:c r="B6" s="19"/>
      <x:c r="C6" s="20"/>
      <x:c r="D6" s="20"/>
      <x:c r="E6" s="20"/>
      <x:c r="F6" s="20"/>
      <x:c r="G6" s="21">
        <x:f t="shared" si="2"/>
        <x:v>0</x:v>
      </x:c>
      <x:c r="H6" s="22">
        <x:f t="shared" si="3"/>
        <x:v>0</x:v>
      </x:c>
      <x:c r="I6" s="23" t="str">
        <x:f>IF(B6="","",IFERROR(INDEX('회원명단 및 기준에버'!D:G,MATCH(B6,'회원명단 및 기준에버'!$C:$C,0),CHOOSE(INT((MONTH($N$2)-1)/3)+1,1,2,3,4)),""))</x:f>
        <x:v/>
      </x:c>
      <x:c r="J6" s="5">
        <x:f t="shared" ref="J6:J33" si="6">IFERROR(C6+-I6,0)</x:f>
        <x:v>0</x:v>
      </x:c>
      <x:c r="K6" s="5">
        <x:f t="shared" ref="K6:K33" si="7">IFERROR(D6+-I6,0)</x:f>
        <x:v>0</x:v>
      </x:c>
      <x:c r="L6" s="5">
        <x:f t="shared" ref="L6:L33" si="8">IFERROR(E6+-I6,0)</x:f>
        <x:v>0</x:v>
      </x:c>
      <x:c r="M6" s="5">
        <x:f t="shared" si="4"/>
        <x:v>0</x:v>
      </x:c>
      <x:c r="N6" s="6">
        <x:f t="shared" si="5"/>
        <x:v>0</x:v>
      </x:c>
      <x:c r="O6" s="24">
        <x:f t="shared" ref="O6:O33" si="9">IFERROR(H6+-I6,0)</x:f>
        <x:v>0</x:v>
      </x:c>
      <x:c r="U6" s="62">
        <x:f t="shared" si="0"/>
        <x:v>0</x:v>
      </x:c>
      <x:c r="V6" s="57">
        <x:f t="shared" ref="V6:V33" si="10">IF($X$2=0,(G6*1000000+U6*1000+A6),(O6*1000000+U6*1000+A6))</x:f>
        <x:v>3</x:v>
      </x:c>
      <x:c r="W6" s="57">
        <x:f t="shared" si="1"/>
        <x:v>28</x:v>
      </x:c>
      <x:c r="X6" s="63"/>
    </x:row>
    <x:row r="7" spans="1:24" ht="24.949999999999999" customHeight="1">
      <x:c r="A7" s="18">
        <x:v>4</x:v>
      </x:c>
      <x:c r="B7" s="19"/>
      <x:c r="C7" s="20"/>
      <x:c r="D7" s="20"/>
      <x:c r="E7" s="20"/>
      <x:c r="F7" s="20"/>
      <x:c r="G7" s="21">
        <x:f t="shared" si="2"/>
        <x:v>0</x:v>
      </x:c>
      <x:c r="H7" s="22">
        <x:f t="shared" si="3"/>
        <x:v>0</x:v>
      </x:c>
      <x:c r="I7" s="23" t="str">
        <x:f>IF(B7="","",IFERROR(INDEX('회원명단 및 기준에버'!D:G,MATCH(B7,'회원명단 및 기준에버'!$C:$C,0),CHOOSE(INT((MONTH($N$2)-1)/3)+1,1,2,3,4)),""))</x:f>
        <x:v/>
      </x:c>
      <x:c r="J7" s="5">
        <x:f t="shared" si="6"/>
        <x:v>0</x:v>
      </x:c>
      <x:c r="K7" s="5">
        <x:f t="shared" si="7"/>
        <x:v>0</x:v>
      </x:c>
      <x:c r="L7" s="5">
        <x:f t="shared" si="8"/>
        <x:v>0</x:v>
      </x:c>
      <x:c r="M7" s="5">
        <x:f t="shared" si="4"/>
        <x:v>0</x:v>
      </x:c>
      <x:c r="N7" s="6">
        <x:f t="shared" si="5"/>
        <x:v>0</x:v>
      </x:c>
      <x:c r="O7" s="24">
        <x:f t="shared" si="9"/>
        <x:v>0</x:v>
      </x:c>
      <x:c r="U7" s="62">
        <x:f t="shared" si="0"/>
        <x:v>0</x:v>
      </x:c>
      <x:c r="V7" s="57">
        <x:f t="shared" si="10"/>
        <x:v>4</x:v>
      </x:c>
      <x:c r="W7" s="57">
        <x:f t="shared" si="1"/>
        <x:v>27</x:v>
      </x:c>
      <x:c r="X7" s="63"/>
    </x:row>
    <x:row r="8" spans="1:24" ht="24.949999999999999" customHeight="1">
      <x:c r="A8" s="18">
        <x:v>5</x:v>
      </x:c>
      <x:c r="B8" s="19"/>
      <x:c r="C8" s="20"/>
      <x:c r="D8" s="20"/>
      <x:c r="E8" s="20"/>
      <x:c r="F8" s="20"/>
      <x:c r="G8" s="21">
        <x:f t="shared" si="2"/>
        <x:v>0</x:v>
      </x:c>
      <x:c r="H8" s="22">
        <x:f t="shared" si="3"/>
        <x:v>0</x:v>
      </x:c>
      <x:c r="I8" s="23" t="str">
        <x:f>IF(B8="","",IFERROR(INDEX('회원명단 및 기준에버'!D:G,MATCH(B8,'회원명단 및 기준에버'!$C:$C,0),CHOOSE(INT((MONTH($N$2)-1)/3)+1,1,2,3,4)),""))</x:f>
        <x:v/>
      </x:c>
      <x:c r="J8" s="5">
        <x:f t="shared" si="6"/>
        <x:v>0</x:v>
      </x:c>
      <x:c r="K8" s="5">
        <x:f t="shared" si="7"/>
        <x:v>0</x:v>
      </x:c>
      <x:c r="L8" s="5">
        <x:f t="shared" si="8"/>
        <x:v>0</x:v>
      </x:c>
      <x:c r="M8" s="5">
        <x:f t="shared" si="4"/>
        <x:v>0</x:v>
      </x:c>
      <x:c r="N8" s="6">
        <x:f t="shared" si="5"/>
        <x:v>0</x:v>
      </x:c>
      <x:c r="O8" s="24">
        <x:f t="shared" si="9"/>
        <x:v>0</x:v>
      </x:c>
      <x:c r="U8" s="62">
        <x:f t="shared" si="0"/>
        <x:v>0</x:v>
      </x:c>
      <x:c r="V8" s="57">
        <x:f t="shared" si="10"/>
        <x:v>5</x:v>
      </x:c>
      <x:c r="W8" s="57">
        <x:f t="shared" si="1"/>
        <x:v>26</x:v>
      </x:c>
      <x:c r="X8" s="63"/>
    </x:row>
    <x:row r="9" spans="1:24" ht="24.949999999999999" customHeight="1">
      <x:c r="A9" s="18">
        <x:v>6</x:v>
      </x:c>
      <x:c r="B9" s="19"/>
      <x:c r="C9" s="20"/>
      <x:c r="D9" s="20"/>
      <x:c r="E9" s="20"/>
      <x:c r="F9" s="20"/>
      <x:c r="G9" s="21">
        <x:f t="shared" si="2"/>
        <x:v>0</x:v>
      </x:c>
      <x:c r="H9" s="22">
        <x:f t="shared" si="3"/>
        <x:v>0</x:v>
      </x:c>
      <x:c r="I9" s="23" t="str">
        <x:f>IF(B9="","",IFERROR(INDEX('회원명단 및 기준에버'!D:G,MATCH(B9,'회원명단 및 기준에버'!$C:$C,0),CHOOSE(INT((MONTH($N$2)-1)/3)+1,1,2,3,4)),""))</x:f>
        <x:v/>
      </x:c>
      <x:c r="J9" s="5">
        <x:f t="shared" si="6"/>
        <x:v>0</x:v>
      </x:c>
      <x:c r="K9" s="5">
        <x:f t="shared" si="7"/>
        <x:v>0</x:v>
      </x:c>
      <x:c r="L9" s="5">
        <x:f t="shared" si="8"/>
        <x:v>0</x:v>
      </x:c>
      <x:c r="M9" s="5">
        <x:f t="shared" si="4"/>
        <x:v>0</x:v>
      </x:c>
      <x:c r="N9" s="6">
        <x:f t="shared" si="5"/>
        <x:v>0</x:v>
      </x:c>
      <x:c r="O9" s="24">
        <x:f t="shared" si="9"/>
        <x:v>0</x:v>
      </x:c>
      <x:c r="U9" s="62">
        <x:f t="shared" si="0"/>
        <x:v>0</x:v>
      </x:c>
      <x:c r="V9" s="57">
        <x:f t="shared" si="10"/>
        <x:v>6</x:v>
      </x:c>
      <x:c r="W9" s="57">
        <x:f t="shared" si="1"/>
        <x:v>25</x:v>
      </x:c>
      <x:c r="X9" s="63"/>
    </x:row>
    <x:row r="10" spans="1:24" ht="24.949999999999999" customHeight="1">
      <x:c r="A10" s="18">
        <x:v>7</x:v>
      </x:c>
      <x:c r="B10" s="19"/>
      <x:c r="C10" s="20"/>
      <x:c r="D10" s="20"/>
      <x:c r="E10" s="20"/>
      <x:c r="F10" s="20"/>
      <x:c r="G10" s="21">
        <x:f t="shared" si="2"/>
        <x:v>0</x:v>
      </x:c>
      <x:c r="H10" s="22">
        <x:f t="shared" si="3"/>
        <x:v>0</x:v>
      </x:c>
      <x:c r="I10" s="23" t="str">
        <x:f>IF(B10="","",IFERROR(INDEX('회원명단 및 기준에버'!D:G,MATCH(B10,'회원명단 및 기준에버'!$C:$C,0),CHOOSE(INT((MONTH($N$2)-1)/3)+1,1,2,3,4)),""))</x:f>
        <x:v/>
      </x:c>
      <x:c r="J10" s="5">
        <x:f t="shared" si="6"/>
        <x:v>0</x:v>
      </x:c>
      <x:c r="K10" s="5">
        <x:f t="shared" si="7"/>
        <x:v>0</x:v>
      </x:c>
      <x:c r="L10" s="5">
        <x:f t="shared" si="8"/>
        <x:v>0</x:v>
      </x:c>
      <x:c r="M10" s="5">
        <x:f t="shared" si="4"/>
        <x:v>0</x:v>
      </x:c>
      <x:c r="N10" s="6">
        <x:f t="shared" si="5"/>
        <x:v>0</x:v>
      </x:c>
      <x:c r="O10" s="24">
        <x:f t="shared" si="9"/>
        <x:v>0</x:v>
      </x:c>
      <x:c r="U10" s="62">
        <x:f t="shared" si="0"/>
        <x:v>0</x:v>
      </x:c>
      <x:c r="V10" s="57">
        <x:f t="shared" si="10"/>
        <x:v>7</x:v>
      </x:c>
      <x:c r="W10" s="57">
        <x:f t="shared" si="1"/>
        <x:v>24</x:v>
      </x:c>
      <x:c r="X10" s="63"/>
    </x:row>
    <x:row r="11" spans="1:24" ht="24.949999999999999" customHeight="1">
      <x:c r="A11" s="18">
        <x:v>8</x:v>
      </x:c>
      <x:c r="B11" s="19"/>
      <x:c r="C11" s="20"/>
      <x:c r="D11" s="20"/>
      <x:c r="E11" s="20"/>
      <x:c r="F11" s="20"/>
      <x:c r="G11" s="21">
        <x:f t="shared" si="2"/>
        <x:v>0</x:v>
      </x:c>
      <x:c r="H11" s="22">
        <x:f t="shared" si="3"/>
        <x:v>0</x:v>
      </x:c>
      <x:c r="I11" s="23" t="str">
        <x:f>IF(B11="","",IFERROR(INDEX('회원명단 및 기준에버'!D:G,MATCH(B11,'회원명단 및 기준에버'!$C:$C,0),CHOOSE(INT((MONTH($N$2)-1)/3)+1,1,2,3,4)),""))</x:f>
        <x:v/>
      </x:c>
      <x:c r="J11" s="5">
        <x:f t="shared" si="6"/>
        <x:v>0</x:v>
      </x:c>
      <x:c r="K11" s="5">
        <x:f t="shared" si="7"/>
        <x:v>0</x:v>
      </x:c>
      <x:c r="L11" s="5">
        <x:f t="shared" si="8"/>
        <x:v>0</x:v>
      </x:c>
      <x:c r="M11" s="5">
        <x:f t="shared" si="4"/>
        <x:v>0</x:v>
      </x:c>
      <x:c r="N11" s="6">
        <x:f t="shared" si="5"/>
        <x:v>0</x:v>
      </x:c>
      <x:c r="O11" s="24">
        <x:f t="shared" si="9"/>
        <x:v>0</x:v>
      </x:c>
      <x:c r="U11" s="62">
        <x:f t="shared" si="0"/>
        <x:v>0</x:v>
      </x:c>
      <x:c r="V11" s="57">
        <x:f t="shared" si="10"/>
        <x:v>8</x:v>
      </x:c>
      <x:c r="W11" s="57">
        <x:f t="shared" si="1"/>
        <x:v>23</x:v>
      </x:c>
      <x:c r="X11" s="63"/>
    </x:row>
    <x:row r="12" spans="1:24" ht="24.949999999999999" customHeight="1">
      <x:c r="A12" s="18">
        <x:v>9</x:v>
      </x:c>
      <x:c r="B12" s="19"/>
      <x:c r="C12" s="20"/>
      <x:c r="D12" s="20"/>
      <x:c r="E12" s="20"/>
      <x:c r="F12" s="20"/>
      <x:c r="G12" s="21">
        <x:f t="shared" si="2"/>
        <x:v>0</x:v>
      </x:c>
      <x:c r="H12" s="22">
        <x:f t="shared" si="3"/>
        <x:v>0</x:v>
      </x:c>
      <x:c r="I12" s="23" t="str">
        <x:f>IF(B12="","",IFERROR(INDEX('회원명단 및 기준에버'!D:G,MATCH(B12,'회원명단 및 기준에버'!$C:$C,0),CHOOSE(INT((MONTH($N$2)-1)/3)+1,1,2,3,4)),""))</x:f>
        <x:v/>
      </x:c>
      <x:c r="J12" s="5">
        <x:f t="shared" si="6"/>
        <x:v>0</x:v>
      </x:c>
      <x:c r="K12" s="5">
        <x:f t="shared" si="7"/>
        <x:v>0</x:v>
      </x:c>
      <x:c r="L12" s="5">
        <x:f t="shared" si="8"/>
        <x:v>0</x:v>
      </x:c>
      <x:c r="M12" s="5">
        <x:f t="shared" si="4"/>
        <x:v>0</x:v>
      </x:c>
      <x:c r="N12" s="6">
        <x:f t="shared" si="5"/>
        <x:v>0</x:v>
      </x:c>
      <x:c r="O12" s="24">
        <x:f t="shared" si="9"/>
        <x:v>0</x:v>
      </x:c>
      <x:c r="U12" s="62">
        <x:f t="shared" si="0"/>
        <x:v>0</x:v>
      </x:c>
      <x:c r="V12" s="57">
        <x:f t="shared" si="10"/>
        <x:v>9</x:v>
      </x:c>
      <x:c r="W12" s="57">
        <x:f t="shared" si="1"/>
        <x:v>22</x:v>
      </x:c>
      <x:c r="X12" s="63"/>
    </x:row>
    <x:row r="13" spans="1:24" ht="24.949999999999999" customHeight="1">
      <x:c r="A13" s="18">
        <x:v>10</x:v>
      </x:c>
      <x:c r="B13" s="19"/>
      <x:c r="C13" s="20"/>
      <x:c r="D13" s="20"/>
      <x:c r="E13" s="20"/>
      <x:c r="F13" s="20"/>
      <x:c r="G13" s="21">
        <x:f t="shared" si="2"/>
        <x:v>0</x:v>
      </x:c>
      <x:c r="H13" s="22">
        <x:f t="shared" si="3"/>
        <x:v>0</x:v>
      </x:c>
      <x:c r="I13" s="23" t="str">
        <x:f>IF(B13="","",IFERROR(INDEX('회원명단 및 기준에버'!D:G,MATCH(B13,'회원명단 및 기준에버'!$C:$C,0),CHOOSE(INT((MONTH($N$2)-1)/3)+1,1,2,3,4)),""))</x:f>
        <x:v/>
      </x:c>
      <x:c r="J13" s="5">
        <x:f t="shared" si="6"/>
        <x:v>0</x:v>
      </x:c>
      <x:c r="K13" s="5">
        <x:f t="shared" si="7"/>
        <x:v>0</x:v>
      </x:c>
      <x:c r="L13" s="5">
        <x:f t="shared" si="8"/>
        <x:v>0</x:v>
      </x:c>
      <x:c r="M13" s="5">
        <x:f t="shared" si="4"/>
        <x:v>0</x:v>
      </x:c>
      <x:c r="N13" s="6">
        <x:f t="shared" si="5"/>
        <x:v>0</x:v>
      </x:c>
      <x:c r="O13" s="24">
        <x:f t="shared" si="9"/>
        <x:v>0</x:v>
      </x:c>
      <x:c r="U13" s="62">
        <x:f t="shared" si="0"/>
        <x:v>0</x:v>
      </x:c>
      <x:c r="V13" s="57">
        <x:f t="shared" si="10"/>
        <x:v>10</x:v>
      </x:c>
      <x:c r="W13" s="57">
        <x:f t="shared" si="1"/>
        <x:v>21</x:v>
      </x:c>
      <x:c r="X13" s="63"/>
    </x:row>
    <x:row r="14" spans="1:24" ht="24.949999999999999" customHeight="1">
      <x:c r="A14" s="18">
        <x:v>11</x:v>
      </x:c>
      <x:c r="B14" s="19"/>
      <x:c r="C14" s="20"/>
      <x:c r="D14" s="20"/>
      <x:c r="E14" s="20"/>
      <x:c r="F14" s="20"/>
      <x:c r="G14" s="21">
        <x:f t="shared" si="2"/>
        <x:v>0</x:v>
      </x:c>
      <x:c r="H14" s="22">
        <x:f t="shared" si="3"/>
        <x:v>0</x:v>
      </x:c>
      <x:c r="I14" s="23" t="str">
        <x:f>IF(B14="","",IFERROR(INDEX('회원명단 및 기준에버'!D:G,MATCH(B14,'회원명단 및 기준에버'!$C:$C,0),CHOOSE(INT((MONTH($N$2)-1)/3)+1,1,2,3,4)),""))</x:f>
        <x:v/>
      </x:c>
      <x:c r="J14" s="5">
        <x:f t="shared" si="6"/>
        <x:v>0</x:v>
      </x:c>
      <x:c r="K14" s="5">
        <x:f t="shared" si="7"/>
        <x:v>0</x:v>
      </x:c>
      <x:c r="L14" s="5">
        <x:f t="shared" si="8"/>
        <x:v>0</x:v>
      </x:c>
      <x:c r="M14" s="5">
        <x:f t="shared" si="4"/>
        <x:v>0</x:v>
      </x:c>
      <x:c r="N14" s="6">
        <x:f t="shared" si="5"/>
        <x:v>0</x:v>
      </x:c>
      <x:c r="O14" s="24">
        <x:f t="shared" si="9"/>
        <x:v>0</x:v>
      </x:c>
      <x:c r="U14" s="62">
        <x:f t="shared" si="0"/>
        <x:v>0</x:v>
      </x:c>
      <x:c r="V14" s="57">
        <x:f t="shared" si="10"/>
        <x:v>11</x:v>
      </x:c>
      <x:c r="W14" s="57">
        <x:f t="shared" si="1"/>
        <x:v>20</x:v>
      </x:c>
      <x:c r="X14" s="63"/>
    </x:row>
    <x:row r="15" spans="1:24" ht="24.949999999999999" customHeight="1">
      <x:c r="A15" s="18">
        <x:v>12</x:v>
      </x:c>
      <x:c r="B15" s="19"/>
      <x:c r="C15" s="20"/>
      <x:c r="D15" s="20"/>
      <x:c r="E15" s="20"/>
      <x:c r="F15" s="20"/>
      <x:c r="G15" s="21">
        <x:f t="shared" si="2"/>
        <x:v>0</x:v>
      </x:c>
      <x:c r="H15" s="22">
        <x:f t="shared" si="3"/>
        <x:v>0</x:v>
      </x:c>
      <x:c r="I15" s="23" t="str">
        <x:f>IF(B15="","",IFERROR(INDEX('회원명단 및 기준에버'!D:G,MATCH(B15,'회원명단 및 기준에버'!$C:$C,0),CHOOSE(INT((MONTH($N$2)-1)/3)+1,1,2,3,4)),""))</x:f>
        <x:v/>
      </x:c>
      <x:c r="J15" s="5">
        <x:f t="shared" si="6"/>
        <x:v>0</x:v>
      </x:c>
      <x:c r="K15" s="5">
        <x:f t="shared" si="7"/>
        <x:v>0</x:v>
      </x:c>
      <x:c r="L15" s="5">
        <x:f t="shared" si="8"/>
        <x:v>0</x:v>
      </x:c>
      <x:c r="M15" s="5">
        <x:f t="shared" si="4"/>
        <x:v>0</x:v>
      </x:c>
      <x:c r="N15" s="6">
        <x:f t="shared" si="5"/>
        <x:v>0</x:v>
      </x:c>
      <x:c r="O15" s="24">
        <x:f t="shared" si="9"/>
        <x:v>0</x:v>
      </x:c>
      <x:c r="U15" s="62">
        <x:f t="shared" si="0"/>
        <x:v>0</x:v>
      </x:c>
      <x:c r="V15" s="57">
        <x:f t="shared" si="10"/>
        <x:v>12</x:v>
      </x:c>
      <x:c r="W15" s="57">
        <x:f t="shared" si="1"/>
        <x:v>19</x:v>
      </x:c>
      <x:c r="X15" s="63"/>
    </x:row>
    <x:row r="16" spans="1:24" ht="24.949999999999999" customHeight="1">
      <x:c r="A16" s="18">
        <x:v>13</x:v>
      </x:c>
      <x:c r="B16" s="19"/>
      <x:c r="C16" s="20"/>
      <x:c r="D16" s="20"/>
      <x:c r="E16" s="20"/>
      <x:c r="F16" s="20"/>
      <x:c r="G16" s="21">
        <x:f t="shared" si="2"/>
        <x:v>0</x:v>
      </x:c>
      <x:c r="H16" s="22">
        <x:f t="shared" si="3"/>
        <x:v>0</x:v>
      </x:c>
      <x:c r="I16" s="23" t="str">
        <x:f>IF(B16="","",IFERROR(INDEX('회원명단 및 기준에버'!D:G,MATCH(B16,'회원명단 및 기준에버'!$C:$C,0),CHOOSE(INT((MONTH($N$2)-1)/3)+1,1,2,3,4)),""))</x:f>
        <x:v/>
      </x:c>
      <x:c r="J16" s="5">
        <x:f t="shared" si="6"/>
        <x:v>0</x:v>
      </x:c>
      <x:c r="K16" s="5">
        <x:f t="shared" si="7"/>
        <x:v>0</x:v>
      </x:c>
      <x:c r="L16" s="5">
        <x:f t="shared" si="8"/>
        <x:v>0</x:v>
      </x:c>
      <x:c r="M16" s="5">
        <x:f t="shared" si="4"/>
        <x:v>0</x:v>
      </x:c>
      <x:c r="N16" s="6">
        <x:f t="shared" si="5"/>
        <x:v>0</x:v>
      </x:c>
      <x:c r="O16" s="24">
        <x:f t="shared" si="9"/>
        <x:v>0</x:v>
      </x:c>
      <x:c r="U16" s="62">
        <x:f t="shared" si="0"/>
        <x:v>0</x:v>
      </x:c>
      <x:c r="V16" s="57">
        <x:f t="shared" si="10"/>
        <x:v>13</x:v>
      </x:c>
      <x:c r="W16" s="57">
        <x:f t="shared" si="1"/>
        <x:v>18</x:v>
      </x:c>
      <x:c r="X16" s="63"/>
    </x:row>
    <x:row r="17" spans="1:24" ht="24.949999999999999" customHeight="1">
      <x:c r="A17" s="18">
        <x:v>14</x:v>
      </x:c>
      <x:c r="B17" s="19"/>
      <x:c r="C17" s="20"/>
      <x:c r="D17" s="20"/>
      <x:c r="E17" s="20"/>
      <x:c r="F17" s="20"/>
      <x:c r="G17" s="21">
        <x:f t="shared" si="2"/>
        <x:v>0</x:v>
      </x:c>
      <x:c r="H17" s="22">
        <x:f t="shared" si="3"/>
        <x:v>0</x:v>
      </x:c>
      <x:c r="I17" s="23" t="str">
        <x:f>IF(B17="","",IFERROR(INDEX('회원명단 및 기준에버'!D:G,MATCH(B17,'회원명단 및 기준에버'!$C:$C,0),CHOOSE(INT((MONTH($N$2)-1)/3)+1,1,2,3,4)),""))</x:f>
        <x:v/>
      </x:c>
      <x:c r="J17" s="5">
        <x:f t="shared" si="6"/>
        <x:v>0</x:v>
      </x:c>
      <x:c r="K17" s="5">
        <x:f t="shared" si="7"/>
        <x:v>0</x:v>
      </x:c>
      <x:c r="L17" s="5">
        <x:f t="shared" si="8"/>
        <x:v>0</x:v>
      </x:c>
      <x:c r="M17" s="5">
        <x:f t="shared" si="4"/>
        <x:v>0</x:v>
      </x:c>
      <x:c r="N17" s="6">
        <x:f t="shared" si="5"/>
        <x:v>0</x:v>
      </x:c>
      <x:c r="O17" s="24">
        <x:f t="shared" si="9"/>
        <x:v>0</x:v>
      </x:c>
      <x:c r="U17" s="62">
        <x:f t="shared" si="0"/>
        <x:v>0</x:v>
      </x:c>
      <x:c r="V17" s="57">
        <x:f t="shared" si="10"/>
        <x:v>14</x:v>
      </x:c>
      <x:c r="W17" s="57">
        <x:f t="shared" si="1"/>
        <x:v>17</x:v>
      </x:c>
      <x:c r="X17" s="63"/>
    </x:row>
    <x:row r="18" spans="1:24" ht="24.949999999999999" customHeight="1">
      <x:c r="A18" s="18">
        <x:v>15</x:v>
      </x:c>
      <x:c r="B18" s="19"/>
      <x:c r="C18" s="20"/>
      <x:c r="D18" s="20"/>
      <x:c r="E18" s="20"/>
      <x:c r="F18" s="20"/>
      <x:c r="G18" s="21">
        <x:f t="shared" si="2"/>
        <x:v>0</x:v>
      </x:c>
      <x:c r="H18" s="22">
        <x:f t="shared" si="3"/>
        <x:v>0</x:v>
      </x:c>
      <x:c r="I18" s="23" t="str">
        <x:f>IF(B18="","",IFERROR(INDEX('회원명단 및 기준에버'!D:G,MATCH(B18,'회원명단 및 기준에버'!$C:$C,0),CHOOSE(INT((MONTH($N$2)-1)/3)+1,1,2,3,4)),""))</x:f>
        <x:v/>
      </x:c>
      <x:c r="J18" s="5">
        <x:f t="shared" si="6"/>
        <x:v>0</x:v>
      </x:c>
      <x:c r="K18" s="5">
        <x:f t="shared" si="7"/>
        <x:v>0</x:v>
      </x:c>
      <x:c r="L18" s="5">
        <x:f t="shared" si="8"/>
        <x:v>0</x:v>
      </x:c>
      <x:c r="M18" s="5">
        <x:f t="shared" si="4"/>
        <x:v>0</x:v>
      </x:c>
      <x:c r="N18" s="6">
        <x:f t="shared" si="5"/>
        <x:v>0</x:v>
      </x:c>
      <x:c r="O18" s="24">
        <x:f t="shared" si="9"/>
        <x:v>0</x:v>
      </x:c>
      <x:c r="U18" s="62">
        <x:f t="shared" si="0"/>
        <x:v>0</x:v>
      </x:c>
      <x:c r="V18" s="57">
        <x:f t="shared" si="10"/>
        <x:v>15</x:v>
      </x:c>
      <x:c r="W18" s="57">
        <x:f t="shared" si="1"/>
        <x:v>16</x:v>
      </x:c>
      <x:c r="X18" s="63"/>
    </x:row>
    <x:row r="19" spans="1:24" ht="24.949999999999999" customHeight="1">
      <x:c r="A19" s="18">
        <x:v>16</x:v>
      </x:c>
      <x:c r="B19" s="19"/>
      <x:c r="C19" s="20"/>
      <x:c r="D19" s="20"/>
      <x:c r="E19" s="20"/>
      <x:c r="F19" s="20"/>
      <x:c r="G19" s="21">
        <x:f t="shared" si="2"/>
        <x:v>0</x:v>
      </x:c>
      <x:c r="H19" s="22">
        <x:f t="shared" si="3"/>
        <x:v>0</x:v>
      </x:c>
      <x:c r="I19" s="23" t="str">
        <x:f>IF(B19="","",IFERROR(INDEX('회원명단 및 기준에버'!D:G,MATCH(B19,'회원명단 및 기준에버'!$C:$C,0),CHOOSE(INT((MONTH($N$2)-1)/3)+1,1,2,3,4)),""))</x:f>
        <x:v/>
      </x:c>
      <x:c r="J19" s="5">
        <x:f t="shared" si="6"/>
        <x:v>0</x:v>
      </x:c>
      <x:c r="K19" s="5">
        <x:f t="shared" si="7"/>
        <x:v>0</x:v>
      </x:c>
      <x:c r="L19" s="5">
        <x:f t="shared" si="8"/>
        <x:v>0</x:v>
      </x:c>
      <x:c r="M19" s="5">
        <x:f t="shared" si="4"/>
        <x:v>0</x:v>
      </x:c>
      <x:c r="N19" s="6">
        <x:f t="shared" si="5"/>
        <x:v>0</x:v>
      </x:c>
      <x:c r="O19" s="24">
        <x:f t="shared" si="9"/>
        <x:v>0</x:v>
      </x:c>
      <x:c r="U19" s="62">
        <x:f t="shared" si="0"/>
        <x:v>0</x:v>
      </x:c>
      <x:c r="V19" s="57">
        <x:f t="shared" si="10"/>
        <x:v>16</x:v>
      </x:c>
      <x:c r="W19" s="57">
        <x:f t="shared" si="1"/>
        <x:v>15</x:v>
      </x:c>
      <x:c r="X19" s="63"/>
    </x:row>
    <x:row r="20" spans="1:24" ht="24.949999999999999" customHeight="1">
      <x:c r="A20" s="18">
        <x:v>17</x:v>
      </x:c>
      <x:c r="B20" s="19"/>
      <x:c r="C20" s="20"/>
      <x:c r="D20" s="20"/>
      <x:c r="E20" s="20"/>
      <x:c r="F20" s="20"/>
      <x:c r="G20" s="21">
        <x:f t="shared" si="2"/>
        <x:v>0</x:v>
      </x:c>
      <x:c r="H20" s="22">
        <x:f t="shared" si="3"/>
        <x:v>0</x:v>
      </x:c>
      <x:c r="I20" s="23" t="str">
        <x:f>IF(B20="","",IFERROR(INDEX('회원명단 및 기준에버'!D:G,MATCH(B20,'회원명단 및 기준에버'!$C:$C,0),CHOOSE(INT((MONTH($N$2)-1)/3)+1,1,2,3,4)),""))</x:f>
        <x:v/>
      </x:c>
      <x:c r="J20" s="5">
        <x:f t="shared" si="6"/>
        <x:v>0</x:v>
      </x:c>
      <x:c r="K20" s="5">
        <x:f t="shared" si="7"/>
        <x:v>0</x:v>
      </x:c>
      <x:c r="L20" s="5">
        <x:f t="shared" si="8"/>
        <x:v>0</x:v>
      </x:c>
      <x:c r="M20" s="5">
        <x:f t="shared" si="4"/>
        <x:v>0</x:v>
      </x:c>
      <x:c r="N20" s="6">
        <x:f t="shared" si="5"/>
        <x:v>0</x:v>
      </x:c>
      <x:c r="O20" s="24">
        <x:f t="shared" si="9"/>
        <x:v>0</x:v>
      </x:c>
      <x:c r="U20" s="62">
        <x:f t="shared" si="0"/>
        <x:v>0</x:v>
      </x:c>
      <x:c r="V20" s="57">
        <x:f t="shared" si="10"/>
        <x:v>17</x:v>
      </x:c>
      <x:c r="W20" s="57">
        <x:f t="shared" si="1"/>
        <x:v>14</x:v>
      </x:c>
      <x:c r="X20" s="63"/>
    </x:row>
    <x:row r="21" spans="1:24" ht="24.949999999999999" customHeight="1">
      <x:c r="A21" s="18">
        <x:v>18</x:v>
      </x:c>
      <x:c r="B21" s="19"/>
      <x:c r="C21" s="20"/>
      <x:c r="D21" s="20"/>
      <x:c r="E21" s="20"/>
      <x:c r="F21" s="20"/>
      <x:c r="G21" s="21">
        <x:f t="shared" si="2"/>
        <x:v>0</x:v>
      </x:c>
      <x:c r="H21" s="22">
        <x:f t="shared" si="3"/>
        <x:v>0</x:v>
      </x:c>
      <x:c r="I21" s="23" t="str">
        <x:f>IF(B21="","",IFERROR(INDEX('회원명단 및 기준에버'!D:G,MATCH(B21,'회원명단 및 기준에버'!$C:$C,0),CHOOSE(INT((MONTH($N$2)-1)/3)+1,1,2,3,4)),""))</x:f>
        <x:v/>
      </x:c>
      <x:c r="J21" s="5">
        <x:f t="shared" si="6"/>
        <x:v>0</x:v>
      </x:c>
      <x:c r="K21" s="5">
        <x:f t="shared" si="7"/>
        <x:v>0</x:v>
      </x:c>
      <x:c r="L21" s="5">
        <x:f t="shared" si="8"/>
        <x:v>0</x:v>
      </x:c>
      <x:c r="M21" s="5">
        <x:f t="shared" si="4"/>
        <x:v>0</x:v>
      </x:c>
      <x:c r="N21" s="6">
        <x:f t="shared" si="5"/>
        <x:v>0</x:v>
      </x:c>
      <x:c r="O21" s="24">
        <x:f t="shared" si="9"/>
        <x:v>0</x:v>
      </x:c>
      <x:c r="U21" s="62">
        <x:f t="shared" si="0"/>
        <x:v>0</x:v>
      </x:c>
      <x:c r="V21" s="57">
        <x:f t="shared" si="10"/>
        <x:v>18</x:v>
      </x:c>
      <x:c r="W21" s="57">
        <x:f t="shared" si="1"/>
        <x:v>13</x:v>
      </x:c>
      <x:c r="X21" s="63"/>
    </x:row>
    <x:row r="22" spans="1:24" ht="24.949999999999999" customHeight="1">
      <x:c r="A22" s="18">
        <x:v>19</x:v>
      </x:c>
      <x:c r="B22" s="19"/>
      <x:c r="C22" s="20"/>
      <x:c r="D22" s="20"/>
      <x:c r="E22" s="20"/>
      <x:c r="F22" s="20"/>
      <x:c r="G22" s="21">
        <x:f t="shared" si="2"/>
        <x:v>0</x:v>
      </x:c>
      <x:c r="H22" s="22">
        <x:f t="shared" si="3"/>
        <x:v>0</x:v>
      </x:c>
      <x:c r="I22" s="23" t="str">
        <x:f>IF(B22="","",IFERROR(INDEX('회원명단 및 기준에버'!D:G,MATCH(B22,'회원명단 및 기준에버'!$C:$C,0),CHOOSE(INT((MONTH($N$2)-1)/3)+1,1,2,3,4)),""))</x:f>
        <x:v/>
      </x:c>
      <x:c r="J22" s="5">
        <x:f t="shared" si="6"/>
        <x:v>0</x:v>
      </x:c>
      <x:c r="K22" s="5">
        <x:f t="shared" si="7"/>
        <x:v>0</x:v>
      </x:c>
      <x:c r="L22" s="5">
        <x:f t="shared" si="8"/>
        <x:v>0</x:v>
      </x:c>
      <x:c r="M22" s="5">
        <x:f t="shared" si="4"/>
        <x:v>0</x:v>
      </x:c>
      <x:c r="N22" s="6">
        <x:f t="shared" si="5"/>
        <x:v>0</x:v>
      </x:c>
      <x:c r="O22" s="24">
        <x:f t="shared" si="9"/>
        <x:v>0</x:v>
      </x:c>
      <x:c r="U22" s="62">
        <x:f t="shared" si="0"/>
        <x:v>0</x:v>
      </x:c>
      <x:c r="V22" s="57">
        <x:f t="shared" si="10"/>
        <x:v>19</x:v>
      </x:c>
      <x:c r="W22" s="57">
        <x:f t="shared" si="1"/>
        <x:v>12</x:v>
      </x:c>
      <x:c r="X22" s="63"/>
    </x:row>
    <x:row r="23" spans="1:24" ht="24.949999999999999" customHeight="1">
      <x:c r="A23" s="18">
        <x:v>20</x:v>
      </x:c>
      <x:c r="B23" s="19"/>
      <x:c r="C23" s="20"/>
      <x:c r="D23" s="20"/>
      <x:c r="E23" s="20"/>
      <x:c r="F23" s="20"/>
      <x:c r="G23" s="21">
        <x:f t="shared" si="2"/>
        <x:v>0</x:v>
      </x:c>
      <x:c r="H23" s="22">
        <x:f t="shared" si="3"/>
        <x:v>0</x:v>
      </x:c>
      <x:c r="I23" s="23" t="str">
        <x:f>IF(B23="","",IFERROR(INDEX('회원명단 및 기준에버'!D:G,MATCH(B23,'회원명단 및 기준에버'!$C:$C,0),CHOOSE(INT((MONTH($N$2)-1)/3)+1,1,2,3,4)),""))</x:f>
        <x:v/>
      </x:c>
      <x:c r="J23" s="5">
        <x:f t="shared" si="6"/>
        <x:v>0</x:v>
      </x:c>
      <x:c r="K23" s="5">
        <x:f t="shared" si="7"/>
        <x:v>0</x:v>
      </x:c>
      <x:c r="L23" s="5">
        <x:f t="shared" si="8"/>
        <x:v>0</x:v>
      </x:c>
      <x:c r="M23" s="5">
        <x:f t="shared" si="4"/>
        <x:v>0</x:v>
      </x:c>
      <x:c r="N23" s="6">
        <x:f t="shared" si="5"/>
        <x:v>0</x:v>
      </x:c>
      <x:c r="O23" s="24">
        <x:f t="shared" si="9"/>
        <x:v>0</x:v>
      </x:c>
      <x:c r="U23" s="62">
        <x:f t="shared" si="0"/>
        <x:v>0</x:v>
      </x:c>
      <x:c r="V23" s="57">
        <x:f t="shared" si="10"/>
        <x:v>20</x:v>
      </x:c>
      <x:c r="W23" s="57">
        <x:f t="shared" si="1"/>
        <x:v>11</x:v>
      </x:c>
      <x:c r="X23" s="63"/>
    </x:row>
    <x:row r="24" spans="1:24" ht="24.949999999999999" customHeight="1">
      <x:c r="A24" s="18">
        <x:v>21</x:v>
      </x:c>
      <x:c r="B24" s="19"/>
      <x:c r="C24" s="20"/>
      <x:c r="D24" s="20"/>
      <x:c r="E24" s="20"/>
      <x:c r="F24" s="20"/>
      <x:c r="G24" s="21">
        <x:f t="shared" si="2"/>
        <x:v>0</x:v>
      </x:c>
      <x:c r="H24" s="22">
        <x:f t="shared" si="3"/>
        <x:v>0</x:v>
      </x:c>
      <x:c r="I24" s="23" t="str">
        <x:f>IF(B24="","",IFERROR(INDEX('회원명단 및 기준에버'!D:G,MATCH(B24,'회원명단 및 기준에버'!$C:$C,0),CHOOSE(INT((MONTH($N$2)-1)/3)+1,1,2,3,4)),""))</x:f>
        <x:v/>
      </x:c>
      <x:c r="J24" s="5">
        <x:f t="shared" si="6"/>
        <x:v>0</x:v>
      </x:c>
      <x:c r="K24" s="5">
        <x:f t="shared" si="7"/>
        <x:v>0</x:v>
      </x:c>
      <x:c r="L24" s="5">
        <x:f t="shared" si="8"/>
        <x:v>0</x:v>
      </x:c>
      <x:c r="M24" s="5">
        <x:f t="shared" si="4"/>
        <x:v>0</x:v>
      </x:c>
      <x:c r="N24" s="6">
        <x:f t="shared" si="5"/>
        <x:v>0</x:v>
      </x:c>
      <x:c r="O24" s="24">
        <x:f t="shared" si="9"/>
        <x:v>0</x:v>
      </x:c>
      <x:c r="U24" s="62">
        <x:f t="shared" si="0"/>
        <x:v>0</x:v>
      </x:c>
      <x:c r="V24" s="57">
        <x:f t="shared" si="10"/>
        <x:v>21</x:v>
      </x:c>
      <x:c r="W24" s="57">
        <x:f t="shared" si="1"/>
        <x:v>10</x:v>
      </x:c>
      <x:c r="X24" s="63"/>
    </x:row>
    <x:row r="25" spans="1:24" ht="24.949999999999999" customHeight="1">
      <x:c r="A25" s="18">
        <x:v>22</x:v>
      </x:c>
      <x:c r="B25" s="19"/>
      <x:c r="C25" s="20"/>
      <x:c r="D25" s="20"/>
      <x:c r="E25" s="20"/>
      <x:c r="F25" s="20"/>
      <x:c r="G25" s="21">
        <x:f t="shared" si="2"/>
        <x:v>0</x:v>
      </x:c>
      <x:c r="H25" s="22">
        <x:f t="shared" si="3"/>
        <x:v>0</x:v>
      </x:c>
      <x:c r="I25" s="23" t="str">
        <x:f>IF(B25="","",IFERROR(INDEX('회원명단 및 기준에버'!D:G,MATCH(B25,'회원명단 및 기준에버'!$C:$C,0),CHOOSE(INT((MONTH($N$2)-1)/3)+1,1,2,3,4)),""))</x:f>
        <x:v/>
      </x:c>
      <x:c r="J25" s="5">
        <x:f t="shared" si="6"/>
        <x:v>0</x:v>
      </x:c>
      <x:c r="K25" s="5">
        <x:f t="shared" si="7"/>
        <x:v>0</x:v>
      </x:c>
      <x:c r="L25" s="5">
        <x:f t="shared" si="8"/>
        <x:v>0</x:v>
      </x:c>
      <x:c r="M25" s="5">
        <x:f t="shared" si="4"/>
        <x:v>0</x:v>
      </x:c>
      <x:c r="N25" s="6">
        <x:f t="shared" si="5"/>
        <x:v>0</x:v>
      </x:c>
      <x:c r="O25" s="24">
        <x:f t="shared" si="9"/>
        <x:v>0</x:v>
      </x:c>
      <x:c r="U25" s="62">
        <x:f t="shared" si="0"/>
        <x:v>0</x:v>
      </x:c>
      <x:c r="V25" s="57">
        <x:f t="shared" si="10"/>
        <x:v>22</x:v>
      </x:c>
      <x:c r="W25" s="57">
        <x:f t="shared" si="1"/>
        <x:v>9</x:v>
      </x:c>
      <x:c r="X25" s="63"/>
    </x:row>
    <x:row r="26" spans="1:24" ht="24.949999999999999" customHeight="1">
      <x:c r="A26" s="18">
        <x:v>23</x:v>
      </x:c>
      <x:c r="B26" s="19"/>
      <x:c r="C26" s="20"/>
      <x:c r="D26" s="20"/>
      <x:c r="E26" s="20"/>
      <x:c r="F26" s="20"/>
      <x:c r="G26" s="21">
        <x:f t="shared" si="2"/>
        <x:v>0</x:v>
      </x:c>
      <x:c r="H26" s="22">
        <x:f t="shared" si="3"/>
        <x:v>0</x:v>
      </x:c>
      <x:c r="I26" s="23" t="str">
        <x:f>IF(B26="","",IFERROR(INDEX('회원명단 및 기준에버'!D:G,MATCH(B26,'회원명단 및 기준에버'!$C:$C,0),CHOOSE(INT((MONTH($N$2)-1)/3)+1,1,2,3,4)),""))</x:f>
        <x:v/>
      </x:c>
      <x:c r="J26" s="5">
        <x:f t="shared" si="6"/>
        <x:v>0</x:v>
      </x:c>
      <x:c r="K26" s="5">
        <x:f t="shared" si="7"/>
        <x:v>0</x:v>
      </x:c>
      <x:c r="L26" s="5">
        <x:f t="shared" si="8"/>
        <x:v>0</x:v>
      </x:c>
      <x:c r="M26" s="5">
        <x:f t="shared" si="4"/>
        <x:v>0</x:v>
      </x:c>
      <x:c r="N26" s="6">
        <x:f t="shared" si="5"/>
        <x:v>0</x:v>
      </x:c>
      <x:c r="O26" s="24">
        <x:f t="shared" si="9"/>
        <x:v>0</x:v>
      </x:c>
      <x:c r="U26" s="62">
        <x:f t="shared" si="0"/>
        <x:v>0</x:v>
      </x:c>
      <x:c r="V26" s="57">
        <x:f t="shared" si="10"/>
        <x:v>23</x:v>
      </x:c>
      <x:c r="W26" s="57">
        <x:f t="shared" si="1"/>
        <x:v>8</x:v>
      </x:c>
      <x:c r="X26" s="63"/>
    </x:row>
    <x:row r="27" spans="1:24" ht="24.949999999999999" customHeight="1">
      <x:c r="A27" s="18">
        <x:v>24</x:v>
      </x:c>
      <x:c r="B27" s="19"/>
      <x:c r="C27" s="20"/>
      <x:c r="D27" s="20"/>
      <x:c r="E27" s="20"/>
      <x:c r="F27" s="20"/>
      <x:c r="G27" s="21">
        <x:f t="shared" si="2"/>
        <x:v>0</x:v>
      </x:c>
      <x:c r="H27" s="22">
        <x:f t="shared" si="3"/>
        <x:v>0</x:v>
      </x:c>
      <x:c r="I27" s="23" t="str">
        <x:f>IF(B27="","",IFERROR(INDEX('회원명단 및 기준에버'!D:G,MATCH(B27,'회원명단 및 기준에버'!$C:$C,0),CHOOSE(INT((MONTH($N$2)-1)/3)+1,1,2,3,4)),""))</x:f>
        <x:v/>
      </x:c>
      <x:c r="J27" s="5">
        <x:f t="shared" si="6"/>
        <x:v>0</x:v>
      </x:c>
      <x:c r="K27" s="5">
        <x:f t="shared" si="7"/>
        <x:v>0</x:v>
      </x:c>
      <x:c r="L27" s="5">
        <x:f t="shared" si="8"/>
        <x:v>0</x:v>
      </x:c>
      <x:c r="M27" s="5">
        <x:f t="shared" si="4"/>
        <x:v>0</x:v>
      </x:c>
      <x:c r="N27" s="6">
        <x:f t="shared" si="5"/>
        <x:v>0</x:v>
      </x:c>
      <x:c r="O27" s="24">
        <x:f t="shared" si="9"/>
        <x:v>0</x:v>
      </x:c>
      <x:c r="U27" s="62">
        <x:f t="shared" si="0"/>
        <x:v>0</x:v>
      </x:c>
      <x:c r="V27" s="57">
        <x:f t="shared" si="10"/>
        <x:v>24</x:v>
      </x:c>
      <x:c r="W27" s="57">
        <x:f t="shared" si="1"/>
        <x:v>7</x:v>
      </x:c>
      <x:c r="X27" s="63"/>
    </x:row>
    <x:row r="28" spans="1:24" ht="24.949999999999999" customHeight="1">
      <x:c r="A28" s="18">
        <x:v>25</x:v>
      </x:c>
      <x:c r="B28" s="19"/>
      <x:c r="C28" s="20"/>
      <x:c r="D28" s="20"/>
      <x:c r="E28" s="20"/>
      <x:c r="F28" s="20"/>
      <x:c r="G28" s="21">
        <x:f t="shared" si="2"/>
        <x:v>0</x:v>
      </x:c>
      <x:c r="H28" s="22">
        <x:f t="shared" si="3"/>
        <x:v>0</x:v>
      </x:c>
      <x:c r="I28" s="23" t="str">
        <x:f>IF(B28="","",IFERROR(INDEX('회원명단 및 기준에버'!D:G,MATCH(B28,'회원명단 및 기준에버'!$C:$C,0),CHOOSE(INT((MONTH($N$2)-1)/3)+1,1,2,3,4)),""))</x:f>
        <x:v/>
      </x:c>
      <x:c r="J28" s="5">
        <x:f t="shared" si="6"/>
        <x:v>0</x:v>
      </x:c>
      <x:c r="K28" s="5">
        <x:f t="shared" si="7"/>
        <x:v>0</x:v>
      </x:c>
      <x:c r="L28" s="5">
        <x:f t="shared" si="8"/>
        <x:v>0</x:v>
      </x:c>
      <x:c r="M28" s="5">
        <x:f t="shared" si="4"/>
        <x:v>0</x:v>
      </x:c>
      <x:c r="N28" s="6">
        <x:f t="shared" si="5"/>
        <x:v>0</x:v>
      </x:c>
      <x:c r="O28" s="24">
        <x:f t="shared" si="9"/>
        <x:v>0</x:v>
      </x:c>
      <x:c r="U28" s="62">
        <x:f t="shared" si="0"/>
        <x:v>0</x:v>
      </x:c>
      <x:c r="V28" s="57">
        <x:f t="shared" si="10"/>
        <x:v>25</x:v>
      </x:c>
      <x:c r="W28" s="57">
        <x:f t="shared" si="1"/>
        <x:v>6</x:v>
      </x:c>
      <x:c r="X28" s="63"/>
    </x:row>
    <x:row r="29" spans="1:24" ht="24.949999999999999" customHeight="1">
      <x:c r="A29" s="18">
        <x:v>26</x:v>
      </x:c>
      <x:c r="B29" s="19"/>
      <x:c r="C29" s="20"/>
      <x:c r="D29" s="20"/>
      <x:c r="E29" s="20"/>
      <x:c r="F29" s="20"/>
      <x:c r="G29" s="21">
        <x:f t="shared" si="2"/>
        <x:v>0</x:v>
      </x:c>
      <x:c r="H29" s="22">
        <x:f t="shared" si="3"/>
        <x:v>0</x:v>
      </x:c>
      <x:c r="I29" s="23" t="str">
        <x:f>IF(B29="","",IFERROR(INDEX('회원명단 및 기준에버'!D:G,MATCH(B29,'회원명단 및 기준에버'!$C:$C,0),CHOOSE(INT((MONTH($N$2)-1)/3)+1,1,2,3,4)),""))</x:f>
        <x:v/>
      </x:c>
      <x:c r="J29" s="5">
        <x:f t="shared" si="6"/>
        <x:v>0</x:v>
      </x:c>
      <x:c r="K29" s="5">
        <x:f t="shared" si="7"/>
        <x:v>0</x:v>
      </x:c>
      <x:c r="L29" s="5">
        <x:f t="shared" si="8"/>
        <x:v>0</x:v>
      </x:c>
      <x:c r="M29" s="5">
        <x:f t="shared" si="4"/>
        <x:v>0</x:v>
      </x:c>
      <x:c r="N29" s="6">
        <x:f t="shared" si="5"/>
        <x:v>0</x:v>
      </x:c>
      <x:c r="O29" s="24">
        <x:f t="shared" si="9"/>
        <x:v>0</x:v>
      </x:c>
      <x:c r="U29" s="62">
        <x:f t="shared" si="0"/>
        <x:v>0</x:v>
      </x:c>
      <x:c r="V29" s="57">
        <x:f t="shared" si="10"/>
        <x:v>26</x:v>
      </x:c>
      <x:c r="W29" s="57">
        <x:f t="shared" si="1"/>
        <x:v>5</x:v>
      </x:c>
      <x:c r="X29" s="63"/>
    </x:row>
    <x:row r="30" spans="1:24" ht="24.949999999999999" customHeight="1">
      <x:c r="A30" s="18">
        <x:v>27</x:v>
      </x:c>
      <x:c r="B30" s="19"/>
      <x:c r="C30" s="20"/>
      <x:c r="D30" s="20"/>
      <x:c r="E30" s="20"/>
      <x:c r="F30" s="20"/>
      <x:c r="G30" s="21">
        <x:f t="shared" si="2"/>
        <x:v>0</x:v>
      </x:c>
      <x:c r="H30" s="22">
        <x:f t="shared" si="3"/>
        <x:v>0</x:v>
      </x:c>
      <x:c r="I30" s="23" t="str">
        <x:f>IF(B30="","",IFERROR(INDEX('회원명단 및 기준에버'!D:G,MATCH(B30,'회원명단 및 기준에버'!$C:$C,0),CHOOSE(INT((MONTH($N$2)-1)/3)+1,1,2,3,4)),""))</x:f>
        <x:v/>
      </x:c>
      <x:c r="J30" s="5">
        <x:f t="shared" si="6"/>
        <x:v>0</x:v>
      </x:c>
      <x:c r="K30" s="5">
        <x:f t="shared" si="7"/>
        <x:v>0</x:v>
      </x:c>
      <x:c r="L30" s="5">
        <x:f t="shared" si="8"/>
        <x:v>0</x:v>
      </x:c>
      <x:c r="M30" s="5">
        <x:f t="shared" si="4"/>
        <x:v>0</x:v>
      </x:c>
      <x:c r="N30" s="6">
        <x:f t="shared" si="5"/>
        <x:v>0</x:v>
      </x:c>
      <x:c r="O30" s="24">
        <x:f t="shared" si="9"/>
        <x:v>0</x:v>
      </x:c>
      <x:c r="U30" s="62">
        <x:f t="shared" si="0"/>
        <x:v>0</x:v>
      </x:c>
      <x:c r="V30" s="57">
        <x:f t="shared" si="10"/>
        <x:v>27</x:v>
      </x:c>
      <x:c r="W30" s="57">
        <x:f t="shared" si="1"/>
        <x:v>4</x:v>
      </x:c>
      <x:c r="X30" s="63"/>
    </x:row>
    <x:row r="31" spans="1:24" ht="24.949999999999999" customHeight="1">
      <x:c r="A31" s="18">
        <x:v>28</x:v>
      </x:c>
      <x:c r="B31" s="19"/>
      <x:c r="C31" s="20"/>
      <x:c r="D31" s="20"/>
      <x:c r="E31" s="20"/>
      <x:c r="F31" s="20"/>
      <x:c r="G31" s="21">
        <x:f t="shared" si="2"/>
        <x:v>0</x:v>
      </x:c>
      <x:c r="H31" s="22">
        <x:f t="shared" si="3"/>
        <x:v>0</x:v>
      </x:c>
      <x:c r="I31" s="23" t="str">
        <x:f>IF(B31="","",IFERROR(INDEX('회원명단 및 기준에버'!D:G,MATCH(B31,'회원명단 및 기준에버'!$C:$C,0),CHOOSE(INT((MONTH($N$2)-1)/3)+1,1,2,3,4)),""))</x:f>
        <x:v/>
      </x:c>
      <x:c r="J31" s="5">
        <x:f t="shared" si="6"/>
        <x:v>0</x:v>
      </x:c>
      <x:c r="K31" s="5">
        <x:f t="shared" si="7"/>
        <x:v>0</x:v>
      </x:c>
      <x:c r="L31" s="5">
        <x:f t="shared" si="8"/>
        <x:v>0</x:v>
      </x:c>
      <x:c r="M31" s="5">
        <x:f t="shared" si="4"/>
        <x:v>0</x:v>
      </x:c>
      <x:c r="N31" s="6">
        <x:f t="shared" si="5"/>
        <x:v>0</x:v>
      </x:c>
      <x:c r="O31" s="24">
        <x:f t="shared" si="9"/>
        <x:v>0</x:v>
      </x:c>
      <x:c r="U31" s="62">
        <x:f t="shared" si="0"/>
        <x:v>0</x:v>
      </x:c>
      <x:c r="V31" s="57">
        <x:f t="shared" si="10"/>
        <x:v>28</x:v>
      </x:c>
      <x:c r="W31" s="57">
        <x:f t="shared" si="1"/>
        <x:v>3</x:v>
      </x:c>
      <x:c r="X31" s="63"/>
    </x:row>
    <x:row r="32" spans="1:24" ht="24.949999999999999" customHeight="1">
      <x:c r="A32" s="18">
        <x:v>29</x:v>
      </x:c>
      <x:c r="B32" s="19"/>
      <x:c r="C32" s="20"/>
      <x:c r="D32" s="20"/>
      <x:c r="E32" s="20"/>
      <x:c r="F32" s="20"/>
      <x:c r="G32" s="21">
        <x:f t="shared" si="2"/>
        <x:v>0</x:v>
      </x:c>
      <x:c r="H32" s="22">
        <x:f t="shared" si="3"/>
        <x:v>0</x:v>
      </x:c>
      <x:c r="I32" s="23" t="str">
        <x:f>IF(B32="","",IFERROR(INDEX('회원명단 및 기준에버'!D:G,MATCH(B32,'회원명단 및 기준에버'!$C:$C,0),CHOOSE(INT((MONTH($N$2)-1)/3)+1,1,2,3,4)),""))</x:f>
        <x:v/>
      </x:c>
      <x:c r="J32" s="5">
        <x:f t="shared" si="6"/>
        <x:v>0</x:v>
      </x:c>
      <x:c r="K32" s="5">
        <x:f t="shared" si="7"/>
        <x:v>0</x:v>
      </x:c>
      <x:c r="L32" s="5">
        <x:f t="shared" si="8"/>
        <x:v>0</x:v>
      </x:c>
      <x:c r="M32" s="5">
        <x:f t="shared" si="4"/>
        <x:v>0</x:v>
      </x:c>
      <x:c r="N32" s="6">
        <x:f t="shared" si="5"/>
        <x:v>0</x:v>
      </x:c>
      <x:c r="O32" s="24">
        <x:f t="shared" si="9"/>
        <x:v>0</x:v>
      </x:c>
      <x:c r="U32" s="62">
        <x:f t="shared" si="0"/>
        <x:v>0</x:v>
      </x:c>
      <x:c r="V32" s="57">
        <x:f t="shared" si="10"/>
        <x:v>29</x:v>
      </x:c>
      <x:c r="W32" s="57">
        <x:f t="shared" si="1"/>
        <x:v>2</x:v>
      </x:c>
      <x:c r="X32" s="63"/>
    </x:row>
    <x:row r="33" spans="1:24" ht="24.949999999999999" customHeight="1">
      <x:c r="A33" s="18">
        <x:v>30</x:v>
      </x:c>
      <x:c r="B33" s="40"/>
      <x:c r="C33" s="41"/>
      <x:c r="D33" s="41"/>
      <x:c r="E33" s="41"/>
      <x:c r="F33" s="41"/>
      <x:c r="G33" s="21">
        <x:f t="shared" si="2"/>
        <x:v>0</x:v>
      </x:c>
      <x:c r="H33" s="42">
        <x:f t="shared" si="3"/>
        <x:v>0</x:v>
      </x:c>
      <x:c r="I33" s="43" t="str">
        <x:f>IF(B33="","",IFERROR(INDEX('회원명단 및 기준에버'!D:G,MATCH(B33,'회원명단 및 기준에버'!$C:$C,0),CHOOSE(INT((MONTH($N$2)-1)/3)+1,1,2,3,4)),""))</x:f>
        <x:v/>
      </x:c>
      <x:c r="J33" s="44">
        <x:f t="shared" si="6"/>
        <x:v>0</x:v>
      </x:c>
      <x:c r="K33" s="44">
        <x:f t="shared" si="7"/>
        <x:v>0</x:v>
      </x:c>
      <x:c r="L33" s="44">
        <x:f t="shared" si="8"/>
        <x:v>0</x:v>
      </x:c>
      <x:c r="M33" s="44">
        <x:f t="shared" si="4"/>
        <x:v>0</x:v>
      </x:c>
      <x:c r="N33" s="45">
        <x:f t="shared" si="5"/>
        <x:v>0</x:v>
      </x:c>
      <x:c r="O33" s="46">
        <x:f t="shared" si="9"/>
        <x:v>0</x:v>
      </x:c>
      <x:c r="U33" s="64">
        <x:f t="shared" si="0"/>
        <x:v>0</x:v>
      </x:c>
      <x:c r="V33" s="58">
        <x:f t="shared" si="10"/>
        <x:v>30</x:v>
      </x:c>
      <x:c r="W33" s="58">
        <x:f t="shared" si="1"/>
        <x:v>1</x:v>
      </x:c>
      <x:c r="X33" s="65"/>
    </x:row>
    <x:row r="34" spans="1:15" s="11" customFormat="1" ht="24.949999999999999" customHeight="1">
      <x:c r="A34" s="12"/>
      <x:c r="B34" s="120" t="s">
        <x:v>21</x:v>
      </x:c>
      <x:c r="C34" s="121"/>
      <x:c r="D34" s="121"/>
      <x:c r="E34" s="121"/>
      <x:c r="F34" s="120"/>
      <x:c r="G34" s="121"/>
      <x:c r="H34" s="121"/>
      <x:c r="I34" s="121"/>
      <x:c r="J34" s="121"/>
      <x:c r="K34" s="121"/>
      <x:c r="L34" s="121"/>
      <x:c r="M34" s="120"/>
      <x:c r="N34" s="121"/>
      <x:c r="O34" s="122"/>
    </x:row>
    <x:row r="35" spans="2:15" s="11" customFormat="1" ht="24.949999999999999" customHeight="1">
      <x:c r="B35" s="13">
        <x:f t="shared" ref="B35:B40" si="11">$B4</x:f>
        <x:v>0</x:v>
      </x:c>
      <x:c r="C35" s="49">
        <x:f t="shared" ref="C35:C40" si="12">IF($V$2=0,$C4,$J4)</x:f>
        <x:v>0</x:v>
      </x:c>
      <x:c r="D35" s="49">
        <x:f t="shared" ref="D35:D40" si="13">IF($V$2=0,$D4,$K4)</x:f>
        <x:v>0</x:v>
      </x:c>
      <x:c r="E35" s="49">
        <x:f t="shared" ref="E35:E40" si="14">IF($V$2=0,$E4,$L4)</x:f>
        <x:v>0</x:v>
      </x:c>
      <x:c r="F35" s="49">
        <x:f t="shared" ref="F35:F40" si="15">IF($V$2=0,$F4,$M4)</x:f>
        <x:v>0</x:v>
      </x:c>
      <x:c r="G35" s="123">
        <x:f>E41+D41+C41+F41</x:f>
        <x:v>0</x:v>
      </x:c>
      <x:c r="H35" s="115"/>
      <x:c r="I35" s="50">
        <x:f>$B10</x:f>
        <x:v>0</x:v>
      </x:c>
      <x:c r="J35" s="49">
        <x:f t="shared" ref="J35:J40" si="16">IF($V$2=0,$C10,$J10)</x:f>
        <x:v>0</x:v>
      </x:c>
      <x:c r="K35" s="49">
        <x:f t="shared" ref="K35:K40" si="17">IF($V$2=0,$D10,$K10)</x:f>
        <x:v>0</x:v>
      </x:c>
      <x:c r="L35" s="49">
        <x:f t="shared" ref="L35:L40" si="18">IF($V$2=0,$E10,$L10)</x:f>
        <x:v>0</x:v>
      </x:c>
      <x:c r="M35" s="55">
        <x:f t="shared" ref="M35:M40" si="19">IF($V$2=0,$F10,$M10)</x:f>
        <x:v>0</x:v>
      </x:c>
      <x:c r="N35" s="129">
        <x:f>L41+K41+J41+M41</x:f>
        <x:v>0</x:v>
      </x:c>
      <x:c r="O35" s="126"/>
    </x:row>
    <x:row r="36" spans="2:15" s="11" customFormat="1" ht="24.949999999999999" customHeight="1">
      <x:c r="B36" s="18">
        <x:f t="shared" si="11"/>
        <x:v>0</x:v>
      </x:c>
      <x:c r="C36" s="5">
        <x:f t="shared" si="12"/>
        <x:v>0</x:v>
      </x:c>
      <x:c r="D36" s="5">
        <x:f t="shared" si="13"/>
        <x:v>0</x:v>
      </x:c>
      <x:c r="E36" s="5">
        <x:f t="shared" si="14"/>
        <x:v>0</x:v>
      </x:c>
      <x:c r="F36" s="5">
        <x:f t="shared" si="15"/>
        <x:v>0</x:v>
      </x:c>
      <x:c r="G36" s="124"/>
      <x:c r="H36" s="116"/>
      <x:c r="I36" s="18">
        <x:f>$B11</x:f>
        <x:v>0</x:v>
      </x:c>
      <x:c r="J36" s="5">
        <x:f t="shared" si="16"/>
        <x:v>0</x:v>
      </x:c>
      <x:c r="K36" s="5">
        <x:f t="shared" si="17"/>
        <x:v>0</x:v>
      </x:c>
      <x:c r="L36" s="5">
        <x:f t="shared" si="18"/>
        <x:v>0</x:v>
      </x:c>
      <x:c r="M36" s="5">
        <x:f t="shared" si="19"/>
        <x:v>0</x:v>
      </x:c>
      <x:c r="N36" s="130"/>
      <x:c r="O36" s="127"/>
    </x:row>
    <x:row r="37" spans="2:15" s="11" customFormat="1" ht="24.949999999999999" customHeight="1">
      <x:c r="B37" s="18">
        <x:f t="shared" si="11"/>
        <x:v>0</x:v>
      </x:c>
      <x:c r="C37" s="5">
        <x:f t="shared" si="12"/>
        <x:v>0</x:v>
      </x:c>
      <x:c r="D37" s="5">
        <x:f t="shared" si="13"/>
        <x:v>0</x:v>
      </x:c>
      <x:c r="E37" s="5">
        <x:f t="shared" si="14"/>
        <x:v>0</x:v>
      </x:c>
      <x:c r="F37" s="5">
        <x:f t="shared" si="15"/>
        <x:v>0</x:v>
      </x:c>
      <x:c r="G37" s="124"/>
      <x:c r="H37" s="116"/>
      <x:c r="I37" s="18">
        <x:f t="shared" ref="I37:I40" si="20">$B12</x:f>
        <x:v>0</x:v>
      </x:c>
      <x:c r="J37" s="5">
        <x:f t="shared" si="16"/>
        <x:v>0</x:v>
      </x:c>
      <x:c r="K37" s="5">
        <x:f t="shared" si="17"/>
        <x:v>0</x:v>
      </x:c>
      <x:c r="L37" s="5">
        <x:f t="shared" si="18"/>
        <x:v>0</x:v>
      </x:c>
      <x:c r="M37" s="5">
        <x:f t="shared" si="19"/>
        <x:v>0</x:v>
      </x:c>
      <x:c r="N37" s="130"/>
      <x:c r="O37" s="127"/>
    </x:row>
    <x:row r="38" spans="2:15" s="11" customFormat="1" ht="24.949999999999999" customHeight="1">
      <x:c r="B38" s="18">
        <x:f t="shared" si="11"/>
        <x:v>0</x:v>
      </x:c>
      <x:c r="C38" s="5">
        <x:f t="shared" si="12"/>
        <x:v>0</x:v>
      </x:c>
      <x:c r="D38" s="5">
        <x:f t="shared" si="13"/>
        <x:v>0</x:v>
      </x:c>
      <x:c r="E38" s="5">
        <x:f t="shared" si="14"/>
        <x:v>0</x:v>
      </x:c>
      <x:c r="F38" s="5">
        <x:f t="shared" si="15"/>
        <x:v>0</x:v>
      </x:c>
      <x:c r="G38" s="124"/>
      <x:c r="H38" s="116"/>
      <x:c r="I38" s="18">
        <x:f t="shared" si="20"/>
        <x:v>0</x:v>
      </x:c>
      <x:c r="J38" s="5">
        <x:f t="shared" si="16"/>
        <x:v>0</x:v>
      </x:c>
      <x:c r="K38" s="5">
        <x:f t="shared" si="17"/>
        <x:v>0</x:v>
      </x:c>
      <x:c r="L38" s="5">
        <x:f t="shared" si="18"/>
        <x:v>0</x:v>
      </x:c>
      <x:c r="M38" s="5">
        <x:f t="shared" si="19"/>
        <x:v>0</x:v>
      </x:c>
      <x:c r="N38" s="130"/>
      <x:c r="O38" s="127"/>
    </x:row>
    <x:row r="39" spans="2:15" s="11" customFormat="1" ht="24.949999999999999" customHeight="1">
      <x:c r="B39" s="18">
        <x:f t="shared" si="11"/>
        <x:v>0</x:v>
      </x:c>
      <x:c r="C39" s="5">
        <x:f t="shared" si="12"/>
        <x:v>0</x:v>
      </x:c>
      <x:c r="D39" s="5">
        <x:f t="shared" si="13"/>
        <x:v>0</x:v>
      </x:c>
      <x:c r="E39" s="5">
        <x:f t="shared" si="14"/>
        <x:v>0</x:v>
      </x:c>
      <x:c r="F39" s="5">
        <x:f t="shared" si="15"/>
        <x:v>0</x:v>
      </x:c>
      <x:c r="G39" s="124"/>
      <x:c r="H39" s="116"/>
      <x:c r="I39" s="18">
        <x:f t="shared" si="20"/>
        <x:v>0</x:v>
      </x:c>
      <x:c r="J39" s="5">
        <x:f t="shared" si="16"/>
        <x:v>0</x:v>
      </x:c>
      <x:c r="K39" s="5">
        <x:f t="shared" si="17"/>
        <x:v>0</x:v>
      </x:c>
      <x:c r="L39" s="5">
        <x:f t="shared" si="18"/>
        <x:v>0</x:v>
      </x:c>
      <x:c r="M39" s="5">
        <x:f t="shared" si="19"/>
        <x:v>0</x:v>
      </x:c>
      <x:c r="N39" s="130"/>
      <x:c r="O39" s="127"/>
    </x:row>
    <x:row r="40" spans="2:15" s="11" customFormat="1" ht="24.949999999999999" customHeight="1">
      <x:c r="B40" s="18">
        <x:f t="shared" si="11"/>
        <x:v>0</x:v>
      </x:c>
      <x:c r="C40" s="5">
        <x:f t="shared" si="12"/>
        <x:v>0</x:v>
      </x:c>
      <x:c r="D40" s="5">
        <x:f t="shared" si="13"/>
        <x:v>0</x:v>
      </x:c>
      <x:c r="E40" s="5">
        <x:f t="shared" si="14"/>
        <x:v>0</x:v>
      </x:c>
      <x:c r="F40" s="5">
        <x:f t="shared" si="15"/>
        <x:v>0</x:v>
      </x:c>
      <x:c r="G40" s="124"/>
      <x:c r="H40" s="116"/>
      <x:c r="I40" s="18">
        <x:f t="shared" si="20"/>
        <x:v>0</x:v>
      </x:c>
      <x:c r="J40" s="5">
        <x:f t="shared" si="16"/>
        <x:v>0</x:v>
      </x:c>
      <x:c r="K40" s="5">
        <x:f t="shared" si="17"/>
        <x:v>0</x:v>
      </x:c>
      <x:c r="L40" s="5">
        <x:f t="shared" si="18"/>
        <x:v>0</x:v>
      </x:c>
      <x:c r="M40" s="5">
        <x:f t="shared" si="19"/>
        <x:v>0</x:v>
      </x:c>
      <x:c r="N40" s="130"/>
      <x:c r="O40" s="127"/>
    </x:row>
    <x:row r="41" spans="2:15" s="11" customFormat="1" ht="24.949999999999999" customHeight="1">
      <x:c r="B41" s="53"/>
      <x:c r="C41" s="54">
        <x:f>SUM(C35:C40)</x:f>
        <x:v>0</x:v>
      </x:c>
      <x:c r="D41" s="54">
        <x:f>SUM(D35:D40)</x:f>
        <x:v>0</x:v>
      </x:c>
      <x:c r="E41" s="54">
        <x:f>SUM(E35:E40)</x:f>
        <x:v>0</x:v>
      </x:c>
      <x:c r="F41" s="54">
        <x:f>SUM(F35:F40)</x:f>
        <x:v>0</x:v>
      </x:c>
      <x:c r="G41" s="125"/>
      <x:c r="H41" s="117"/>
      <x:c r="I41" s="53"/>
      <x:c r="J41" s="54">
        <x:f>SUM(J35:J40)</x:f>
        <x:v>0</x:v>
      </x:c>
      <x:c r="K41" s="54">
        <x:f>SUM(K35:K40)</x:f>
        <x:v>0</x:v>
      </x:c>
      <x:c r="L41" s="54">
        <x:f>SUM(L35:L40)</x:f>
        <x:v>0</x:v>
      </x:c>
      <x:c r="M41" s="56">
        <x:f>SUM(M35:M40)</x:f>
        <x:v>0</x:v>
      </x:c>
      <x:c r="N41" s="131"/>
      <x:c r="O41" s="128"/>
    </x:row>
    <x:row r="42" s="11" customFormat="1" ht="9.9499999999999993" customHeight="1"/>
    <x:row r="43" spans="2:15" s="11" customFormat="1" ht="24.949999999999999" customHeight="1">
      <x:c r="B43" s="13">
        <x:f>$B16</x:f>
        <x:v>0</x:v>
      </x:c>
      <x:c r="C43" s="49">
        <x:f t="shared" ref="C43:C48" si="21">IF($V$2=0,$C16,$J16)</x:f>
        <x:v>0</x:v>
      </x:c>
      <x:c r="D43" s="49">
        <x:f t="shared" ref="D43:D48" si="22">IF($V$2=0,$D16,$K16)</x:f>
        <x:v>0</x:v>
      </x:c>
      <x:c r="E43" s="49">
        <x:f t="shared" ref="E43:E48" si="23">IF($V$2=0,$E16,$L16)</x:f>
        <x:v>0</x:v>
      </x:c>
      <x:c r="F43" s="49">
        <x:f t="shared" ref="F43:F48" si="24">IF($V$2=0,$F16,$M16)</x:f>
        <x:v>0</x:v>
      </x:c>
      <x:c r="G43" s="123">
        <x:f>E49+D49+C49+F49</x:f>
        <x:v>0</x:v>
      </x:c>
      <x:c r="H43" s="115"/>
      <x:c r="I43" s="50">
        <x:f>$B22</x:f>
        <x:v>0</x:v>
      </x:c>
      <x:c r="J43" s="49">
        <x:f t="shared" ref="J43:J48" si="25">IF($V$2=0,$C22,$J22)</x:f>
        <x:v>0</x:v>
      </x:c>
      <x:c r="K43" s="49">
        <x:f t="shared" ref="K43:K48" si="26">IF($V$2=0,$D22,$K22)</x:f>
        <x:v>0</x:v>
      </x:c>
      <x:c r="L43" s="49">
        <x:f t="shared" ref="L43:L48" si="27">IF($V$2=0,$E22,$L22)</x:f>
        <x:v>0</x:v>
      </x:c>
      <x:c r="M43" s="49">
        <x:f t="shared" ref="M43:M48" si="28">IF($V$2=0,$F22,$M22)</x:f>
        <x:v>0</x:v>
      </x:c>
      <x:c r="N43" s="129">
        <x:f>L49+K49+J49+M49</x:f>
        <x:v>0</x:v>
      </x:c>
      <x:c r="O43" s="126"/>
    </x:row>
    <x:row r="44" spans="2:15" s="12" customFormat="1" ht="24.949999999999999" customHeight="1">
      <x:c r="B44" s="18">
        <x:f>$B17</x:f>
        <x:v>0</x:v>
      </x:c>
      <x:c r="C44" s="5">
        <x:f t="shared" si="21"/>
        <x:v>0</x:v>
      </x:c>
      <x:c r="D44" s="5">
        <x:f t="shared" si="22"/>
        <x:v>0</x:v>
      </x:c>
      <x:c r="E44" s="5">
        <x:f t="shared" si="23"/>
        <x:v>0</x:v>
      </x:c>
      <x:c r="F44" s="5">
        <x:f t="shared" si="24"/>
        <x:v>0</x:v>
      </x:c>
      <x:c r="G44" s="124"/>
      <x:c r="H44" s="116"/>
      <x:c r="I44" s="18">
        <x:f>$B23</x:f>
        <x:v>0</x:v>
      </x:c>
      <x:c r="J44" s="5">
        <x:f t="shared" si="25"/>
        <x:v>0</x:v>
      </x:c>
      <x:c r="K44" s="5">
        <x:f t="shared" si="26"/>
        <x:v>0</x:v>
      </x:c>
      <x:c r="L44" s="5">
        <x:f t="shared" si="27"/>
        <x:v>0</x:v>
      </x:c>
      <x:c r="M44" s="5">
        <x:f t="shared" si="28"/>
        <x:v>0</x:v>
      </x:c>
      <x:c r="N44" s="130"/>
      <x:c r="O44" s="127"/>
    </x:row>
    <x:row r="45" spans="2:15" s="12" customFormat="1" ht="24.949999999999999" customHeight="1">
      <x:c r="B45" s="18">
        <x:f t="shared" ref="B45:B48" si="29">$B18</x:f>
        <x:v>0</x:v>
      </x:c>
      <x:c r="C45" s="5">
        <x:f t="shared" si="21"/>
        <x:v>0</x:v>
      </x:c>
      <x:c r="D45" s="5">
        <x:f t="shared" si="22"/>
        <x:v>0</x:v>
      </x:c>
      <x:c r="E45" s="5">
        <x:f t="shared" si="23"/>
        <x:v>0</x:v>
      </x:c>
      <x:c r="F45" s="5">
        <x:f t="shared" si="24"/>
        <x:v>0</x:v>
      </x:c>
      <x:c r="G45" s="124"/>
      <x:c r="H45" s="116"/>
      <x:c r="I45" s="18">
        <x:f t="shared" ref="I45:I48" si="30">$B24</x:f>
        <x:v>0</x:v>
      </x:c>
      <x:c r="J45" s="5">
        <x:f t="shared" si="25"/>
        <x:v>0</x:v>
      </x:c>
      <x:c r="K45" s="5">
        <x:f t="shared" si="26"/>
        <x:v>0</x:v>
      </x:c>
      <x:c r="L45" s="5">
        <x:f t="shared" si="27"/>
        <x:v>0</x:v>
      </x:c>
      <x:c r="M45" s="5">
        <x:f t="shared" si="28"/>
        <x:v>0</x:v>
      </x:c>
      <x:c r="N45" s="130"/>
      <x:c r="O45" s="127"/>
    </x:row>
    <x:row r="46" spans="2:15" s="12" customFormat="1" ht="24.949999999999999" customHeight="1">
      <x:c r="B46" s="18">
        <x:f t="shared" si="29"/>
        <x:v>0</x:v>
      </x:c>
      <x:c r="C46" s="5">
        <x:f t="shared" si="21"/>
        <x:v>0</x:v>
      </x:c>
      <x:c r="D46" s="5">
        <x:f t="shared" si="22"/>
        <x:v>0</x:v>
      </x:c>
      <x:c r="E46" s="5">
        <x:f t="shared" si="23"/>
        <x:v>0</x:v>
      </x:c>
      <x:c r="F46" s="5">
        <x:f t="shared" si="24"/>
        <x:v>0</x:v>
      </x:c>
      <x:c r="G46" s="124"/>
      <x:c r="H46" s="116"/>
      <x:c r="I46" s="18">
        <x:f t="shared" si="30"/>
        <x:v>0</x:v>
      </x:c>
      <x:c r="J46" s="5">
        <x:f t="shared" si="25"/>
        <x:v>0</x:v>
      </x:c>
      <x:c r="K46" s="5">
        <x:f t="shared" si="26"/>
        <x:v>0</x:v>
      </x:c>
      <x:c r="L46" s="5">
        <x:f t="shared" si="27"/>
        <x:v>0</x:v>
      </x:c>
      <x:c r="M46" s="5">
        <x:f t="shared" si="28"/>
        <x:v>0</x:v>
      </x:c>
      <x:c r="N46" s="130"/>
      <x:c r="O46" s="127"/>
    </x:row>
    <x:row r="47" spans="2:15" s="12" customFormat="1" ht="24.949999999999999" customHeight="1">
      <x:c r="B47" s="18">
        <x:f t="shared" si="29"/>
        <x:v>0</x:v>
      </x:c>
      <x:c r="C47" s="5">
        <x:f t="shared" si="21"/>
        <x:v>0</x:v>
      </x:c>
      <x:c r="D47" s="5">
        <x:f t="shared" si="22"/>
        <x:v>0</x:v>
      </x:c>
      <x:c r="E47" s="5">
        <x:f t="shared" si="23"/>
        <x:v>0</x:v>
      </x:c>
      <x:c r="F47" s="5">
        <x:f t="shared" si="24"/>
        <x:v>0</x:v>
      </x:c>
      <x:c r="G47" s="124"/>
      <x:c r="H47" s="116"/>
      <x:c r="I47" s="18">
        <x:f t="shared" si="30"/>
        <x:v>0</x:v>
      </x:c>
      <x:c r="J47" s="5">
        <x:f t="shared" si="25"/>
        <x:v>0</x:v>
      </x:c>
      <x:c r="K47" s="5">
        <x:f t="shared" si="26"/>
        <x:v>0</x:v>
      </x:c>
      <x:c r="L47" s="5">
        <x:f t="shared" si="27"/>
        <x:v>0</x:v>
      </x:c>
      <x:c r="M47" s="5">
        <x:f t="shared" si="28"/>
        <x:v>0</x:v>
      </x:c>
      <x:c r="N47" s="130"/>
      <x:c r="O47" s="127"/>
    </x:row>
    <x:row r="48" spans="2:15" s="12" customFormat="1" ht="24.949999999999999" customHeight="1">
      <x:c r="B48" s="18">
        <x:f t="shared" si="29"/>
        <x:v>0</x:v>
      </x:c>
      <x:c r="C48" s="5">
        <x:f t="shared" si="21"/>
        <x:v>0</x:v>
      </x:c>
      <x:c r="D48" s="5">
        <x:f t="shared" si="22"/>
        <x:v>0</x:v>
      </x:c>
      <x:c r="E48" s="5">
        <x:f t="shared" si="23"/>
        <x:v>0</x:v>
      </x:c>
      <x:c r="F48" s="5">
        <x:f t="shared" si="24"/>
        <x:v>0</x:v>
      </x:c>
      <x:c r="G48" s="124"/>
      <x:c r="H48" s="116"/>
      <x:c r="I48" s="18">
        <x:f t="shared" si="30"/>
        <x:v>0</x:v>
      </x:c>
      <x:c r="J48" s="5">
        <x:f t="shared" si="25"/>
        <x:v>0</x:v>
      </x:c>
      <x:c r="K48" s="5">
        <x:f t="shared" si="26"/>
        <x:v>0</x:v>
      </x:c>
      <x:c r="L48" s="5">
        <x:f t="shared" si="27"/>
        <x:v>0</x:v>
      </x:c>
      <x:c r="M48" s="5">
        <x:f t="shared" si="28"/>
        <x:v>0</x:v>
      </x:c>
      <x:c r="N48" s="130"/>
      <x:c r="O48" s="127"/>
    </x:row>
    <x:row r="49" spans="2:15" s="12" customFormat="1" ht="24.949999999999999" customHeight="1">
      <x:c r="B49" s="53"/>
      <x:c r="C49" s="54">
        <x:f>SUM(C43:C48)</x:f>
        <x:v>0</x:v>
      </x:c>
      <x:c r="D49" s="54">
        <x:f>SUM(D43:D48)</x:f>
        <x:v>0</x:v>
      </x:c>
      <x:c r="E49" s="54">
        <x:f>SUM(E43:E48)</x:f>
        <x:v>0</x:v>
      </x:c>
      <x:c r="F49" s="54">
        <x:f>SUM(F43:F48)</x:f>
        <x:v>0</x:v>
      </x:c>
      <x:c r="G49" s="125"/>
      <x:c r="H49" s="117"/>
      <x:c r="I49" s="53"/>
      <x:c r="J49" s="54">
        <x:f>SUM(J43:J48)</x:f>
        <x:v>0</x:v>
      </x:c>
      <x:c r="K49" s="54">
        <x:f>SUM(K43:K48)</x:f>
        <x:v>0</x:v>
      </x:c>
      <x:c r="L49" s="54">
        <x:f>SUM(L43:L48)</x:f>
        <x:v>0</x:v>
      </x:c>
      <x:c r="M49" s="56">
        <x:f>SUM(M43:M48)</x:f>
        <x:v>0</x:v>
      </x:c>
      <x:c r="N49" s="131"/>
      <x:c r="O49" s="128"/>
    </x:row>
    <x:row r="50" ht="9.9499999999999993" customHeight="1"/>
    <x:row r="51" spans="2:15" ht="24.949999999999999" customHeight="1">
      <x:c r="B51" s="13">
        <x:f>$B28</x:f>
        <x:v>0</x:v>
      </x:c>
      <x:c r="C51" s="49">
        <x:f t="shared" ref="C51:C56" si="31">IF($V$2=0,$C28,$J28)</x:f>
        <x:v>0</x:v>
      </x:c>
      <x:c r="D51" s="49">
        <x:f t="shared" ref="D51:D56" si="32">IF($V$2=0,$D28,$K28)</x:f>
        <x:v>0</x:v>
      </x:c>
      <x:c r="E51" s="49">
        <x:f t="shared" ref="E51:E56" si="33">IF($V$2=0,$E28,$L28)</x:f>
        <x:v>0</x:v>
      </x:c>
      <x:c r="F51" s="49">
        <x:f t="shared" ref="F51:F56" si="34">IF($V$2=0,$F28,M28)</x:f>
        <x:v>0</x:v>
      </x:c>
      <x:c r="G51" s="123">
        <x:f>E57+D57+C57+F57</x:f>
        <x:v>0</x:v>
      </x:c>
      <x:c r="H51" s="115"/>
      <x:c r="I51" s="11"/>
      <x:c r="J51" s="37"/>
      <x:c r="K51" s="37"/>
      <x:c r="L51" s="37"/>
      <x:c r="M51" s="37"/>
      <x:c r="N51" s="118"/>
      <x:c r="O51" s="119"/>
    </x:row>
    <x:row r="52" spans="2:15" ht="24.949999999999999" customHeight="1">
      <x:c r="B52" s="18">
        <x:f>$B29</x:f>
        <x:v>0</x:v>
      </x:c>
      <x:c r="C52" s="5">
        <x:f t="shared" si="31"/>
        <x:v>0</x:v>
      </x:c>
      <x:c r="D52" s="5">
        <x:f t="shared" si="32"/>
        <x:v>0</x:v>
      </x:c>
      <x:c r="E52" s="5">
        <x:f t="shared" si="33"/>
        <x:v>0</x:v>
      </x:c>
      <x:c r="F52" s="5">
        <x:f t="shared" si="34"/>
        <x:v>0</x:v>
      </x:c>
      <x:c r="G52" s="124"/>
      <x:c r="H52" s="116"/>
      <x:c r="I52" s="11"/>
      <x:c r="J52" s="37"/>
      <x:c r="K52" s="37"/>
      <x:c r="L52" s="37"/>
      <x:c r="M52" s="37"/>
      <x:c r="N52" s="118"/>
      <x:c r="O52" s="119"/>
    </x:row>
    <x:row r="53" spans="2:15" ht="24.949999999999999" customHeight="1">
      <x:c r="B53" s="18">
        <x:f t="shared" ref="B53:B56" si="35">$B30</x:f>
        <x:v>0</x:v>
      </x:c>
      <x:c r="C53" s="5">
        <x:f t="shared" si="31"/>
        <x:v>0</x:v>
      </x:c>
      <x:c r="D53" s="5">
        <x:f t="shared" si="32"/>
        <x:v>0</x:v>
      </x:c>
      <x:c r="E53" s="5">
        <x:f t="shared" si="33"/>
        <x:v>0</x:v>
      </x:c>
      <x:c r="F53" s="5">
        <x:f t="shared" si="34"/>
        <x:v>0</x:v>
      </x:c>
      <x:c r="G53" s="124"/>
      <x:c r="H53" s="116"/>
      <x:c r="I53" s="11"/>
      <x:c r="J53" s="37"/>
      <x:c r="K53" s="37"/>
      <x:c r="L53" s="37"/>
      <x:c r="M53" s="37"/>
      <x:c r="N53" s="118"/>
      <x:c r="O53" s="119"/>
    </x:row>
    <x:row r="54" spans="2:15" ht="24.949999999999999" customHeight="1">
      <x:c r="B54" s="18">
        <x:f t="shared" si="35"/>
        <x:v>0</x:v>
      </x:c>
      <x:c r="C54" s="5">
        <x:f t="shared" si="31"/>
        <x:v>0</x:v>
      </x:c>
      <x:c r="D54" s="5">
        <x:f t="shared" si="32"/>
        <x:v>0</x:v>
      </x:c>
      <x:c r="E54" s="5">
        <x:f t="shared" si="33"/>
        <x:v>0</x:v>
      </x:c>
      <x:c r="F54" s="5">
        <x:f t="shared" si="34"/>
        <x:v>0</x:v>
      </x:c>
      <x:c r="G54" s="124"/>
      <x:c r="H54" s="116"/>
      <x:c r="I54" s="11"/>
      <x:c r="J54" s="37"/>
      <x:c r="K54" s="37"/>
      <x:c r="L54" s="37"/>
      <x:c r="M54" s="37"/>
      <x:c r="N54" s="118"/>
      <x:c r="O54" s="119"/>
    </x:row>
    <x:row r="55" spans="2:15" ht="24.949999999999999" customHeight="1">
      <x:c r="B55" s="18">
        <x:f t="shared" si="35"/>
        <x:v>0</x:v>
      </x:c>
      <x:c r="C55" s="5">
        <x:f t="shared" si="31"/>
        <x:v>0</x:v>
      </x:c>
      <x:c r="D55" s="5">
        <x:f t="shared" si="32"/>
        <x:v>0</x:v>
      </x:c>
      <x:c r="E55" s="5">
        <x:f t="shared" si="33"/>
        <x:v>0</x:v>
      </x:c>
      <x:c r="F55" s="5">
        <x:f t="shared" si="34"/>
        <x:v>0</x:v>
      </x:c>
      <x:c r="G55" s="124"/>
      <x:c r="H55" s="116"/>
      <x:c r="I55" s="11"/>
      <x:c r="J55" s="37"/>
      <x:c r="K55" s="37"/>
      <x:c r="L55" s="37"/>
      <x:c r="M55" s="37"/>
      <x:c r="N55" s="118"/>
      <x:c r="O55" s="119"/>
    </x:row>
    <x:row r="56" spans="2:15" ht="24.949999999999999" customHeight="1">
      <x:c r="B56" s="18">
        <x:f t="shared" si="35"/>
        <x:v>0</x:v>
      </x:c>
      <x:c r="C56" s="5">
        <x:f t="shared" si="31"/>
        <x:v>0</x:v>
      </x:c>
      <x:c r="D56" s="5">
        <x:f t="shared" si="32"/>
        <x:v>0</x:v>
      </x:c>
      <x:c r="E56" s="5">
        <x:f t="shared" si="33"/>
        <x:v>0</x:v>
      </x:c>
      <x:c r="F56" s="5">
        <x:f t="shared" si="34"/>
        <x:v>0</x:v>
      </x:c>
      <x:c r="G56" s="124"/>
      <x:c r="H56" s="116"/>
      <x:c r="I56" s="11"/>
      <x:c r="J56" s="37"/>
      <x:c r="K56" s="37"/>
      <x:c r="L56" s="37"/>
      <x:c r="M56" s="37"/>
      <x:c r="N56" s="118"/>
      <x:c r="O56" s="119"/>
    </x:row>
    <x:row r="57" spans="2:15" ht="24.949999999999999" customHeight="1">
      <x:c r="B57" s="53"/>
      <x:c r="C57" s="54">
        <x:f>SUM(C51:C56)</x:f>
        <x:v>0</x:v>
      </x:c>
      <x:c r="D57" s="54">
        <x:f>SUM(D51:D56)</x:f>
        <x:v>0</x:v>
      </x:c>
      <x:c r="E57" s="54">
        <x:f>SUM(E51:E56)</x:f>
        <x:v>0</x:v>
      </x:c>
      <x:c r="F57" s="54">
        <x:f>SUM(F51:F56)</x:f>
        <x:v>0</x:v>
      </x:c>
      <x:c r="G57" s="125"/>
      <x:c r="H57" s="117"/>
      <x:c r="I57" s="11"/>
      <x:c r="J57" s="38"/>
      <x:c r="K57" s="38"/>
      <x:c r="L57" s="38"/>
      <x:c r="M57" s="38"/>
      <x:c r="N57" s="118"/>
      <x:c r="O57" s="119"/>
    </x:row>
    <x:row r="58" ht="24.949999999999999" customHeight="1"/>
    <x:row r="59" ht="24.949999999999999" customHeight="1"/>
    <x:row r="60" spans="1:15" ht="60" customHeight="1">
      <x:c r="A60" s="112" t="str">
        <x:f>A1</x:f>
        <x:v>2026 아르케 존 00회 정기 번개 점수</x:v>
      </x:c>
      <x:c r="B60" s="112"/>
      <x:c r="C60" s="112"/>
      <x:c r="D60" s="112"/>
      <x:c r="E60" s="112"/>
      <x:c r="F60" s="112"/>
      <x:c r="G60" s="112"/>
      <x:c r="H60" s="112"/>
      <x:c r="I60" s="112"/>
      <x:c r="J60" s="112"/>
      <x:c r="K60" s="112"/>
      <x:c r="L60" s="112"/>
      <x:c r="M60" s="112"/>
      <x:c r="N60" s="112"/>
      <x:c r="O60" s="112"/>
    </x:row>
    <x:row r="61" spans="1:15" ht="24.949999999999999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4" t="s">
        <x:v>48</x:v>
      </x:c>
      <x:c r="M61" s="34"/>
      <x:c r="N61" s="113">
        <x:f>N2</x:f>
        <x:v>46113</x:v>
      </x:c>
      <x:c r="O61" s="114"/>
    </x:row>
    <x:row r="62" spans="1:15" ht="24.949999999999999" customHeight="1">
      <x:c r="A62" s="13"/>
      <x:c r="B62" s="14" t="s">
        <x:v>14</x:v>
      </x:c>
      <x:c r="C62" s="14" t="s">
        <x:v>44</x:v>
      </x:c>
      <x:c r="D62" s="14" t="s">
        <x:v>55</x:v>
      </x:c>
      <x:c r="E62" s="14" t="s">
        <x:v>54</x:v>
      </x:c>
      <x:c r="F62" s="14" t="s">
        <x:v>53</x:v>
      </x:c>
      <x:c r="G62" s="14" t="s">
        <x:v>52</x:v>
      </x:c>
      <x:c r="H62" s="14" t="s">
        <x:v>47</x:v>
      </x:c>
      <x:c r="I62" s="15" t="s">
        <x:v>41</x:v>
      </x:c>
      <x:c r="J62" s="14" t="s">
        <x:v>44</x:v>
      </x:c>
      <x:c r="K62" s="14" t="s">
        <x:v>55</x:v>
      </x:c>
      <x:c r="L62" s="14" t="s">
        <x:v>54</x:v>
      </x:c>
      <x:c r="M62" s="14" t="s">
        <x:v>53</x:v>
      </x:c>
      <x:c r="N62" s="16" t="s">
        <x:v>52</x:v>
      </x:c>
      <x:c r="O62" s="17" t="s">
        <x:v>56</x:v>
      </x:c>
    </x:row>
    <x:row r="63" spans="1:15" ht="24.949999999999999" customHeight="1">
      <x:c r="A63" s="18">
        <x:v>1</x:v>
      </x:c>
      <x:c r="B63" s="19">
        <x:f t="array" ref="B63:B63">INDEX($B$4:$O$33,MATCH($A63,$W$4:$W$33,0),COLUMN(A$1))</x:f>
        <x:v>0</x:v>
      </x:c>
      <x:c r="C63" s="20">
        <x:f t="array" ref="C63:C63">INDEX($B$4:$O$33,MATCH($A63,$W$4:$W$33,0),COLUMN(B$1))</x:f>
        <x:v>0</x:v>
      </x:c>
      <x:c r="D63" s="20">
        <x:f t="array" ref="D63:D63">INDEX($B$4:$O$33,MATCH($A63,$W$4:$W$33,0),COLUMN(C$1))</x:f>
        <x:v>0</x:v>
      </x:c>
      <x:c r="E63" s="20">
        <x:f t="array" ref="E63:E63">INDEX($B$4:$O$33,MATCH($A63,$W$4:$W$33,0),COLUMN(D$1))</x:f>
        <x:v>0</x:v>
      </x:c>
      <x:c r="F63" s="20">
        <x:f t="array" ref="F63:F63">INDEX($B$4:$O$33,MATCH($A63,$W$4:$W$33,0),COLUMN(E$1))</x:f>
        <x:v>0</x:v>
      </x:c>
      <x:c r="G63" s="21">
        <x:f>SUM(C63:F63)</x:f>
        <x:v>0</x:v>
      </x:c>
      <x:c r="H63" s="22">
        <x:f>G63/4</x:f>
        <x:v>0</x:v>
      </x:c>
      <x:c r="I63" s="23" t="str">
        <x:f>IF(B63="","",IFERROR(INDEX('회원명단 및 기준에버'!D:G,MATCH(B63,'회원명단 및 기준에버'!$C:$C,0),CHOOSE(INT((MONTH($N$2)-1)/3)+1,1,2,3,4)),""))</x:f>
        <x:v/>
      </x:c>
      <x:c r="J63" s="5">
        <x:f>IFERROR(C63+-I63,0)</x:f>
        <x:v>0</x:v>
      </x:c>
      <x:c r="K63" s="5">
        <x:f>IFERROR(D63+-I63,0)</x:f>
        <x:v>0</x:v>
      </x:c>
      <x:c r="L63" s="5">
        <x:f>IFERROR(E63+-I63,0)</x:f>
        <x:v>0</x:v>
      </x:c>
      <x:c r="M63" s="5">
        <x:f>IFERROR(F63+-I63,0)</x:f>
        <x:v>0</x:v>
      </x:c>
      <x:c r="N63" s="6">
        <x:f>SUM(J63:M63)</x:f>
        <x:v>0</x:v>
      </x:c>
      <x:c r="O63" s="24">
        <x:f>IFERROR(H63+-I63,0)</x:f>
        <x:v>0</x:v>
      </x:c>
    </x:row>
    <x:row r="64" spans="1:15" ht="24.949999999999999" customHeight="1">
      <x:c r="A64" s="18">
        <x:v>2</x:v>
      </x:c>
      <x:c r="B64" s="19">
        <x:f t="array" ref="B64:B64">INDEX($B$4:$O$33,MATCH($A64,$W$4:$W$33,0),COLUMN(A$1))</x:f>
        <x:v>0</x:v>
      </x:c>
      <x:c r="C64" s="20">
        <x:f t="array" ref="C64:C64">INDEX($B$4:$O$33,MATCH($A64,$W$4:$W$33,0),COLUMN(B$1))</x:f>
        <x:v>0</x:v>
      </x:c>
      <x:c r="D64" s="20">
        <x:f t="array" ref="D64:D64">INDEX($B$4:$O$33,MATCH($A64,$W$4:$W$33,0),COLUMN(C$1))</x:f>
        <x:v>0</x:v>
      </x:c>
      <x:c r="E64" s="20">
        <x:f t="array" ref="E64:E64">INDEX($B$4:$O$33,MATCH($A64,$W$4:$W$33,0),COLUMN(D$1))</x:f>
        <x:v>0</x:v>
      </x:c>
      <x:c r="F64" s="20">
        <x:f t="array" ref="F64:F64">INDEX($B$4:$O$33,MATCH($A64,$W$4:$W$33,0),COLUMN(E$1))</x:f>
        <x:v>0</x:v>
      </x:c>
      <x:c r="G64" s="21">
        <x:f t="shared" ref="G64:G92" si="36">SUM(C64:F64)</x:f>
        <x:v>0</x:v>
      </x:c>
      <x:c r="H64" s="22">
        <x:f t="shared" ref="H64:H92" si="37">G64/4</x:f>
        <x:v>0</x:v>
      </x:c>
      <x:c r="I64" s="23" t="str">
        <x:f>IF(B64="","",IFERROR(INDEX('회원명단 및 기준에버'!D:G,MATCH(B64,'회원명단 및 기준에버'!$C:$C,0),CHOOSE(INT((MONTH($N$2)-1)/3)+1,1,2,3,4)),""))</x:f>
        <x:v/>
      </x:c>
      <x:c r="J64" s="5">
        <x:f>IFERROR(C64+-I64,0)</x:f>
        <x:v>0</x:v>
      </x:c>
      <x:c r="K64" s="5">
        <x:f>IFERROR(D64+-I64,0)</x:f>
        <x:v>0</x:v>
      </x:c>
      <x:c r="L64" s="5">
        <x:f>IFERROR(E64+-I64,0)</x:f>
        <x:v>0</x:v>
      </x:c>
      <x:c r="M64" s="5">
        <x:f t="shared" ref="M64:M92" si="38">IFERROR(F64+-I64,0)</x:f>
        <x:v>0</x:v>
      </x:c>
      <x:c r="N64" s="6">
        <x:f t="shared" ref="N64:N92" si="39">SUM(J64:M64)</x:f>
        <x:v>0</x:v>
      </x:c>
      <x:c r="O64" s="24">
        <x:f>IFERROR(H64+-I64,0)</x:f>
        <x:v>0</x:v>
      </x:c>
    </x:row>
    <x:row r="65" spans="1:15" ht="24.949999999999999" customHeight="1">
      <x:c r="A65" s="18">
        <x:v>3</x:v>
      </x:c>
      <x:c r="B65" s="19">
        <x:f t="array" ref="B65:B65">INDEX($B$4:$O$33,MATCH($A65,$W$4:$W$33,0),COLUMN(A$1))</x:f>
        <x:v>0</x:v>
      </x:c>
      <x:c r="C65" s="20">
        <x:f t="array" ref="C65:C65">INDEX($B$4:$O$33,MATCH($A65,$W$4:$W$33,0),COLUMN(B$1))</x:f>
        <x:v>0</x:v>
      </x:c>
      <x:c r="D65" s="20">
        <x:f t="array" ref="D65:D65">INDEX($B$4:$O$33,MATCH($A65,$W$4:$W$33,0),COLUMN(C$1))</x:f>
        <x:v>0</x:v>
      </x:c>
      <x:c r="E65" s="20">
        <x:f t="array" ref="E65:E65">INDEX($B$4:$O$33,MATCH($A65,$W$4:$W$33,0),COLUMN(D$1))</x:f>
        <x:v>0</x:v>
      </x:c>
      <x:c r="F65" s="20">
        <x:f t="array" ref="F65:F65">INDEX($B$4:$O$33,MATCH($A65,$W$4:$W$33,0),COLUMN(E$1))</x:f>
        <x:v>0</x:v>
      </x:c>
      <x:c r="G65" s="21">
        <x:f t="shared" si="36"/>
        <x:v>0</x:v>
      </x:c>
      <x:c r="H65" s="22">
        <x:f t="shared" si="37"/>
        <x:v>0</x:v>
      </x:c>
      <x:c r="I65" s="23" t="str">
        <x:f>IF(B65="","",IFERROR(INDEX('회원명단 및 기준에버'!D:G,MATCH(B65,'회원명단 및 기준에버'!$C:$C,0),CHOOSE(INT((MONTH($N$2)-1)/3)+1,1,2,3,4)),""))</x:f>
        <x:v/>
      </x:c>
      <x:c r="J65" s="5">
        <x:f t="shared" ref="J65:J92" si="40">IFERROR(C65+-I65,0)</x:f>
        <x:v>0</x:v>
      </x:c>
      <x:c r="K65" s="5">
        <x:f t="shared" ref="K65:K92" si="41">IFERROR(D65+-I65,0)</x:f>
        <x:v>0</x:v>
      </x:c>
      <x:c r="L65" s="5">
        <x:f t="shared" ref="L65:L92" si="42">IFERROR(E65+-I65,0)</x:f>
        <x:v>0</x:v>
      </x:c>
      <x:c r="M65" s="5">
        <x:f t="shared" si="38"/>
        <x:v>0</x:v>
      </x:c>
      <x:c r="N65" s="6">
        <x:f t="shared" si="39"/>
        <x:v>0</x:v>
      </x:c>
      <x:c r="O65" s="24">
        <x:f t="shared" ref="O65:O92" si="43">IFERROR(H65+-I65,0)</x:f>
        <x:v>0</x:v>
      </x:c>
    </x:row>
    <x:row r="66" spans="1:15" ht="24.949999999999999" customHeight="1">
      <x:c r="A66" s="18">
        <x:v>4</x:v>
      </x:c>
      <x:c r="B66" s="19">
        <x:f t="array" ref="B66:B66">INDEX($B$4:$O$33,MATCH($A66,$W$4:$W$33,0),COLUMN(A$1))</x:f>
        <x:v>0</x:v>
      </x:c>
      <x:c r="C66" s="20">
        <x:f t="array" ref="C66:C66">INDEX($B$4:$O$33,MATCH($A66,$W$4:$W$33,0),COLUMN(B$1))</x:f>
        <x:v>0</x:v>
      </x:c>
      <x:c r="D66" s="20">
        <x:f t="array" ref="D66:D66">INDEX($B$4:$O$33,MATCH($A66,$W$4:$W$33,0),COLUMN(C$1))</x:f>
        <x:v>0</x:v>
      </x:c>
      <x:c r="E66" s="20">
        <x:f t="array" ref="E66:E66">INDEX($B$4:$O$33,MATCH($A66,$W$4:$W$33,0),COLUMN(D$1))</x:f>
        <x:v>0</x:v>
      </x:c>
      <x:c r="F66" s="20">
        <x:f t="array" ref="F66:F66">INDEX($B$4:$O$33,MATCH($A66,$W$4:$W$33,0),COLUMN(E$1))</x:f>
        <x:v>0</x:v>
      </x:c>
      <x:c r="G66" s="21">
        <x:f t="shared" si="36"/>
        <x:v>0</x:v>
      </x:c>
      <x:c r="H66" s="22">
        <x:f t="shared" si="37"/>
        <x:v>0</x:v>
      </x:c>
      <x:c r="I66" s="23" t="str">
        <x:f>IF(B66="","",IFERROR(INDEX('회원명단 및 기준에버'!D:G,MATCH(B66,'회원명단 및 기준에버'!$C:$C,0),CHOOSE(INT((MONTH($N$2)-1)/3)+1,1,2,3,4)),""))</x:f>
        <x:v/>
      </x:c>
      <x:c r="J66" s="5">
        <x:f t="shared" si="40"/>
        <x:v>0</x:v>
      </x:c>
      <x:c r="K66" s="5">
        <x:f t="shared" si="41"/>
        <x:v>0</x:v>
      </x:c>
      <x:c r="L66" s="5">
        <x:f t="shared" si="42"/>
        <x:v>0</x:v>
      </x:c>
      <x:c r="M66" s="5">
        <x:f t="shared" si="38"/>
        <x:v>0</x:v>
      </x:c>
      <x:c r="N66" s="6">
        <x:f t="shared" si="39"/>
        <x:v>0</x:v>
      </x:c>
      <x:c r="O66" s="24">
        <x:f t="shared" si="43"/>
        <x:v>0</x:v>
      </x:c>
    </x:row>
    <x:row r="67" spans="1:15" ht="24.949999999999999" customHeight="1">
      <x:c r="A67" s="18">
        <x:v>5</x:v>
      </x:c>
      <x:c r="B67" s="19">
        <x:f t="array" ref="B67:B67">INDEX($B$4:$O$33,MATCH($A67,$W$4:$W$33,0),COLUMN(A$1))</x:f>
        <x:v>0</x:v>
      </x:c>
      <x:c r="C67" s="20">
        <x:f t="array" ref="C67:C67">INDEX($B$4:$O$33,MATCH($A67,$W$4:$W$33,0),COLUMN(B$1))</x:f>
        <x:v>0</x:v>
      </x:c>
      <x:c r="D67" s="20">
        <x:f t="array" ref="D67:D67">INDEX($B$4:$O$33,MATCH($A67,$W$4:$W$33,0),COLUMN(C$1))</x:f>
        <x:v>0</x:v>
      </x:c>
      <x:c r="E67" s="20">
        <x:f t="array" ref="E67:E67">INDEX($B$4:$O$33,MATCH($A67,$W$4:$W$33,0),COLUMN(D$1))</x:f>
        <x:v>0</x:v>
      </x:c>
      <x:c r="F67" s="20">
        <x:f t="array" ref="F67:F67">INDEX($B$4:$O$33,MATCH($A67,$W$4:$W$33,0),COLUMN(E$1))</x:f>
        <x:v>0</x:v>
      </x:c>
      <x:c r="G67" s="21">
        <x:f t="shared" si="36"/>
        <x:v>0</x:v>
      </x:c>
      <x:c r="H67" s="22">
        <x:f t="shared" si="37"/>
        <x:v>0</x:v>
      </x:c>
      <x:c r="I67" s="23" t="str">
        <x:f>IF(B67="","",IFERROR(INDEX('회원명단 및 기준에버'!D:G,MATCH(B67,'회원명단 및 기준에버'!$C:$C,0),CHOOSE(INT((MONTH($N$2)-1)/3)+1,1,2,3,4)),""))</x:f>
        <x:v/>
      </x:c>
      <x:c r="J67" s="5">
        <x:f t="shared" si="40"/>
        <x:v>0</x:v>
      </x:c>
      <x:c r="K67" s="5">
        <x:f t="shared" si="41"/>
        <x:v>0</x:v>
      </x:c>
      <x:c r="L67" s="5">
        <x:f t="shared" si="42"/>
        <x:v>0</x:v>
      </x:c>
      <x:c r="M67" s="5">
        <x:f t="shared" si="38"/>
        <x:v>0</x:v>
      </x:c>
      <x:c r="N67" s="6">
        <x:f t="shared" si="39"/>
        <x:v>0</x:v>
      </x:c>
      <x:c r="O67" s="24">
        <x:f t="shared" si="43"/>
        <x:v>0</x:v>
      </x:c>
    </x:row>
    <x:row r="68" spans="1:15" ht="24.949999999999999" customHeight="1">
      <x:c r="A68" s="18">
        <x:v>6</x:v>
      </x:c>
      <x:c r="B68" s="19">
        <x:f t="array" ref="B68:B68">INDEX($B$4:$O$33,MATCH($A68,$W$4:$W$33,0),COLUMN(A$1))</x:f>
        <x:v>0</x:v>
      </x:c>
      <x:c r="C68" s="20">
        <x:f t="array" ref="C68:C68">INDEX($B$4:$O$33,MATCH($A68,$W$4:$W$33,0),COLUMN(B$1))</x:f>
        <x:v>0</x:v>
      </x:c>
      <x:c r="D68" s="20">
        <x:f t="array" ref="D68:D68">INDEX($B$4:$O$33,MATCH($A68,$W$4:$W$33,0),COLUMN(C$1))</x:f>
        <x:v>0</x:v>
      </x:c>
      <x:c r="E68" s="20">
        <x:f t="array" ref="E68:E68">INDEX($B$4:$O$33,MATCH($A68,$W$4:$W$33,0),COLUMN(D$1))</x:f>
        <x:v>0</x:v>
      </x:c>
      <x:c r="F68" s="20">
        <x:f t="array" ref="F68:F68">INDEX($B$4:$O$33,MATCH($A68,$W$4:$W$33,0),COLUMN(E$1))</x:f>
        <x:v>0</x:v>
      </x:c>
      <x:c r="G68" s="21">
        <x:f t="shared" si="36"/>
        <x:v>0</x:v>
      </x:c>
      <x:c r="H68" s="22">
        <x:f t="shared" si="37"/>
        <x:v>0</x:v>
      </x:c>
      <x:c r="I68" s="23" t="str">
        <x:f>IF(B68="","",IFERROR(INDEX('회원명단 및 기준에버'!D:G,MATCH(B68,'회원명단 및 기준에버'!$C:$C,0),CHOOSE(INT((MONTH($N$2)-1)/3)+1,1,2,3,4)),""))</x:f>
        <x:v/>
      </x:c>
      <x:c r="J68" s="5">
        <x:f t="shared" si="40"/>
        <x:v>0</x:v>
      </x:c>
      <x:c r="K68" s="5">
        <x:f t="shared" si="41"/>
        <x:v>0</x:v>
      </x:c>
      <x:c r="L68" s="5">
        <x:f t="shared" si="42"/>
        <x:v>0</x:v>
      </x:c>
      <x:c r="M68" s="5">
        <x:f t="shared" si="38"/>
        <x:v>0</x:v>
      </x:c>
      <x:c r="N68" s="6">
        <x:f t="shared" si="39"/>
        <x:v>0</x:v>
      </x:c>
      <x:c r="O68" s="24">
        <x:f t="shared" si="43"/>
        <x:v>0</x:v>
      </x:c>
    </x:row>
    <x:row r="69" spans="1:15" ht="24.949999999999999" customHeight="1">
      <x:c r="A69" s="18">
        <x:v>7</x:v>
      </x:c>
      <x:c r="B69" s="19">
        <x:f t="array" ref="B69:B69">INDEX($B$4:$O$33,MATCH($A69,$W$4:$W$33,0),COLUMN(A$1))</x:f>
        <x:v>0</x:v>
      </x:c>
      <x:c r="C69" s="20">
        <x:f t="array" ref="C69:C69">INDEX($B$4:$O$33,MATCH($A69,$W$4:$W$33,0),COLUMN(B$1))</x:f>
        <x:v>0</x:v>
      </x:c>
      <x:c r="D69" s="20">
        <x:f t="array" ref="D69:D69">INDEX($B$4:$O$33,MATCH($A69,$W$4:$W$33,0),COLUMN(C$1))</x:f>
        <x:v>0</x:v>
      </x:c>
      <x:c r="E69" s="20">
        <x:f t="array" ref="E69:E69">INDEX($B$4:$O$33,MATCH($A69,$W$4:$W$33,0),COLUMN(D$1))</x:f>
        <x:v>0</x:v>
      </x:c>
      <x:c r="F69" s="20">
        <x:f t="array" ref="F69:F69">INDEX($B$4:$O$33,MATCH($A69,$W$4:$W$33,0),COLUMN(E$1))</x:f>
        <x:v>0</x:v>
      </x:c>
      <x:c r="G69" s="21">
        <x:f t="shared" si="36"/>
        <x:v>0</x:v>
      </x:c>
      <x:c r="H69" s="22">
        <x:f t="shared" si="37"/>
        <x:v>0</x:v>
      </x:c>
      <x:c r="I69" s="23" t="str">
        <x:f>IF(B69="","",IFERROR(INDEX('회원명단 및 기준에버'!D:G,MATCH(B69,'회원명단 및 기준에버'!$C:$C,0),CHOOSE(INT((MONTH($N$2)-1)/3)+1,1,2,3,4)),""))</x:f>
        <x:v/>
      </x:c>
      <x:c r="J69" s="5">
        <x:f t="shared" si="40"/>
        <x:v>0</x:v>
      </x:c>
      <x:c r="K69" s="5">
        <x:f t="shared" si="41"/>
        <x:v>0</x:v>
      </x:c>
      <x:c r="L69" s="5">
        <x:f t="shared" si="42"/>
        <x:v>0</x:v>
      </x:c>
      <x:c r="M69" s="5">
        <x:f t="shared" si="38"/>
        <x:v>0</x:v>
      </x:c>
      <x:c r="N69" s="6">
        <x:f t="shared" si="39"/>
        <x:v>0</x:v>
      </x:c>
      <x:c r="O69" s="24">
        <x:f t="shared" si="43"/>
        <x:v>0</x:v>
      </x:c>
    </x:row>
    <x:row r="70" spans="1:15" ht="24.949999999999999" customHeight="1">
      <x:c r="A70" s="18">
        <x:v>8</x:v>
      </x:c>
      <x:c r="B70" s="19">
        <x:f t="array" ref="B70:B70">INDEX($B$4:$O$33,MATCH($A70,$W$4:$W$33,0),COLUMN(A$1))</x:f>
        <x:v>0</x:v>
      </x:c>
      <x:c r="C70" s="20">
        <x:f t="array" ref="C70:C70">INDEX($B$4:$O$33,MATCH($A70,$W$4:$W$33,0),COLUMN(B$1))</x:f>
        <x:v>0</x:v>
      </x:c>
      <x:c r="D70" s="20">
        <x:f t="array" ref="D70:D70">INDEX($B$4:$O$33,MATCH($A70,$W$4:$W$33,0),COLUMN(C$1))</x:f>
        <x:v>0</x:v>
      </x:c>
      <x:c r="E70" s="20">
        <x:f t="array" ref="E70:E70">INDEX($B$4:$O$33,MATCH($A70,$W$4:$W$33,0),COLUMN(D$1))</x:f>
        <x:v>0</x:v>
      </x:c>
      <x:c r="F70" s="20">
        <x:f t="array" ref="F70:F70">INDEX($B$4:$O$33,MATCH($A70,$W$4:$W$33,0),COLUMN(E$1))</x:f>
        <x:v>0</x:v>
      </x:c>
      <x:c r="G70" s="21">
        <x:f t="shared" si="36"/>
        <x:v>0</x:v>
      </x:c>
      <x:c r="H70" s="22">
        <x:f t="shared" si="37"/>
        <x:v>0</x:v>
      </x:c>
      <x:c r="I70" s="23" t="str">
        <x:f>IF(B70="","",IFERROR(INDEX('회원명단 및 기준에버'!D:G,MATCH(B70,'회원명단 및 기준에버'!$C:$C,0),CHOOSE(INT((MONTH($N$2)-1)/3)+1,1,2,3,4)),""))</x:f>
        <x:v/>
      </x:c>
      <x:c r="J70" s="5">
        <x:f t="shared" si="40"/>
        <x:v>0</x:v>
      </x:c>
      <x:c r="K70" s="5">
        <x:f t="shared" si="41"/>
        <x:v>0</x:v>
      </x:c>
      <x:c r="L70" s="5">
        <x:f t="shared" si="42"/>
        <x:v>0</x:v>
      </x:c>
      <x:c r="M70" s="5">
        <x:f t="shared" si="38"/>
        <x:v>0</x:v>
      </x:c>
      <x:c r="N70" s="6">
        <x:f t="shared" si="39"/>
        <x:v>0</x:v>
      </x:c>
      <x:c r="O70" s="24">
        <x:f t="shared" si="43"/>
        <x:v>0</x:v>
      </x:c>
    </x:row>
    <x:row r="71" spans="1:15" ht="24.949999999999999" customHeight="1">
      <x:c r="A71" s="18">
        <x:v>9</x:v>
      </x:c>
      <x:c r="B71" s="19">
        <x:f t="array" ref="B71:B71">INDEX($B$4:$O$33,MATCH($A71,$W$4:$W$33,0),COLUMN(A$1))</x:f>
        <x:v>0</x:v>
      </x:c>
      <x:c r="C71" s="20">
        <x:f t="array" ref="C71:C71">INDEX($B$4:$O$33,MATCH($A71,$W$4:$W$33,0),COLUMN(B$1))</x:f>
        <x:v>0</x:v>
      </x:c>
      <x:c r="D71" s="20">
        <x:f t="array" ref="D71:D71">INDEX($B$4:$O$33,MATCH($A71,$W$4:$W$33,0),COLUMN(C$1))</x:f>
        <x:v>0</x:v>
      </x:c>
      <x:c r="E71" s="20">
        <x:f t="array" ref="E71:E71">INDEX($B$4:$O$33,MATCH($A71,$W$4:$W$33,0),COLUMN(D$1))</x:f>
        <x:v>0</x:v>
      </x:c>
      <x:c r="F71" s="20">
        <x:f t="array" ref="F71:F71">INDEX($B$4:$O$33,MATCH($A71,$W$4:$W$33,0),COLUMN(E$1))</x:f>
        <x:v>0</x:v>
      </x:c>
      <x:c r="G71" s="21">
        <x:f t="shared" si="36"/>
        <x:v>0</x:v>
      </x:c>
      <x:c r="H71" s="22">
        <x:f t="shared" si="37"/>
        <x:v>0</x:v>
      </x:c>
      <x:c r="I71" s="23" t="str">
        <x:f>IF(B71="","",IFERROR(INDEX('회원명단 및 기준에버'!D:G,MATCH(B71,'회원명단 및 기준에버'!$C:$C,0),CHOOSE(INT((MONTH($N$2)-1)/3)+1,1,2,3,4)),""))</x:f>
        <x:v/>
      </x:c>
      <x:c r="J71" s="5">
        <x:f t="shared" si="40"/>
        <x:v>0</x:v>
      </x:c>
      <x:c r="K71" s="5">
        <x:f t="shared" si="41"/>
        <x:v>0</x:v>
      </x:c>
      <x:c r="L71" s="5">
        <x:f t="shared" si="42"/>
        <x:v>0</x:v>
      </x:c>
      <x:c r="M71" s="5">
        <x:f t="shared" si="38"/>
        <x:v>0</x:v>
      </x:c>
      <x:c r="N71" s="6">
        <x:f t="shared" si="39"/>
        <x:v>0</x:v>
      </x:c>
      <x:c r="O71" s="24">
        <x:f t="shared" si="43"/>
        <x:v>0</x:v>
      </x:c>
    </x:row>
    <x:row r="72" spans="1:15" ht="24.949999999999999" customHeight="1">
      <x:c r="A72" s="18">
        <x:v>10</x:v>
      </x:c>
      <x:c r="B72" s="19">
        <x:f t="array" ref="B72:B72">INDEX($B$4:$O$33,MATCH($A72,$W$4:$W$33,0),COLUMN(A$1))</x:f>
        <x:v>0</x:v>
      </x:c>
      <x:c r="C72" s="20">
        <x:f t="array" ref="C72:C72">INDEX($B$4:$O$33,MATCH($A72,$W$4:$W$33,0),COLUMN(B$1))</x:f>
        <x:v>0</x:v>
      </x:c>
      <x:c r="D72" s="20">
        <x:f t="array" ref="D72:D72">INDEX($B$4:$O$33,MATCH($A72,$W$4:$W$33,0),COLUMN(C$1))</x:f>
        <x:v>0</x:v>
      </x:c>
      <x:c r="E72" s="20">
        <x:f t="array" ref="E72:E72">INDEX($B$4:$O$33,MATCH($A72,$W$4:$W$33,0),COLUMN(D$1))</x:f>
        <x:v>0</x:v>
      </x:c>
      <x:c r="F72" s="20">
        <x:f t="array" ref="F72:F72">INDEX($B$4:$O$33,MATCH($A72,$W$4:$W$33,0),COLUMN(E$1))</x:f>
        <x:v>0</x:v>
      </x:c>
      <x:c r="G72" s="21">
        <x:f t="shared" si="36"/>
        <x:v>0</x:v>
      </x:c>
      <x:c r="H72" s="22">
        <x:f t="shared" si="37"/>
        <x:v>0</x:v>
      </x:c>
      <x:c r="I72" s="23" t="str">
        <x:f>IF(B72="","",IFERROR(INDEX('회원명단 및 기준에버'!D:G,MATCH(B72,'회원명단 및 기준에버'!$C:$C,0),CHOOSE(INT((MONTH($N$2)-1)/3)+1,1,2,3,4)),""))</x:f>
        <x:v/>
      </x:c>
      <x:c r="J72" s="5">
        <x:f t="shared" si="40"/>
        <x:v>0</x:v>
      </x:c>
      <x:c r="K72" s="5">
        <x:f t="shared" si="41"/>
        <x:v>0</x:v>
      </x:c>
      <x:c r="L72" s="5">
        <x:f t="shared" si="42"/>
        <x:v>0</x:v>
      </x:c>
      <x:c r="M72" s="5">
        <x:f t="shared" si="38"/>
        <x:v>0</x:v>
      </x:c>
      <x:c r="N72" s="6">
        <x:f t="shared" si="39"/>
        <x:v>0</x:v>
      </x:c>
      <x:c r="O72" s="24">
        <x:f t="shared" si="43"/>
        <x:v>0</x:v>
      </x:c>
    </x:row>
    <x:row r="73" spans="1:15" ht="24.949999999999999" customHeight="1">
      <x:c r="A73" s="18">
        <x:v>11</x:v>
      </x:c>
      <x:c r="B73" s="19">
        <x:f t="array" ref="B73:B73">INDEX($B$4:$O$33,MATCH($A73,$W$4:$W$33,0),COLUMN(A$1))</x:f>
        <x:v>0</x:v>
      </x:c>
      <x:c r="C73" s="20">
        <x:f t="array" ref="C73:C73">INDEX($B$4:$O$33,MATCH($A73,$W$4:$W$33,0),COLUMN(B$1))</x:f>
        <x:v>0</x:v>
      </x:c>
      <x:c r="D73" s="20">
        <x:f t="array" ref="D73:D73">INDEX($B$4:$O$33,MATCH($A73,$W$4:$W$33,0),COLUMN(C$1))</x:f>
        <x:v>0</x:v>
      </x:c>
      <x:c r="E73" s="20">
        <x:f t="array" ref="E73:E73">INDEX($B$4:$O$33,MATCH($A73,$W$4:$W$33,0),COLUMN(D$1))</x:f>
        <x:v>0</x:v>
      </x:c>
      <x:c r="F73" s="20">
        <x:f t="array" ref="F73:F73">INDEX($B$4:$O$33,MATCH($A73,$W$4:$W$33,0),COLUMN(E$1))</x:f>
        <x:v>0</x:v>
      </x:c>
      <x:c r="G73" s="21">
        <x:f t="shared" si="36"/>
        <x:v>0</x:v>
      </x:c>
      <x:c r="H73" s="22">
        <x:f t="shared" si="37"/>
        <x:v>0</x:v>
      </x:c>
      <x:c r="I73" s="23" t="str">
        <x:f>IF(B73="","",IFERROR(INDEX('회원명단 및 기준에버'!D:G,MATCH(B73,'회원명단 및 기준에버'!$C:$C,0),CHOOSE(INT((MONTH($N$2)-1)/3)+1,1,2,3,4)),""))</x:f>
        <x:v/>
      </x:c>
      <x:c r="J73" s="5">
        <x:f t="shared" si="40"/>
        <x:v>0</x:v>
      </x:c>
      <x:c r="K73" s="5">
        <x:f t="shared" si="41"/>
        <x:v>0</x:v>
      </x:c>
      <x:c r="L73" s="5">
        <x:f t="shared" si="42"/>
        <x:v>0</x:v>
      </x:c>
      <x:c r="M73" s="5">
        <x:f t="shared" si="38"/>
        <x:v>0</x:v>
      </x:c>
      <x:c r="N73" s="6">
        <x:f t="shared" si="39"/>
        <x:v>0</x:v>
      </x:c>
      <x:c r="O73" s="24">
        <x:f t="shared" si="43"/>
        <x:v>0</x:v>
      </x:c>
    </x:row>
    <x:row r="74" spans="1:15" ht="24.949999999999999" customHeight="1">
      <x:c r="A74" s="18">
        <x:v>12</x:v>
      </x:c>
      <x:c r="B74" s="19">
        <x:f t="array" ref="B74:B74">INDEX($B$4:$O$33,MATCH($A74,$W$4:$W$33,0),COLUMN(A$1))</x:f>
        <x:v>0</x:v>
      </x:c>
      <x:c r="C74" s="20">
        <x:f t="array" ref="C74:C74">INDEX($B$4:$O$33,MATCH($A74,$W$4:$W$33,0),COLUMN(B$1))</x:f>
        <x:v>0</x:v>
      </x:c>
      <x:c r="D74" s="20">
        <x:f t="array" ref="D74:D74">INDEX($B$4:$O$33,MATCH($A74,$W$4:$W$33,0),COLUMN(C$1))</x:f>
        <x:v>0</x:v>
      </x:c>
      <x:c r="E74" s="20">
        <x:f t="array" ref="E74:E74">INDEX($B$4:$O$33,MATCH($A74,$W$4:$W$33,0),COLUMN(D$1))</x:f>
        <x:v>0</x:v>
      </x:c>
      <x:c r="F74" s="20">
        <x:f t="array" ref="F74:F74">INDEX($B$4:$O$33,MATCH($A74,$W$4:$W$33,0),COLUMN(E$1))</x:f>
        <x:v>0</x:v>
      </x:c>
      <x:c r="G74" s="21">
        <x:f t="shared" si="36"/>
        <x:v>0</x:v>
      </x:c>
      <x:c r="H74" s="22">
        <x:f t="shared" si="37"/>
        <x:v>0</x:v>
      </x:c>
      <x:c r="I74" s="23" t="str">
        <x:f>IF(B74="","",IFERROR(INDEX('회원명단 및 기준에버'!D:G,MATCH(B74,'회원명단 및 기준에버'!$C:$C,0),CHOOSE(INT((MONTH($N$2)-1)/3)+1,1,2,3,4)),""))</x:f>
        <x:v/>
      </x:c>
      <x:c r="J74" s="5">
        <x:f t="shared" si="40"/>
        <x:v>0</x:v>
      </x:c>
      <x:c r="K74" s="5">
        <x:f t="shared" si="41"/>
        <x:v>0</x:v>
      </x:c>
      <x:c r="L74" s="5">
        <x:f t="shared" si="42"/>
        <x:v>0</x:v>
      </x:c>
      <x:c r="M74" s="5">
        <x:f t="shared" si="38"/>
        <x:v>0</x:v>
      </x:c>
      <x:c r="N74" s="6">
        <x:f t="shared" si="39"/>
        <x:v>0</x:v>
      </x:c>
      <x:c r="O74" s="24">
        <x:f t="shared" si="43"/>
        <x:v>0</x:v>
      </x:c>
    </x:row>
    <x:row r="75" spans="1:15" ht="24.949999999999999" customHeight="1">
      <x:c r="A75" s="18">
        <x:v>13</x:v>
      </x:c>
      <x:c r="B75" s="19">
        <x:f t="array" ref="B75:B75">INDEX($B$4:$O$33,MATCH($A75,$W$4:$W$33,0),COLUMN(A$1))</x:f>
        <x:v>0</x:v>
      </x:c>
      <x:c r="C75" s="20">
        <x:f t="array" ref="C75:C75">INDEX($B$4:$O$33,MATCH($A75,$W$4:$W$33,0),COLUMN(B$1))</x:f>
        <x:v>0</x:v>
      </x:c>
      <x:c r="D75" s="20">
        <x:f t="array" ref="D75:D75">INDEX($B$4:$O$33,MATCH($A75,$W$4:$W$33,0),COLUMN(C$1))</x:f>
        <x:v>0</x:v>
      </x:c>
      <x:c r="E75" s="20">
        <x:f t="array" ref="E75:E75">INDEX($B$4:$O$33,MATCH($A75,$W$4:$W$33,0),COLUMN(D$1))</x:f>
        <x:v>0</x:v>
      </x:c>
      <x:c r="F75" s="20">
        <x:f t="array" ref="F75:F75">INDEX($B$4:$O$33,MATCH($A75,$W$4:$W$33,0),COLUMN(E$1))</x:f>
        <x:v>0</x:v>
      </x:c>
      <x:c r="G75" s="21">
        <x:f t="shared" si="36"/>
        <x:v>0</x:v>
      </x:c>
      <x:c r="H75" s="22">
        <x:f t="shared" si="37"/>
        <x:v>0</x:v>
      </x:c>
      <x:c r="I75" s="23" t="str">
        <x:f>IF(B75="","",IFERROR(INDEX('회원명단 및 기준에버'!D:G,MATCH(B75,'회원명단 및 기준에버'!$C:$C,0),CHOOSE(INT((MONTH($N$2)-1)/3)+1,1,2,3,4)),""))</x:f>
        <x:v/>
      </x:c>
      <x:c r="J75" s="5">
        <x:f t="shared" si="40"/>
        <x:v>0</x:v>
      </x:c>
      <x:c r="K75" s="5">
        <x:f t="shared" si="41"/>
        <x:v>0</x:v>
      </x:c>
      <x:c r="L75" s="5">
        <x:f t="shared" si="42"/>
        <x:v>0</x:v>
      </x:c>
      <x:c r="M75" s="5">
        <x:f t="shared" si="38"/>
        <x:v>0</x:v>
      </x:c>
      <x:c r="N75" s="6">
        <x:f t="shared" si="39"/>
        <x:v>0</x:v>
      </x:c>
      <x:c r="O75" s="24">
        <x:f t="shared" si="43"/>
        <x:v>0</x:v>
      </x:c>
    </x:row>
    <x:row r="76" spans="1:15" ht="24.949999999999999" customHeight="1">
      <x:c r="A76" s="18">
        <x:v>14</x:v>
      </x:c>
      <x:c r="B76" s="19">
        <x:f t="array" ref="B76:B76">INDEX($B$4:$O$33,MATCH($A76,$W$4:$W$33,0),COLUMN(A$1))</x:f>
        <x:v>0</x:v>
      </x:c>
      <x:c r="C76" s="20">
        <x:f t="array" ref="C76:C76">INDEX($B$4:$O$33,MATCH($A76,$W$4:$W$33,0),COLUMN(B$1))</x:f>
        <x:v>0</x:v>
      </x:c>
      <x:c r="D76" s="20">
        <x:f t="array" ref="D76:D76">INDEX($B$4:$O$33,MATCH($A76,$W$4:$W$33,0),COLUMN(C$1))</x:f>
        <x:v>0</x:v>
      </x:c>
      <x:c r="E76" s="20">
        <x:f t="array" ref="E76:E76">INDEX($B$4:$O$33,MATCH($A76,$W$4:$W$33,0),COLUMN(D$1))</x:f>
        <x:v>0</x:v>
      </x:c>
      <x:c r="F76" s="20">
        <x:f t="array" ref="F76:F76">INDEX($B$4:$O$33,MATCH($A76,$W$4:$W$33,0),COLUMN(E$1))</x:f>
        <x:v>0</x:v>
      </x:c>
      <x:c r="G76" s="21">
        <x:f t="shared" si="36"/>
        <x:v>0</x:v>
      </x:c>
      <x:c r="H76" s="22">
        <x:f t="shared" si="37"/>
        <x:v>0</x:v>
      </x:c>
      <x:c r="I76" s="23" t="str">
        <x:f>IF(B76="","",IFERROR(INDEX('회원명단 및 기준에버'!D:G,MATCH(B76,'회원명단 및 기준에버'!$C:$C,0),CHOOSE(INT((MONTH($N$2)-1)/3)+1,1,2,3,4)),""))</x:f>
        <x:v/>
      </x:c>
      <x:c r="J76" s="5">
        <x:f t="shared" si="40"/>
        <x:v>0</x:v>
      </x:c>
      <x:c r="K76" s="5">
        <x:f t="shared" si="41"/>
        <x:v>0</x:v>
      </x:c>
      <x:c r="L76" s="5">
        <x:f t="shared" si="42"/>
        <x:v>0</x:v>
      </x:c>
      <x:c r="M76" s="5">
        <x:f t="shared" si="38"/>
        <x:v>0</x:v>
      </x:c>
      <x:c r="N76" s="6">
        <x:f t="shared" si="39"/>
        <x:v>0</x:v>
      </x:c>
      <x:c r="O76" s="24">
        <x:f t="shared" si="43"/>
        <x:v>0</x:v>
      </x:c>
    </x:row>
    <x:row r="77" spans="1:15" ht="24.949999999999999" customHeight="1">
      <x:c r="A77" s="18">
        <x:v>15</x:v>
      </x:c>
      <x:c r="B77" s="19">
        <x:f t="array" ref="B77:B77">INDEX($B$4:$O$33,MATCH($A77,$W$4:$W$33,0),COLUMN(A$1))</x:f>
        <x:v>0</x:v>
      </x:c>
      <x:c r="C77" s="20">
        <x:f t="array" ref="C77:C77">INDEX($B$4:$O$33,MATCH($A77,$W$4:$W$33,0),COLUMN(B$1))</x:f>
        <x:v>0</x:v>
      </x:c>
      <x:c r="D77" s="20">
        <x:f t="array" ref="D77:D77">INDEX($B$4:$O$33,MATCH($A77,$W$4:$W$33,0),COLUMN(C$1))</x:f>
        <x:v>0</x:v>
      </x:c>
      <x:c r="E77" s="20">
        <x:f t="array" ref="E77:E77">INDEX($B$4:$O$33,MATCH($A77,$W$4:$W$33,0),COLUMN(D$1))</x:f>
        <x:v>0</x:v>
      </x:c>
      <x:c r="F77" s="20">
        <x:f t="array" ref="F77:F77">INDEX($B$4:$O$33,MATCH($A77,$W$4:$W$33,0),COLUMN(E$1))</x:f>
        <x:v>0</x:v>
      </x:c>
      <x:c r="G77" s="21">
        <x:f t="shared" si="36"/>
        <x:v>0</x:v>
      </x:c>
      <x:c r="H77" s="22">
        <x:f t="shared" si="37"/>
        <x:v>0</x:v>
      </x:c>
      <x:c r="I77" s="23" t="str">
        <x:f>IF(B77="","",IFERROR(INDEX('회원명단 및 기준에버'!D:G,MATCH(B77,'회원명단 및 기준에버'!$C:$C,0),CHOOSE(INT((MONTH($N$2)-1)/3)+1,1,2,3,4)),""))</x:f>
        <x:v/>
      </x:c>
      <x:c r="J77" s="5">
        <x:f t="shared" si="40"/>
        <x:v>0</x:v>
      </x:c>
      <x:c r="K77" s="5">
        <x:f t="shared" si="41"/>
        <x:v>0</x:v>
      </x:c>
      <x:c r="L77" s="5">
        <x:f t="shared" si="42"/>
        <x:v>0</x:v>
      </x:c>
      <x:c r="M77" s="5">
        <x:f t="shared" si="38"/>
        <x:v>0</x:v>
      </x:c>
      <x:c r="N77" s="6">
        <x:f t="shared" si="39"/>
        <x:v>0</x:v>
      </x:c>
      <x:c r="O77" s="24">
        <x:f t="shared" si="43"/>
        <x:v>0</x:v>
      </x:c>
    </x:row>
    <x:row r="78" spans="1:15" ht="24.949999999999999" customHeight="1">
      <x:c r="A78" s="18">
        <x:v>16</x:v>
      </x:c>
      <x:c r="B78" s="19">
        <x:f t="array" ref="B78:B78">INDEX($B$4:$O$33,MATCH($A78,$W$4:$W$33,0),COLUMN(A$1))</x:f>
        <x:v>0</x:v>
      </x:c>
      <x:c r="C78" s="20">
        <x:f t="array" ref="C78:C78">INDEX($B$4:$O$33,MATCH($A78,$W$4:$W$33,0),COLUMN(B$1))</x:f>
        <x:v>0</x:v>
      </x:c>
      <x:c r="D78" s="20">
        <x:f t="array" ref="D78:D78">INDEX($B$4:$O$33,MATCH($A78,$W$4:$W$33,0),COLUMN(C$1))</x:f>
        <x:v>0</x:v>
      </x:c>
      <x:c r="E78" s="20">
        <x:f t="array" ref="E78:E78">INDEX($B$4:$O$33,MATCH($A78,$W$4:$W$33,0),COLUMN(D$1))</x:f>
        <x:v>0</x:v>
      </x:c>
      <x:c r="F78" s="20">
        <x:f t="array" ref="F78:F78">INDEX($B$4:$O$33,MATCH($A78,$W$4:$W$33,0),COLUMN(E$1))</x:f>
        <x:v>0</x:v>
      </x:c>
      <x:c r="G78" s="21">
        <x:f t="shared" si="36"/>
        <x:v>0</x:v>
      </x:c>
      <x:c r="H78" s="22">
        <x:f t="shared" si="37"/>
        <x:v>0</x:v>
      </x:c>
      <x:c r="I78" s="23" t="str">
        <x:f>IF(B78="","",IFERROR(INDEX('회원명단 및 기준에버'!D:G,MATCH(B78,'회원명단 및 기준에버'!$C:$C,0),CHOOSE(INT((MONTH($N$2)-1)/3)+1,1,2,3,4)),""))</x:f>
        <x:v/>
      </x:c>
      <x:c r="J78" s="5">
        <x:f t="shared" si="40"/>
        <x:v>0</x:v>
      </x:c>
      <x:c r="K78" s="5">
        <x:f t="shared" si="41"/>
        <x:v>0</x:v>
      </x:c>
      <x:c r="L78" s="5">
        <x:f t="shared" si="42"/>
        <x:v>0</x:v>
      </x:c>
      <x:c r="M78" s="5">
        <x:f t="shared" si="38"/>
        <x:v>0</x:v>
      </x:c>
      <x:c r="N78" s="6">
        <x:f t="shared" si="39"/>
        <x:v>0</x:v>
      </x:c>
      <x:c r="O78" s="24">
        <x:f t="shared" si="43"/>
        <x:v>0</x:v>
      </x:c>
    </x:row>
    <x:row r="79" spans="1:15" ht="24.949999999999999" customHeight="1">
      <x:c r="A79" s="18">
        <x:v>17</x:v>
      </x:c>
      <x:c r="B79" s="19">
        <x:f t="array" ref="B79:B79">INDEX($B$4:$O$33,MATCH($A79,$W$4:$W$33,0),COLUMN(A$1))</x:f>
        <x:v>0</x:v>
      </x:c>
      <x:c r="C79" s="20">
        <x:f t="array" ref="C79:C79">INDEX($B$4:$O$33,MATCH($A79,$W$4:$W$33,0),COLUMN(B$1))</x:f>
        <x:v>0</x:v>
      </x:c>
      <x:c r="D79" s="20">
        <x:f t="array" ref="D79:D79">INDEX($B$4:$O$33,MATCH($A79,$W$4:$W$33,0),COLUMN(C$1))</x:f>
        <x:v>0</x:v>
      </x:c>
      <x:c r="E79" s="20">
        <x:f t="array" ref="E79:E79">INDEX($B$4:$O$33,MATCH($A79,$W$4:$W$33,0),COLUMN(D$1))</x:f>
        <x:v>0</x:v>
      </x:c>
      <x:c r="F79" s="20">
        <x:f t="array" ref="F79:F79">INDEX($B$4:$O$33,MATCH($A79,$W$4:$W$33,0),COLUMN(E$1))</x:f>
        <x:v>0</x:v>
      </x:c>
      <x:c r="G79" s="21">
        <x:f t="shared" si="36"/>
        <x:v>0</x:v>
      </x:c>
      <x:c r="H79" s="22">
        <x:f t="shared" si="37"/>
        <x:v>0</x:v>
      </x:c>
      <x:c r="I79" s="23" t="str">
        <x:f>IF(B79="","",IFERROR(INDEX('회원명단 및 기준에버'!D:G,MATCH(B79,'회원명단 및 기준에버'!$C:$C,0),CHOOSE(INT((MONTH($N$2)-1)/3)+1,1,2,3,4)),""))</x:f>
        <x:v/>
      </x:c>
      <x:c r="J79" s="5">
        <x:f t="shared" si="40"/>
        <x:v>0</x:v>
      </x:c>
      <x:c r="K79" s="5">
        <x:f t="shared" si="41"/>
        <x:v>0</x:v>
      </x:c>
      <x:c r="L79" s="5">
        <x:f t="shared" si="42"/>
        <x:v>0</x:v>
      </x:c>
      <x:c r="M79" s="5">
        <x:f t="shared" si="38"/>
        <x:v>0</x:v>
      </x:c>
      <x:c r="N79" s="6">
        <x:f t="shared" si="39"/>
        <x:v>0</x:v>
      </x:c>
      <x:c r="O79" s="24">
        <x:f t="shared" si="43"/>
        <x:v>0</x:v>
      </x:c>
    </x:row>
    <x:row r="80" spans="1:15" ht="24.949999999999999" customHeight="1">
      <x:c r="A80" s="18">
        <x:v>18</x:v>
      </x:c>
      <x:c r="B80" s="19">
        <x:f t="array" ref="B80:B80">INDEX($B$4:$O$33,MATCH($A80,$W$4:$W$33,0),COLUMN(A$1))</x:f>
        <x:v>0</x:v>
      </x:c>
      <x:c r="C80" s="20">
        <x:f t="array" ref="C80:C80">INDEX($B$4:$O$33,MATCH($A80,$W$4:$W$33,0),COLUMN(B$1))</x:f>
        <x:v>0</x:v>
      </x:c>
      <x:c r="D80" s="20">
        <x:f t="array" ref="D80:D80">INDEX($B$4:$O$33,MATCH($A80,$W$4:$W$33,0),COLUMN(C$1))</x:f>
        <x:v>0</x:v>
      </x:c>
      <x:c r="E80" s="20">
        <x:f t="array" ref="E80:E80">INDEX($B$4:$O$33,MATCH($A80,$W$4:$W$33,0),COLUMN(D$1))</x:f>
        <x:v>0</x:v>
      </x:c>
      <x:c r="F80" s="20">
        <x:f t="array" ref="F80:F80">INDEX($B$4:$O$33,MATCH($A80,$W$4:$W$33,0),COLUMN(E$1))</x:f>
        <x:v>0</x:v>
      </x:c>
      <x:c r="G80" s="21">
        <x:f t="shared" si="36"/>
        <x:v>0</x:v>
      </x:c>
      <x:c r="H80" s="22">
        <x:f t="shared" si="37"/>
        <x:v>0</x:v>
      </x:c>
      <x:c r="I80" s="23" t="str">
        <x:f>IF(B80="","",IFERROR(INDEX('회원명단 및 기준에버'!D:G,MATCH(B80,'회원명단 및 기준에버'!$C:$C,0),CHOOSE(INT((MONTH($N$2)-1)/3)+1,1,2,3,4)),""))</x:f>
        <x:v/>
      </x:c>
      <x:c r="J80" s="5">
        <x:f t="shared" si="40"/>
        <x:v>0</x:v>
      </x:c>
      <x:c r="K80" s="5">
        <x:f t="shared" si="41"/>
        <x:v>0</x:v>
      </x:c>
      <x:c r="L80" s="5">
        <x:f t="shared" si="42"/>
        <x:v>0</x:v>
      </x:c>
      <x:c r="M80" s="5">
        <x:f t="shared" si="38"/>
        <x:v>0</x:v>
      </x:c>
      <x:c r="N80" s="6">
        <x:f t="shared" si="39"/>
        <x:v>0</x:v>
      </x:c>
      <x:c r="O80" s="24">
        <x:f t="shared" si="43"/>
        <x:v>0</x:v>
      </x:c>
    </x:row>
    <x:row r="81" spans="1:15" ht="24.949999999999999" customHeight="1">
      <x:c r="A81" s="18">
        <x:v>19</x:v>
      </x:c>
      <x:c r="B81" s="19">
        <x:f t="array" ref="B81:B81">INDEX($B$4:$O$33,MATCH($A81,$W$4:$W$33,0),COLUMN(A$1))</x:f>
        <x:v>0</x:v>
      </x:c>
      <x:c r="C81" s="20">
        <x:f t="array" ref="C81:C81">INDEX($B$4:$O$33,MATCH($A81,$W$4:$W$33,0),COLUMN(B$1))</x:f>
        <x:v>0</x:v>
      </x:c>
      <x:c r="D81" s="20">
        <x:f t="array" ref="D81:D81">INDEX($B$4:$O$33,MATCH($A81,$W$4:$W$33,0),COLUMN(C$1))</x:f>
        <x:v>0</x:v>
      </x:c>
      <x:c r="E81" s="20">
        <x:f t="array" ref="E81:E81">INDEX($B$4:$O$33,MATCH($A81,$W$4:$W$33,0),COLUMN(D$1))</x:f>
        <x:v>0</x:v>
      </x:c>
      <x:c r="F81" s="20">
        <x:f t="array" ref="F81:F81">INDEX($B$4:$O$33,MATCH($A81,$W$4:$W$33,0),COLUMN(E$1))</x:f>
        <x:v>0</x:v>
      </x:c>
      <x:c r="G81" s="21">
        <x:f t="shared" si="36"/>
        <x:v>0</x:v>
      </x:c>
      <x:c r="H81" s="22">
        <x:f t="shared" si="37"/>
        <x:v>0</x:v>
      </x:c>
      <x:c r="I81" s="23" t="str">
        <x:f>IF(B81="","",IFERROR(INDEX('회원명단 및 기준에버'!D:G,MATCH(B81,'회원명단 및 기준에버'!$C:$C,0),CHOOSE(INT((MONTH($N$2)-1)/3)+1,1,2,3,4)),""))</x:f>
        <x:v/>
      </x:c>
      <x:c r="J81" s="5">
        <x:f t="shared" si="40"/>
        <x:v>0</x:v>
      </x:c>
      <x:c r="K81" s="5">
        <x:f t="shared" si="41"/>
        <x:v>0</x:v>
      </x:c>
      <x:c r="L81" s="5">
        <x:f t="shared" si="42"/>
        <x:v>0</x:v>
      </x:c>
      <x:c r="M81" s="5">
        <x:f t="shared" si="38"/>
        <x:v>0</x:v>
      </x:c>
      <x:c r="N81" s="6">
        <x:f t="shared" si="39"/>
        <x:v>0</x:v>
      </x:c>
      <x:c r="O81" s="24">
        <x:f t="shared" si="43"/>
        <x:v>0</x:v>
      </x:c>
    </x:row>
    <x:row r="82" spans="1:15" ht="24.949999999999999" customHeight="1">
      <x:c r="A82" s="18">
        <x:v>20</x:v>
      </x:c>
      <x:c r="B82" s="19">
        <x:f t="array" ref="B82:B82">INDEX($B$4:$O$33,MATCH($A82,$W$4:$W$33,0),COLUMN(A$1))</x:f>
        <x:v>0</x:v>
      </x:c>
      <x:c r="C82" s="20">
        <x:f t="array" ref="C82:C82">INDEX($B$4:$O$33,MATCH($A82,$W$4:$W$33,0),COLUMN(B$1))</x:f>
        <x:v>0</x:v>
      </x:c>
      <x:c r="D82" s="20">
        <x:f t="array" ref="D82:D82">INDEX($B$4:$O$33,MATCH($A82,$W$4:$W$33,0),COLUMN(C$1))</x:f>
        <x:v>0</x:v>
      </x:c>
      <x:c r="E82" s="20">
        <x:f t="array" ref="E82:E82">INDEX($B$4:$O$33,MATCH($A82,$W$4:$W$33,0),COLUMN(D$1))</x:f>
        <x:v>0</x:v>
      </x:c>
      <x:c r="F82" s="20">
        <x:f t="array" ref="F82:F82">INDEX($B$4:$O$33,MATCH($A82,$W$4:$W$33,0),COLUMN(E$1))</x:f>
        <x:v>0</x:v>
      </x:c>
      <x:c r="G82" s="21">
        <x:f t="shared" si="36"/>
        <x:v>0</x:v>
      </x:c>
      <x:c r="H82" s="22">
        <x:f t="shared" si="37"/>
        <x:v>0</x:v>
      </x:c>
      <x:c r="I82" s="23" t="str">
        <x:f>IF(B82="","",IFERROR(INDEX('회원명단 및 기준에버'!D:G,MATCH(B82,'회원명단 및 기준에버'!$C:$C,0),CHOOSE(INT((MONTH($N$2)-1)/3)+1,1,2,3,4)),""))</x:f>
        <x:v/>
      </x:c>
      <x:c r="J82" s="5">
        <x:f t="shared" si="40"/>
        <x:v>0</x:v>
      </x:c>
      <x:c r="K82" s="5">
        <x:f t="shared" si="41"/>
        <x:v>0</x:v>
      </x:c>
      <x:c r="L82" s="5">
        <x:f t="shared" si="42"/>
        <x:v>0</x:v>
      </x:c>
      <x:c r="M82" s="5">
        <x:f t="shared" si="38"/>
        <x:v>0</x:v>
      </x:c>
      <x:c r="N82" s="6">
        <x:f t="shared" si="39"/>
        <x:v>0</x:v>
      </x:c>
      <x:c r="O82" s="24">
        <x:f t="shared" si="43"/>
        <x:v>0</x:v>
      </x:c>
    </x:row>
    <x:row r="83" spans="1:15" ht="24.949999999999999" customHeight="1">
      <x:c r="A83" s="18">
        <x:v>21</x:v>
      </x:c>
      <x:c r="B83" s="19">
        <x:f t="array" ref="B83:B83">INDEX($B$4:$O$33,MATCH($A83,$W$4:$W$33,0),COLUMN(A$1))</x:f>
        <x:v>0</x:v>
      </x:c>
      <x:c r="C83" s="20">
        <x:f t="array" ref="C83:C83">INDEX($B$4:$O$33,MATCH($A83,$W$4:$W$33,0),COLUMN(B$1))</x:f>
        <x:v>0</x:v>
      </x:c>
      <x:c r="D83" s="20">
        <x:f t="array" ref="D83:D83">INDEX($B$4:$O$33,MATCH($A83,$W$4:$W$33,0),COLUMN(C$1))</x:f>
        <x:v>0</x:v>
      </x:c>
      <x:c r="E83" s="20">
        <x:f t="array" ref="E83:E83">INDEX($B$4:$O$33,MATCH($A83,$W$4:$W$33,0),COLUMN(D$1))</x:f>
        <x:v>0</x:v>
      </x:c>
      <x:c r="F83" s="20">
        <x:f t="array" ref="F83:F83">INDEX($B$4:$O$33,MATCH($A83,$W$4:$W$33,0),COLUMN(E$1))</x:f>
        <x:v>0</x:v>
      </x:c>
      <x:c r="G83" s="21">
        <x:f t="shared" si="36"/>
        <x:v>0</x:v>
      </x:c>
      <x:c r="H83" s="22">
        <x:f t="shared" si="37"/>
        <x:v>0</x:v>
      </x:c>
      <x:c r="I83" s="23" t="str">
        <x:f>IF(B83="","",IFERROR(INDEX('회원명단 및 기준에버'!D:G,MATCH(B83,'회원명단 및 기준에버'!$C:$C,0),CHOOSE(INT((MONTH($N$2)-1)/3)+1,1,2,3,4)),""))</x:f>
        <x:v/>
      </x:c>
      <x:c r="J83" s="5">
        <x:f t="shared" si="40"/>
        <x:v>0</x:v>
      </x:c>
      <x:c r="K83" s="5">
        <x:f t="shared" si="41"/>
        <x:v>0</x:v>
      </x:c>
      <x:c r="L83" s="5">
        <x:f t="shared" si="42"/>
        <x:v>0</x:v>
      </x:c>
      <x:c r="M83" s="5">
        <x:f t="shared" si="38"/>
        <x:v>0</x:v>
      </x:c>
      <x:c r="N83" s="6">
        <x:f t="shared" si="39"/>
        <x:v>0</x:v>
      </x:c>
      <x:c r="O83" s="24">
        <x:f t="shared" si="43"/>
        <x:v>0</x:v>
      </x:c>
    </x:row>
    <x:row r="84" spans="1:15" ht="24.949999999999999" customHeight="1">
      <x:c r="A84" s="18">
        <x:v>22</x:v>
      </x:c>
      <x:c r="B84" s="19">
        <x:f t="array" ref="B84:B84">INDEX($B$4:$O$33,MATCH($A84,$W$4:$W$33,0),COLUMN(A$1))</x:f>
        <x:v>0</x:v>
      </x:c>
      <x:c r="C84" s="20">
        <x:f t="array" ref="C84:C84">INDEX($B$4:$O$33,MATCH($A84,$W$4:$W$33,0),COLUMN(B$1))</x:f>
        <x:v>0</x:v>
      </x:c>
      <x:c r="D84" s="20">
        <x:f t="array" ref="D84:D84">INDEX($B$4:$O$33,MATCH($A84,$W$4:$W$33,0),COLUMN(C$1))</x:f>
        <x:v>0</x:v>
      </x:c>
      <x:c r="E84" s="20">
        <x:f t="array" ref="E84:E84">INDEX($B$4:$O$33,MATCH($A84,$W$4:$W$33,0),COLUMN(D$1))</x:f>
        <x:v>0</x:v>
      </x:c>
      <x:c r="F84" s="20">
        <x:f t="array" ref="F84:F84">INDEX($B$4:$O$33,MATCH($A84,$W$4:$W$33,0),COLUMN(E$1))</x:f>
        <x:v>0</x:v>
      </x:c>
      <x:c r="G84" s="21">
        <x:f t="shared" si="36"/>
        <x:v>0</x:v>
      </x:c>
      <x:c r="H84" s="22">
        <x:f t="shared" si="37"/>
        <x:v>0</x:v>
      </x:c>
      <x:c r="I84" s="23" t="str">
        <x:f>IF(B84="","",IFERROR(INDEX('회원명단 및 기준에버'!D:G,MATCH(B84,'회원명단 및 기준에버'!$C:$C,0),CHOOSE(INT((MONTH($N$2)-1)/3)+1,1,2,3,4)),""))</x:f>
        <x:v/>
      </x:c>
      <x:c r="J84" s="5">
        <x:f t="shared" si="40"/>
        <x:v>0</x:v>
      </x:c>
      <x:c r="K84" s="5">
        <x:f t="shared" si="41"/>
        <x:v>0</x:v>
      </x:c>
      <x:c r="L84" s="5">
        <x:f t="shared" si="42"/>
        <x:v>0</x:v>
      </x:c>
      <x:c r="M84" s="5">
        <x:f t="shared" si="38"/>
        <x:v>0</x:v>
      </x:c>
      <x:c r="N84" s="6">
        <x:f t="shared" si="39"/>
        <x:v>0</x:v>
      </x:c>
      <x:c r="O84" s="24">
        <x:f t="shared" si="43"/>
        <x:v>0</x:v>
      </x:c>
    </x:row>
    <x:row r="85" spans="1:15" ht="24.949999999999999" customHeight="1">
      <x:c r="A85" s="18">
        <x:v>23</x:v>
      </x:c>
      <x:c r="B85" s="19">
        <x:f t="array" ref="B85:B85">INDEX($B$4:$O$33,MATCH($A85,$W$4:$W$33,0),COLUMN(A$1))</x:f>
        <x:v>0</x:v>
      </x:c>
      <x:c r="C85" s="20">
        <x:f t="array" ref="C85:C85">INDEX($B$4:$O$33,MATCH($A85,$W$4:$W$33,0),COLUMN(B$1))</x:f>
        <x:v>0</x:v>
      </x:c>
      <x:c r="D85" s="20">
        <x:f t="array" ref="D85:D85">INDEX($B$4:$O$33,MATCH($A85,$W$4:$W$33,0),COLUMN(C$1))</x:f>
        <x:v>0</x:v>
      </x:c>
      <x:c r="E85" s="20">
        <x:f t="array" ref="E85:E85">INDEX($B$4:$O$33,MATCH($A85,$W$4:$W$33,0),COLUMN(D$1))</x:f>
        <x:v>0</x:v>
      </x:c>
      <x:c r="F85" s="20">
        <x:f t="array" ref="F85:F85">INDEX($B$4:$O$33,MATCH($A85,$W$4:$W$33,0),COLUMN(E$1))</x:f>
        <x:v>0</x:v>
      </x:c>
      <x:c r="G85" s="21">
        <x:f t="shared" si="36"/>
        <x:v>0</x:v>
      </x:c>
      <x:c r="H85" s="22">
        <x:f t="shared" si="37"/>
        <x:v>0</x:v>
      </x:c>
      <x:c r="I85" s="23" t="str">
        <x:f>IF(B85="","",IFERROR(INDEX('회원명단 및 기준에버'!D:G,MATCH(B85,'회원명단 및 기준에버'!$C:$C,0),CHOOSE(INT((MONTH($N$2)-1)/3)+1,1,2,3,4)),""))</x:f>
        <x:v/>
      </x:c>
      <x:c r="J85" s="5">
        <x:f t="shared" si="40"/>
        <x:v>0</x:v>
      </x:c>
      <x:c r="K85" s="5">
        <x:f t="shared" si="41"/>
        <x:v>0</x:v>
      </x:c>
      <x:c r="L85" s="5">
        <x:f t="shared" si="42"/>
        <x:v>0</x:v>
      </x:c>
      <x:c r="M85" s="5">
        <x:f t="shared" si="38"/>
        <x:v>0</x:v>
      </x:c>
      <x:c r="N85" s="6">
        <x:f t="shared" si="39"/>
        <x:v>0</x:v>
      </x:c>
      <x:c r="O85" s="24">
        <x:f t="shared" si="43"/>
        <x:v>0</x:v>
      </x:c>
    </x:row>
    <x:row r="86" spans="1:15" ht="24.949999999999999" customHeight="1">
      <x:c r="A86" s="18">
        <x:v>24</x:v>
      </x:c>
      <x:c r="B86" s="19">
        <x:f t="array" ref="B86:B86">INDEX($B$4:$O$33,MATCH($A86,$W$4:$W$33,0),COLUMN(A$1))</x:f>
        <x:v>0</x:v>
      </x:c>
      <x:c r="C86" s="20">
        <x:f t="array" ref="C86:C86">INDEX($B$4:$O$33,MATCH($A86,$W$4:$W$33,0),COLUMN(B$1))</x:f>
        <x:v>0</x:v>
      </x:c>
      <x:c r="D86" s="20">
        <x:f t="array" ref="D86:D86">INDEX($B$4:$O$33,MATCH($A86,$W$4:$W$33,0),COLUMN(C$1))</x:f>
        <x:v>0</x:v>
      </x:c>
      <x:c r="E86" s="20">
        <x:f t="array" ref="E86:E86">INDEX($B$4:$O$33,MATCH($A86,$W$4:$W$33,0),COLUMN(D$1))</x:f>
        <x:v>0</x:v>
      </x:c>
      <x:c r="F86" s="20">
        <x:f t="array" ref="F86:F86">INDEX($B$4:$O$33,MATCH($A86,$W$4:$W$33,0),COLUMN(E$1))</x:f>
        <x:v>0</x:v>
      </x:c>
      <x:c r="G86" s="21">
        <x:f t="shared" si="36"/>
        <x:v>0</x:v>
      </x:c>
      <x:c r="H86" s="22">
        <x:f t="shared" si="37"/>
        <x:v>0</x:v>
      </x:c>
      <x:c r="I86" s="23" t="str">
        <x:f>IF(B86="","",IFERROR(INDEX('회원명단 및 기준에버'!D:G,MATCH(B86,'회원명단 및 기준에버'!$C:$C,0),CHOOSE(INT((MONTH($N$2)-1)/3)+1,1,2,3,4)),""))</x:f>
        <x:v/>
      </x:c>
      <x:c r="J86" s="5">
        <x:f t="shared" si="40"/>
        <x:v>0</x:v>
      </x:c>
      <x:c r="K86" s="5">
        <x:f t="shared" si="41"/>
        <x:v>0</x:v>
      </x:c>
      <x:c r="L86" s="5">
        <x:f t="shared" si="42"/>
        <x:v>0</x:v>
      </x:c>
      <x:c r="M86" s="5">
        <x:f t="shared" si="38"/>
        <x:v>0</x:v>
      </x:c>
      <x:c r="N86" s="6">
        <x:f t="shared" si="39"/>
        <x:v>0</x:v>
      </x:c>
      <x:c r="O86" s="24">
        <x:f t="shared" si="43"/>
        <x:v>0</x:v>
      </x:c>
    </x:row>
    <x:row r="87" spans="1:15" ht="24.949999999999999" customHeight="1">
      <x:c r="A87" s="18">
        <x:v>25</x:v>
      </x:c>
      <x:c r="B87" s="19">
        <x:f t="array" ref="B87:B87">INDEX($B$4:$O$33,MATCH($A87,$W$4:$W$33,0),COLUMN(A$1))</x:f>
        <x:v>0</x:v>
      </x:c>
      <x:c r="C87" s="20">
        <x:f t="array" ref="C87:C87">INDEX($B$4:$O$33,MATCH($A87,$W$4:$W$33,0),COLUMN(B$1))</x:f>
        <x:v>0</x:v>
      </x:c>
      <x:c r="D87" s="20">
        <x:f t="array" ref="D87:D87">INDEX($B$4:$O$33,MATCH($A87,$W$4:$W$33,0),COLUMN(C$1))</x:f>
        <x:v>0</x:v>
      </x:c>
      <x:c r="E87" s="20">
        <x:f t="array" ref="E87:E87">INDEX($B$4:$O$33,MATCH($A87,$W$4:$W$33,0),COLUMN(D$1))</x:f>
        <x:v>0</x:v>
      </x:c>
      <x:c r="F87" s="20">
        <x:f t="array" ref="F87:F87">INDEX($B$4:$O$33,MATCH($A87,$W$4:$W$33,0),COLUMN(E$1))</x:f>
        <x:v>0</x:v>
      </x:c>
      <x:c r="G87" s="21">
        <x:f t="shared" si="36"/>
        <x:v>0</x:v>
      </x:c>
      <x:c r="H87" s="22">
        <x:f t="shared" si="37"/>
        <x:v>0</x:v>
      </x:c>
      <x:c r="I87" s="23" t="str">
        <x:f>IF(B87="","",IFERROR(INDEX('회원명단 및 기준에버'!D:G,MATCH(B87,'회원명단 및 기준에버'!$C:$C,0),CHOOSE(INT((MONTH($N$2)-1)/3)+1,1,2,3,4)),""))</x:f>
        <x:v/>
      </x:c>
      <x:c r="J87" s="5">
        <x:f t="shared" si="40"/>
        <x:v>0</x:v>
      </x:c>
      <x:c r="K87" s="5">
        <x:f t="shared" si="41"/>
        <x:v>0</x:v>
      </x:c>
      <x:c r="L87" s="5">
        <x:f t="shared" si="42"/>
        <x:v>0</x:v>
      </x:c>
      <x:c r="M87" s="5">
        <x:f t="shared" si="38"/>
        <x:v>0</x:v>
      </x:c>
      <x:c r="N87" s="6">
        <x:f t="shared" si="39"/>
        <x:v>0</x:v>
      </x:c>
      <x:c r="O87" s="24">
        <x:f t="shared" si="43"/>
        <x:v>0</x:v>
      </x:c>
    </x:row>
    <x:row r="88" spans="1:15" ht="24.949999999999999" customHeight="1">
      <x:c r="A88" s="18">
        <x:v>26</x:v>
      </x:c>
      <x:c r="B88" s="19">
        <x:f t="array" ref="B88:B88">INDEX($B$4:$O$33,MATCH($A88,$W$4:$W$33,0),COLUMN(A$1))</x:f>
        <x:v>0</x:v>
      </x:c>
      <x:c r="C88" s="20">
        <x:f t="array" ref="C88:C88">INDEX($B$4:$O$33,MATCH($A88,$W$4:$W$33,0),COLUMN(B$1))</x:f>
        <x:v>0</x:v>
      </x:c>
      <x:c r="D88" s="20">
        <x:f t="array" ref="D88:D88">INDEX($B$4:$O$33,MATCH($A88,$W$4:$W$33,0),COLUMN(C$1))</x:f>
        <x:v>0</x:v>
      </x:c>
      <x:c r="E88" s="20">
        <x:f t="array" ref="E88:E88">INDEX($B$4:$O$33,MATCH($A88,$W$4:$W$33,0),COLUMN(D$1))</x:f>
        <x:v>0</x:v>
      </x:c>
      <x:c r="F88" s="20">
        <x:f t="array" ref="F88:F88">INDEX($B$4:$O$33,MATCH($A88,$W$4:$W$33,0),COLUMN(E$1))</x:f>
        <x:v>0</x:v>
      </x:c>
      <x:c r="G88" s="21">
        <x:f t="shared" si="36"/>
        <x:v>0</x:v>
      </x:c>
      <x:c r="H88" s="22">
        <x:f t="shared" si="37"/>
        <x:v>0</x:v>
      </x:c>
      <x:c r="I88" s="23" t="str">
        <x:f>IF(B88="","",IFERROR(INDEX('회원명단 및 기준에버'!D:G,MATCH(B88,'회원명단 및 기준에버'!$C:$C,0),CHOOSE(INT((MONTH($N$2)-1)/3)+1,1,2,3,4)),""))</x:f>
        <x:v/>
      </x:c>
      <x:c r="J88" s="5">
        <x:f t="shared" si="40"/>
        <x:v>0</x:v>
      </x:c>
      <x:c r="K88" s="5">
        <x:f t="shared" si="41"/>
        <x:v>0</x:v>
      </x:c>
      <x:c r="L88" s="5">
        <x:f t="shared" si="42"/>
        <x:v>0</x:v>
      </x:c>
      <x:c r="M88" s="5">
        <x:f t="shared" si="38"/>
        <x:v>0</x:v>
      </x:c>
      <x:c r="N88" s="6">
        <x:f t="shared" si="39"/>
        <x:v>0</x:v>
      </x:c>
      <x:c r="O88" s="24">
        <x:f t="shared" si="43"/>
        <x:v>0</x:v>
      </x:c>
    </x:row>
    <x:row r="89" spans="1:15" ht="24.949999999999999" customHeight="1">
      <x:c r="A89" s="18">
        <x:v>27</x:v>
      </x:c>
      <x:c r="B89" s="19">
        <x:f t="array" ref="B89:B89">INDEX($B$4:$O$33,MATCH($A89,$W$4:$W$33,0),COLUMN(A$1))</x:f>
        <x:v>0</x:v>
      </x:c>
      <x:c r="C89" s="20">
        <x:f t="array" ref="C89:C89">INDEX($B$4:$O$33,MATCH($A89,$W$4:$W$33,0),COLUMN(B$1))</x:f>
        <x:v>0</x:v>
      </x:c>
      <x:c r="D89" s="20">
        <x:f t="array" ref="D89:D89">INDEX($B$4:$O$33,MATCH($A89,$W$4:$W$33,0),COLUMN(C$1))</x:f>
        <x:v>0</x:v>
      </x:c>
      <x:c r="E89" s="20">
        <x:f t="array" ref="E89:E89">INDEX($B$4:$O$33,MATCH($A89,$W$4:$W$33,0),COLUMN(D$1))</x:f>
        <x:v>0</x:v>
      </x:c>
      <x:c r="F89" s="20">
        <x:f t="array" ref="F89:F89">INDEX($B$4:$O$33,MATCH($A89,$W$4:$W$33,0),COLUMN(E$1))</x:f>
        <x:v>0</x:v>
      </x:c>
      <x:c r="G89" s="21">
        <x:f t="shared" si="36"/>
        <x:v>0</x:v>
      </x:c>
      <x:c r="H89" s="22">
        <x:f t="shared" si="37"/>
        <x:v>0</x:v>
      </x:c>
      <x:c r="I89" s="23" t="str">
        <x:f>IF(B89="","",IFERROR(INDEX('회원명단 및 기준에버'!D:G,MATCH(B89,'회원명단 및 기준에버'!$C:$C,0),CHOOSE(INT((MONTH($N$2)-1)/3)+1,1,2,3,4)),""))</x:f>
        <x:v/>
      </x:c>
      <x:c r="J89" s="5">
        <x:f t="shared" si="40"/>
        <x:v>0</x:v>
      </x:c>
      <x:c r="K89" s="5">
        <x:f t="shared" si="41"/>
        <x:v>0</x:v>
      </x:c>
      <x:c r="L89" s="5">
        <x:f t="shared" si="42"/>
        <x:v>0</x:v>
      </x:c>
      <x:c r="M89" s="5">
        <x:f t="shared" si="38"/>
        <x:v>0</x:v>
      </x:c>
      <x:c r="N89" s="6">
        <x:f t="shared" si="39"/>
        <x:v>0</x:v>
      </x:c>
      <x:c r="O89" s="24">
        <x:f t="shared" si="43"/>
        <x:v>0</x:v>
      </x:c>
    </x:row>
    <x:row r="90" spans="1:15" ht="24.949999999999999" customHeight="1">
      <x:c r="A90" s="18">
        <x:v>28</x:v>
      </x:c>
      <x:c r="B90" s="19">
        <x:f t="array" ref="B90:B90">INDEX($B$4:$O$33,MATCH($A90,$W$4:$W$33,0),COLUMN(A$1))</x:f>
        <x:v>0</x:v>
      </x:c>
      <x:c r="C90" s="20">
        <x:f t="array" ref="C90:C90">INDEX($B$4:$O$33,MATCH($A90,$W$4:$W$33,0),COLUMN(B$1))</x:f>
        <x:v>0</x:v>
      </x:c>
      <x:c r="D90" s="20">
        <x:f t="array" ref="D90:D90">INDEX($B$4:$O$33,MATCH($A90,$W$4:$W$33,0),COLUMN(C$1))</x:f>
        <x:v>0</x:v>
      </x:c>
      <x:c r="E90" s="20">
        <x:f t="array" ref="E90:E90">INDEX($B$4:$O$33,MATCH($A90,$W$4:$W$33,0),COLUMN(D$1))</x:f>
        <x:v>0</x:v>
      </x:c>
      <x:c r="F90" s="20">
        <x:f t="array" ref="F90:F90">INDEX($B$4:$O$33,MATCH($A90,$W$4:$W$33,0),COLUMN(E$1))</x:f>
        <x:v>0</x:v>
      </x:c>
      <x:c r="G90" s="21">
        <x:f t="shared" si="36"/>
        <x:v>0</x:v>
      </x:c>
      <x:c r="H90" s="22">
        <x:f t="shared" si="37"/>
        <x:v>0</x:v>
      </x:c>
      <x:c r="I90" s="23" t="str">
        <x:f>IF(B90="","",IFERROR(INDEX('회원명단 및 기준에버'!D:G,MATCH(B90,'회원명단 및 기준에버'!$C:$C,0),CHOOSE(INT((MONTH($N$2)-1)/3)+1,1,2,3,4)),""))</x:f>
        <x:v/>
      </x:c>
      <x:c r="J90" s="5">
        <x:f t="shared" si="40"/>
        <x:v>0</x:v>
      </x:c>
      <x:c r="K90" s="5">
        <x:f t="shared" si="41"/>
        <x:v>0</x:v>
      </x:c>
      <x:c r="L90" s="5">
        <x:f t="shared" si="42"/>
        <x:v>0</x:v>
      </x:c>
      <x:c r="M90" s="5">
        <x:f t="shared" si="38"/>
        <x:v>0</x:v>
      </x:c>
      <x:c r="N90" s="6">
        <x:f t="shared" si="39"/>
        <x:v>0</x:v>
      </x:c>
      <x:c r="O90" s="24">
        <x:f t="shared" si="43"/>
        <x:v>0</x:v>
      </x:c>
    </x:row>
    <x:row r="91" spans="1:15" ht="24.949999999999999" customHeight="1">
      <x:c r="A91" s="18">
        <x:v>29</x:v>
      </x:c>
      <x:c r="B91" s="19">
        <x:f t="array" ref="B91:B91">INDEX($B$4:$O$33,MATCH($A91,$W$4:$W$33,0),COLUMN(A$1))</x:f>
        <x:v>0</x:v>
      </x:c>
      <x:c r="C91" s="20">
        <x:f t="array" ref="C91:C91">INDEX($B$4:$O$33,MATCH($A91,$W$4:$W$33,0),COLUMN(B$1))</x:f>
        <x:v>0</x:v>
      </x:c>
      <x:c r="D91" s="20">
        <x:f t="array" ref="D91:D91">INDEX($B$4:$O$33,MATCH($A91,$W$4:$W$33,0),COLUMN(C$1))</x:f>
        <x:v>0</x:v>
      </x:c>
      <x:c r="E91" s="20">
        <x:f t="array" ref="E91:E91">INDEX($B$4:$O$33,MATCH($A91,$W$4:$W$33,0),COLUMN(D$1))</x:f>
        <x:v>0</x:v>
      </x:c>
      <x:c r="F91" s="20">
        <x:f t="array" ref="F91:F91">INDEX($B$4:$O$33,MATCH($A91,$W$4:$W$33,0),COLUMN(E$1))</x:f>
        <x:v>0</x:v>
      </x:c>
      <x:c r="G91" s="21">
        <x:f t="shared" si="36"/>
        <x:v>0</x:v>
      </x:c>
      <x:c r="H91" s="22">
        <x:f t="shared" si="37"/>
        <x:v>0</x:v>
      </x:c>
      <x:c r="I91" s="23" t="str">
        <x:f>IF(B91="","",IFERROR(INDEX('회원명단 및 기준에버'!D:G,MATCH(B91,'회원명단 및 기준에버'!$C:$C,0),CHOOSE(INT((MONTH($N$2)-1)/3)+1,1,2,3,4)),""))</x:f>
        <x:v/>
      </x:c>
      <x:c r="J91" s="5">
        <x:f t="shared" si="40"/>
        <x:v>0</x:v>
      </x:c>
      <x:c r="K91" s="5">
        <x:f t="shared" si="41"/>
        <x:v>0</x:v>
      </x:c>
      <x:c r="L91" s="5">
        <x:f t="shared" si="42"/>
        <x:v>0</x:v>
      </x:c>
      <x:c r="M91" s="5">
        <x:f t="shared" si="38"/>
        <x:v>0</x:v>
      </x:c>
      <x:c r="N91" s="6">
        <x:f t="shared" si="39"/>
        <x:v>0</x:v>
      </x:c>
      <x:c r="O91" s="24">
        <x:f t="shared" si="43"/>
        <x:v>0</x:v>
      </x:c>
    </x:row>
    <x:row r="92" spans="1:15" ht="24.949999999999999" customHeight="1">
      <x:c r="A92" s="18">
        <x:v>30</x:v>
      </x:c>
      <x:c r="B92" s="19">
        <x:f t="array" ref="B92:B92">INDEX($B$4:$O$33,MATCH($A92,$W$4:$W$33,0),COLUMN(A$1))</x:f>
        <x:v>0</x:v>
      </x:c>
      <x:c r="C92" s="20">
        <x:f t="array" ref="C92:C92">INDEX($B$4:$O$33,MATCH($A92,$W$4:$W$33,0),COLUMN(B$1))</x:f>
        <x:v>0</x:v>
      </x:c>
      <x:c r="D92" s="20">
        <x:f t="array" ref="D92:D92">INDEX($B$4:$O$33,MATCH($A92,$W$4:$W$33,0),COLUMN(C$1))</x:f>
        <x:v>0</x:v>
      </x:c>
      <x:c r="E92" s="20">
        <x:f t="array" ref="E92:E92">INDEX($B$4:$O$33,MATCH($A92,$W$4:$W$33,0),COLUMN(D$1))</x:f>
        <x:v>0</x:v>
      </x:c>
      <x:c r="F92" s="20">
        <x:f t="array" ref="F92:F92">INDEX($B$4:$O$33,MATCH($A92,$W$4:$W$33,0),COLUMN(E$1))</x:f>
        <x:v>0</x:v>
      </x:c>
      <x:c r="G92" s="21">
        <x:f t="shared" si="36"/>
        <x:v>0</x:v>
      </x:c>
      <x:c r="H92" s="22">
        <x:f t="shared" si="37"/>
        <x:v>0</x:v>
      </x:c>
      <x:c r="I92" s="23" t="str">
        <x:f>IF(B92="","",IFERROR(INDEX('회원명단 및 기준에버'!D:G,MATCH(B92,'회원명단 및 기준에버'!$C:$C,0),CHOOSE(INT((MONTH($N$2)-1)/3)+1,1,2,3,4)),""))</x:f>
        <x:v/>
      </x:c>
      <x:c r="J92" s="5">
        <x:f t="shared" si="40"/>
        <x:v>0</x:v>
      </x:c>
      <x:c r="K92" s="5">
        <x:f t="shared" si="41"/>
        <x:v>0</x:v>
      </x:c>
      <x:c r="L92" s="5">
        <x:f t="shared" si="42"/>
        <x:v>0</x:v>
      </x:c>
      <x:c r="M92" s="5">
        <x:f t="shared" si="38"/>
        <x:v>0</x:v>
      </x:c>
      <x:c r="N92" s="6">
        <x:f t="shared" si="39"/>
        <x:v>0</x:v>
      </x:c>
      <x:c r="O92" s="24">
        <x:f t="shared" si="43"/>
        <x:v>0</x:v>
      </x:c>
    </x:row>
    <x:row r="93" spans="2:15" ht="24.949999999999999" customHeight="1">
      <x:c r="B93" s="120" t="s">
        <x:v>21</x:v>
      </x:c>
      <x:c r="C93" s="121"/>
      <x:c r="D93" s="121"/>
      <x:c r="E93" s="121"/>
      <x:c r="F93" s="120"/>
      <x:c r="G93" s="121"/>
      <x:c r="H93" s="121"/>
      <x:c r="I93" s="121"/>
      <x:c r="J93" s="121"/>
      <x:c r="K93" s="121"/>
      <x:c r="L93" s="121"/>
      <x:c r="M93" s="120"/>
      <x:c r="N93" s="121"/>
      <x:c r="O93" s="122"/>
    </x:row>
    <x:row r="94" spans="2:15" ht="24.949999999999999" customHeight="1">
      <x:c r="B94" s="13">
        <x:f t="shared" ref="B94:G100" si="44">IF(B35="","",B35)</x:f>
        <x:v>0</x:v>
      </x:c>
      <x:c r="C94" s="49">
        <x:f t="shared" si="44"/>
        <x:v>0</x:v>
      </x:c>
      <x:c r="D94" s="49">
        <x:f t="shared" si="44"/>
        <x:v>0</x:v>
      </x:c>
      <x:c r="E94" s="49">
        <x:f t="shared" si="44"/>
        <x:v>0</x:v>
      </x:c>
      <x:c r="F94" s="49">
        <x:f t="shared" si="44"/>
        <x:v>0</x:v>
      </x:c>
      <x:c r="G94" s="123">
        <x:f t="shared" si="44"/>
        <x:v>0</x:v>
      </x:c>
      <x:c r="H94" s="115"/>
      <x:c r="I94" s="50">
        <x:f t="shared" ref="I94:N100" si="45">IF(I35="","",I35)</x:f>
        <x:v>0</x:v>
      </x:c>
      <x:c r="J94" s="49">
        <x:f t="shared" si="45"/>
        <x:v>0</x:v>
      </x:c>
      <x:c r="K94" s="49">
        <x:f t="shared" si="45"/>
        <x:v>0</x:v>
      </x:c>
      <x:c r="L94" s="49">
        <x:f t="shared" si="45"/>
        <x:v>0</x:v>
      </x:c>
      <x:c r="M94" s="49">
        <x:f t="shared" si="45"/>
        <x:v>0</x:v>
      </x:c>
      <x:c r="N94" s="129">
        <x:f t="shared" si="45"/>
        <x:v>0</x:v>
      </x:c>
      <x:c r="O94" s="126"/>
    </x:row>
    <x:row r="95" spans="2:15" ht="24.949999999999999" customHeight="1">
      <x:c r="B95" s="18">
        <x:f t="shared" si="44"/>
        <x:v>0</x:v>
      </x:c>
      <x:c r="C95" s="5">
        <x:f t="shared" si="44"/>
        <x:v>0</x:v>
      </x:c>
      <x:c r="D95" s="5">
        <x:f t="shared" si="44"/>
        <x:v>0</x:v>
      </x:c>
      <x:c r="E95" s="5">
        <x:f t="shared" si="44"/>
        <x:v>0</x:v>
      </x:c>
      <x:c r="F95" s="5">
        <x:f t="shared" si="44"/>
        <x:v>0</x:v>
      </x:c>
      <x:c r="G95" s="124" t="str">
        <x:f t="shared" si="44"/>
        <x:v/>
      </x:c>
      <x:c r="H95" s="116"/>
      <x:c r="I95" s="18">
        <x:f t="shared" si="45"/>
        <x:v>0</x:v>
      </x:c>
      <x:c r="J95" s="5">
        <x:f t="shared" si="45"/>
        <x:v>0</x:v>
      </x:c>
      <x:c r="K95" s="5">
        <x:f t="shared" si="45"/>
        <x:v>0</x:v>
      </x:c>
      <x:c r="L95" s="5">
        <x:f t="shared" si="45"/>
        <x:v>0</x:v>
      </x:c>
      <x:c r="M95" s="5">
        <x:f t="shared" si="45"/>
        <x:v>0</x:v>
      </x:c>
      <x:c r="N95" s="130" t="str">
        <x:f t="shared" si="45"/>
        <x:v/>
      </x:c>
      <x:c r="O95" s="127"/>
    </x:row>
    <x:row r="96" spans="2:15" ht="24.949999999999999" customHeight="1">
      <x:c r="B96" s="18">
        <x:f t="shared" si="44"/>
        <x:v>0</x:v>
      </x:c>
      <x:c r="C96" s="5">
        <x:f t="shared" si="44"/>
        <x:v>0</x:v>
      </x:c>
      <x:c r="D96" s="5">
        <x:f t="shared" si="44"/>
        <x:v>0</x:v>
      </x:c>
      <x:c r="E96" s="5">
        <x:f t="shared" si="44"/>
        <x:v>0</x:v>
      </x:c>
      <x:c r="F96" s="5">
        <x:f t="shared" si="44"/>
        <x:v>0</x:v>
      </x:c>
      <x:c r="G96" s="124" t="str">
        <x:f t="shared" si="44"/>
        <x:v/>
      </x:c>
      <x:c r="H96" s="116"/>
      <x:c r="I96" s="18">
        <x:f t="shared" si="45"/>
        <x:v>0</x:v>
      </x:c>
      <x:c r="J96" s="5">
        <x:f t="shared" si="45"/>
        <x:v>0</x:v>
      </x:c>
      <x:c r="K96" s="5">
        <x:f t="shared" si="45"/>
        <x:v>0</x:v>
      </x:c>
      <x:c r="L96" s="5">
        <x:f t="shared" si="45"/>
        <x:v>0</x:v>
      </x:c>
      <x:c r="M96" s="5">
        <x:f t="shared" si="45"/>
        <x:v>0</x:v>
      </x:c>
      <x:c r="N96" s="130" t="str">
        <x:f t="shared" si="45"/>
        <x:v/>
      </x:c>
      <x:c r="O96" s="127"/>
    </x:row>
    <x:row r="97" spans="2:15" ht="24.949999999999999" customHeight="1">
      <x:c r="B97" s="18">
        <x:f t="shared" si="44"/>
        <x:v>0</x:v>
      </x:c>
      <x:c r="C97" s="5">
        <x:f t="shared" si="44"/>
        <x:v>0</x:v>
      </x:c>
      <x:c r="D97" s="5">
        <x:f t="shared" si="44"/>
        <x:v>0</x:v>
      </x:c>
      <x:c r="E97" s="5">
        <x:f t="shared" si="44"/>
        <x:v>0</x:v>
      </x:c>
      <x:c r="F97" s="5">
        <x:f t="shared" si="44"/>
        <x:v>0</x:v>
      </x:c>
      <x:c r="G97" s="124" t="str">
        <x:f t="shared" si="44"/>
        <x:v/>
      </x:c>
      <x:c r="H97" s="116"/>
      <x:c r="I97" s="18">
        <x:f t="shared" si="45"/>
        <x:v>0</x:v>
      </x:c>
      <x:c r="J97" s="5">
        <x:f t="shared" si="45"/>
        <x:v>0</x:v>
      </x:c>
      <x:c r="K97" s="5">
        <x:f t="shared" si="45"/>
        <x:v>0</x:v>
      </x:c>
      <x:c r="L97" s="5">
        <x:f t="shared" si="45"/>
        <x:v>0</x:v>
      </x:c>
      <x:c r="M97" s="5">
        <x:f t="shared" si="45"/>
        <x:v>0</x:v>
      </x:c>
      <x:c r="N97" s="130" t="str">
        <x:f t="shared" si="45"/>
        <x:v/>
      </x:c>
      <x:c r="O97" s="127"/>
    </x:row>
    <x:row r="98" spans="2:15" ht="24.949999999999999" customHeight="1">
      <x:c r="B98" s="18">
        <x:f t="shared" si="44"/>
        <x:v>0</x:v>
      </x:c>
      <x:c r="C98" s="5">
        <x:f t="shared" si="44"/>
        <x:v>0</x:v>
      </x:c>
      <x:c r="D98" s="5">
        <x:f t="shared" si="44"/>
        <x:v>0</x:v>
      </x:c>
      <x:c r="E98" s="5">
        <x:f t="shared" si="44"/>
        <x:v>0</x:v>
      </x:c>
      <x:c r="F98" s="5">
        <x:f t="shared" si="44"/>
        <x:v>0</x:v>
      </x:c>
      <x:c r="G98" s="124" t="str">
        <x:f t="shared" si="44"/>
        <x:v/>
      </x:c>
      <x:c r="H98" s="116"/>
      <x:c r="I98" s="18">
        <x:f t="shared" si="45"/>
        <x:v>0</x:v>
      </x:c>
      <x:c r="J98" s="5">
        <x:f t="shared" si="45"/>
        <x:v>0</x:v>
      </x:c>
      <x:c r="K98" s="5">
        <x:f t="shared" si="45"/>
        <x:v>0</x:v>
      </x:c>
      <x:c r="L98" s="5">
        <x:f t="shared" si="45"/>
        <x:v>0</x:v>
      </x:c>
      <x:c r="M98" s="5">
        <x:f t="shared" si="45"/>
        <x:v>0</x:v>
      </x:c>
      <x:c r="N98" s="130" t="str">
        <x:f t="shared" si="45"/>
        <x:v/>
      </x:c>
      <x:c r="O98" s="127"/>
    </x:row>
    <x:row r="99" spans="2:15" ht="24.949999999999999" customHeight="1">
      <x:c r="B99" s="18">
        <x:f t="shared" si="44"/>
        <x:v>0</x:v>
      </x:c>
      <x:c r="C99" s="5">
        <x:f t="shared" si="44"/>
        <x:v>0</x:v>
      </x:c>
      <x:c r="D99" s="5">
        <x:f t="shared" si="44"/>
        <x:v>0</x:v>
      </x:c>
      <x:c r="E99" s="5">
        <x:f t="shared" si="44"/>
        <x:v>0</x:v>
      </x:c>
      <x:c r="F99" s="5">
        <x:f t="shared" si="44"/>
        <x:v>0</x:v>
      </x:c>
      <x:c r="G99" s="124" t="str">
        <x:f t="shared" si="44"/>
        <x:v/>
      </x:c>
      <x:c r="H99" s="116"/>
      <x:c r="I99" s="18">
        <x:f t="shared" si="45"/>
        <x:v>0</x:v>
      </x:c>
      <x:c r="J99" s="5">
        <x:f t="shared" si="45"/>
        <x:v>0</x:v>
      </x:c>
      <x:c r="K99" s="5">
        <x:f t="shared" si="45"/>
        <x:v>0</x:v>
      </x:c>
      <x:c r="L99" s="5">
        <x:f t="shared" si="45"/>
        <x:v>0</x:v>
      </x:c>
      <x:c r="M99" s="5">
        <x:f t="shared" si="45"/>
        <x:v>0</x:v>
      </x:c>
      <x:c r="N99" s="130" t="str">
        <x:f t="shared" si="45"/>
        <x:v/>
      </x:c>
      <x:c r="O99" s="127"/>
    </x:row>
    <x:row r="100" spans="2:15" ht="24.949999999999999" customHeight="1">
      <x:c r="B100" s="53" t="str">
        <x:f t="shared" si="44"/>
        <x:v/>
      </x:c>
      <x:c r="C100" s="54">
        <x:f t="shared" si="44"/>
        <x:v>0</x:v>
      </x:c>
      <x:c r="D100" s="54">
        <x:f t="shared" si="44"/>
        <x:v>0</x:v>
      </x:c>
      <x:c r="E100" s="54">
        <x:f t="shared" si="44"/>
        <x:v>0</x:v>
      </x:c>
      <x:c r="F100" s="54">
        <x:f t="shared" si="44"/>
        <x:v>0</x:v>
      </x:c>
      <x:c r="G100" s="125" t="str">
        <x:f t="shared" si="44"/>
        <x:v/>
      </x:c>
      <x:c r="H100" s="117"/>
      <x:c r="I100" s="53" t="str">
        <x:f t="shared" si="45"/>
        <x:v/>
      </x:c>
      <x:c r="J100" s="54">
        <x:f t="shared" si="45"/>
        <x:v>0</x:v>
      </x:c>
      <x:c r="K100" s="54">
        <x:f t="shared" si="45"/>
        <x:v>0</x:v>
      </x:c>
      <x:c r="L100" s="54">
        <x:f t="shared" si="45"/>
        <x:v>0</x:v>
      </x:c>
      <x:c r="M100" s="54">
        <x:f t="shared" si="45"/>
        <x:v>0</x:v>
      </x:c>
      <x:c r="N100" s="131" t="str">
        <x:f t="shared" si="45"/>
        <x:v/>
      </x:c>
      <x:c r="O100" s="128"/>
    </x:row>
    <x:row r="101" spans="2:15" ht="9.9499999999999993" customHeight="1"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</x:row>
    <x:row r="102" spans="2:15" ht="24.949999999999999" customHeight="1">
      <x:c r="B102" s="13">
        <x:f t="shared" ref="B102:O108" si="46">IF(B43="","",B43)</x:f>
        <x:v>0</x:v>
      </x:c>
      <x:c r="C102" s="49">
        <x:f t="shared" si="46"/>
        <x:v>0</x:v>
      </x:c>
      <x:c r="D102" s="49">
        <x:f t="shared" si="46"/>
        <x:v>0</x:v>
      </x:c>
      <x:c r="E102" s="49">
        <x:f t="shared" si="46"/>
        <x:v>0</x:v>
      </x:c>
      <x:c r="F102" s="49">
        <x:f t="shared" si="46"/>
        <x:v>0</x:v>
      </x:c>
      <x:c r="G102" s="129">
        <x:f t="shared" si="46"/>
        <x:v>0</x:v>
      </x:c>
      <x:c r="H102" s="126" t="str">
        <x:f t="shared" si="46"/>
        <x:v/>
      </x:c>
      <x:c r="I102" s="50">
        <x:f t="shared" si="46"/>
        <x:v>0</x:v>
      </x:c>
      <x:c r="J102" s="49">
        <x:f t="shared" si="46"/>
        <x:v>0</x:v>
      </x:c>
      <x:c r="K102" s="49">
        <x:f t="shared" si="46"/>
        <x:v>0</x:v>
      </x:c>
      <x:c r="L102" s="49">
        <x:f t="shared" si="46"/>
        <x:v>0</x:v>
      </x:c>
      <x:c r="M102" s="49">
        <x:f t="shared" si="46"/>
        <x:v>0</x:v>
      </x:c>
      <x:c r="N102" s="129">
        <x:f t="shared" si="46"/>
        <x:v>0</x:v>
      </x:c>
      <x:c r="O102" s="126" t="str">
        <x:f t="shared" si="46"/>
        <x:v/>
      </x:c>
    </x:row>
    <x:row r="103" spans="2:15" ht="24.949999999999999" customHeight="1">
      <x:c r="B103" s="18">
        <x:f t="shared" si="46"/>
        <x:v>0</x:v>
      </x:c>
      <x:c r="C103" s="5">
        <x:f t="shared" si="46"/>
        <x:v>0</x:v>
      </x:c>
      <x:c r="D103" s="5">
        <x:f t="shared" si="46"/>
        <x:v>0</x:v>
      </x:c>
      <x:c r="E103" s="5">
        <x:f t="shared" si="46"/>
        <x:v>0</x:v>
      </x:c>
      <x:c r="F103" s="5">
        <x:f t="shared" si="46"/>
        <x:v>0</x:v>
      </x:c>
      <x:c r="G103" s="130" t="str">
        <x:f t="shared" si="46"/>
        <x:v/>
      </x:c>
      <x:c r="H103" s="127" t="str">
        <x:f t="shared" si="46"/>
        <x:v/>
      </x:c>
      <x:c r="I103" s="18">
        <x:f t="shared" si="46"/>
        <x:v>0</x:v>
      </x:c>
      <x:c r="J103" s="5">
        <x:f t="shared" si="46"/>
        <x:v>0</x:v>
      </x:c>
      <x:c r="K103" s="5">
        <x:f t="shared" si="46"/>
        <x:v>0</x:v>
      </x:c>
      <x:c r="L103" s="5">
        <x:f t="shared" si="46"/>
        <x:v>0</x:v>
      </x:c>
      <x:c r="M103" s="5">
        <x:f t="shared" si="46"/>
        <x:v>0</x:v>
      </x:c>
      <x:c r="N103" s="130" t="str">
        <x:f t="shared" si="46"/>
        <x:v/>
      </x:c>
      <x:c r="O103" s="127" t="str">
        <x:f t="shared" si="46"/>
        <x:v/>
      </x:c>
    </x:row>
    <x:row r="104" spans="2:15" ht="24.949999999999999" customHeight="1">
      <x:c r="B104" s="18">
        <x:f t="shared" si="46"/>
        <x:v>0</x:v>
      </x:c>
      <x:c r="C104" s="5">
        <x:f t="shared" si="46"/>
        <x:v>0</x:v>
      </x:c>
      <x:c r="D104" s="5">
        <x:f t="shared" si="46"/>
        <x:v>0</x:v>
      </x:c>
      <x:c r="E104" s="5">
        <x:f t="shared" si="46"/>
        <x:v>0</x:v>
      </x:c>
      <x:c r="F104" s="5">
        <x:f t="shared" si="46"/>
        <x:v>0</x:v>
      </x:c>
      <x:c r="G104" s="130" t="str">
        <x:f t="shared" si="46"/>
        <x:v/>
      </x:c>
      <x:c r="H104" s="127" t="str">
        <x:f t="shared" si="46"/>
        <x:v/>
      </x:c>
      <x:c r="I104" s="18">
        <x:f t="shared" si="46"/>
        <x:v>0</x:v>
      </x:c>
      <x:c r="J104" s="5">
        <x:f t="shared" si="46"/>
        <x:v>0</x:v>
      </x:c>
      <x:c r="K104" s="5">
        <x:f t="shared" si="46"/>
        <x:v>0</x:v>
      </x:c>
      <x:c r="L104" s="5">
        <x:f t="shared" si="46"/>
        <x:v>0</x:v>
      </x:c>
      <x:c r="M104" s="5">
        <x:f t="shared" si="46"/>
        <x:v>0</x:v>
      </x:c>
      <x:c r="N104" s="130" t="str">
        <x:f t="shared" si="46"/>
        <x:v/>
      </x:c>
      <x:c r="O104" s="127" t="str">
        <x:f t="shared" si="46"/>
        <x:v/>
      </x:c>
    </x:row>
    <x:row r="105" spans="2:15" ht="24.949999999999999" customHeight="1">
      <x:c r="B105" s="18">
        <x:f t="shared" si="46"/>
        <x:v>0</x:v>
      </x:c>
      <x:c r="C105" s="5">
        <x:f t="shared" si="46"/>
        <x:v>0</x:v>
      </x:c>
      <x:c r="D105" s="5">
        <x:f t="shared" si="46"/>
        <x:v>0</x:v>
      </x:c>
      <x:c r="E105" s="5">
        <x:f t="shared" si="46"/>
        <x:v>0</x:v>
      </x:c>
      <x:c r="F105" s="5">
        <x:f t="shared" si="46"/>
        <x:v>0</x:v>
      </x:c>
      <x:c r="G105" s="130" t="str">
        <x:f t="shared" si="46"/>
        <x:v/>
      </x:c>
      <x:c r="H105" s="127" t="str">
        <x:f t="shared" si="46"/>
        <x:v/>
      </x:c>
      <x:c r="I105" s="18">
        <x:f t="shared" si="46"/>
        <x:v>0</x:v>
      </x:c>
      <x:c r="J105" s="5">
        <x:f t="shared" si="46"/>
        <x:v>0</x:v>
      </x:c>
      <x:c r="K105" s="5">
        <x:f t="shared" si="46"/>
        <x:v>0</x:v>
      </x:c>
      <x:c r="L105" s="5">
        <x:f t="shared" si="46"/>
        <x:v>0</x:v>
      </x:c>
      <x:c r="M105" s="5">
        <x:f t="shared" si="46"/>
        <x:v>0</x:v>
      </x:c>
      <x:c r="N105" s="130" t="str">
        <x:f t="shared" si="46"/>
        <x:v/>
      </x:c>
      <x:c r="O105" s="127" t="str">
        <x:f t="shared" si="46"/>
        <x:v/>
      </x:c>
    </x:row>
    <x:row r="106" spans="2:15" ht="24.949999999999999" customHeight="1">
      <x:c r="B106" s="18">
        <x:f t="shared" si="46"/>
        <x:v>0</x:v>
      </x:c>
      <x:c r="C106" s="5">
        <x:f t="shared" si="46"/>
        <x:v>0</x:v>
      </x:c>
      <x:c r="D106" s="5">
        <x:f t="shared" si="46"/>
        <x:v>0</x:v>
      </x:c>
      <x:c r="E106" s="5">
        <x:f t="shared" si="46"/>
        <x:v>0</x:v>
      </x:c>
      <x:c r="F106" s="5">
        <x:f t="shared" si="46"/>
        <x:v>0</x:v>
      </x:c>
      <x:c r="G106" s="130" t="str">
        <x:f t="shared" si="46"/>
        <x:v/>
      </x:c>
      <x:c r="H106" s="127" t="str">
        <x:f t="shared" si="46"/>
        <x:v/>
      </x:c>
      <x:c r="I106" s="18">
        <x:f t="shared" si="46"/>
        <x:v>0</x:v>
      </x:c>
      <x:c r="J106" s="5">
        <x:f t="shared" si="46"/>
        <x:v>0</x:v>
      </x:c>
      <x:c r="K106" s="5">
        <x:f t="shared" si="46"/>
        <x:v>0</x:v>
      </x:c>
      <x:c r="L106" s="5">
        <x:f t="shared" si="46"/>
        <x:v>0</x:v>
      </x:c>
      <x:c r="M106" s="5">
        <x:f t="shared" si="46"/>
        <x:v>0</x:v>
      </x:c>
      <x:c r="N106" s="130" t="str">
        <x:f t="shared" si="46"/>
        <x:v/>
      </x:c>
      <x:c r="O106" s="127" t="str">
        <x:f t="shared" si="46"/>
        <x:v/>
      </x:c>
    </x:row>
    <x:row r="107" spans="2:15" ht="24.949999999999999" customHeight="1">
      <x:c r="B107" s="18">
        <x:f t="shared" si="46"/>
        <x:v>0</x:v>
      </x:c>
      <x:c r="C107" s="5">
        <x:f t="shared" si="46"/>
        <x:v>0</x:v>
      </x:c>
      <x:c r="D107" s="5">
        <x:f t="shared" si="46"/>
        <x:v>0</x:v>
      </x:c>
      <x:c r="E107" s="5">
        <x:f t="shared" si="46"/>
        <x:v>0</x:v>
      </x:c>
      <x:c r="F107" s="5">
        <x:f t="shared" si="46"/>
        <x:v>0</x:v>
      </x:c>
      <x:c r="G107" s="130" t="str">
        <x:f t="shared" si="46"/>
        <x:v/>
      </x:c>
      <x:c r="H107" s="127" t="str">
        <x:f t="shared" si="46"/>
        <x:v/>
      </x:c>
      <x:c r="I107" s="18">
        <x:f t="shared" si="46"/>
        <x:v>0</x:v>
      </x:c>
      <x:c r="J107" s="5">
        <x:f t="shared" si="46"/>
        <x:v>0</x:v>
      </x:c>
      <x:c r="K107" s="5">
        <x:f t="shared" si="46"/>
        <x:v>0</x:v>
      </x:c>
      <x:c r="L107" s="5">
        <x:f t="shared" si="46"/>
        <x:v>0</x:v>
      </x:c>
      <x:c r="M107" s="5">
        <x:f t="shared" si="46"/>
        <x:v>0</x:v>
      </x:c>
      <x:c r="N107" s="130" t="str">
        <x:f t="shared" si="46"/>
        <x:v/>
      </x:c>
      <x:c r="O107" s="127" t="str">
        <x:f t="shared" si="46"/>
        <x:v/>
      </x:c>
    </x:row>
    <x:row r="108" spans="2:15" ht="24.949999999999999" customHeight="1">
      <x:c r="B108" s="53" t="str">
        <x:f t="shared" si="46"/>
        <x:v/>
      </x:c>
      <x:c r="C108" s="54">
        <x:f t="shared" si="46"/>
        <x:v>0</x:v>
      </x:c>
      <x:c r="D108" s="54">
        <x:f t="shared" si="46"/>
        <x:v>0</x:v>
      </x:c>
      <x:c r="E108" s="54">
        <x:f t="shared" si="46"/>
        <x:v>0</x:v>
      </x:c>
      <x:c r="F108" s="54">
        <x:f t="shared" si="46"/>
        <x:v>0</x:v>
      </x:c>
      <x:c r="G108" s="131" t="str">
        <x:f t="shared" si="46"/>
        <x:v/>
      </x:c>
      <x:c r="H108" s="128" t="str">
        <x:f t="shared" si="46"/>
        <x:v/>
      </x:c>
      <x:c r="I108" s="53" t="str">
        <x:f t="shared" si="46"/>
        <x:v/>
      </x:c>
      <x:c r="J108" s="54">
        <x:f t="shared" si="46"/>
        <x:v>0</x:v>
      </x:c>
      <x:c r="K108" s="54">
        <x:f t="shared" si="46"/>
        <x:v>0</x:v>
      </x:c>
      <x:c r="L108" s="54">
        <x:f t="shared" si="46"/>
        <x:v>0</x:v>
      </x:c>
      <x:c r="M108" s="54">
        <x:f t="shared" si="46"/>
        <x:v>0</x:v>
      </x:c>
      <x:c r="N108" s="131" t="str">
        <x:f t="shared" si="46"/>
        <x:v/>
      </x:c>
      <x:c r="O108" s="128" t="str">
        <x:f t="shared" si="46"/>
        <x:v/>
      </x:c>
    </x:row>
    <x:row r="109" ht="9.9499999999999993" customHeight="1"/>
    <x:row r="110" spans="2:15" ht="24.949999999999999" customHeight="1">
      <x:c r="B110" s="13">
        <x:f t="shared" ref="B110:H116" si="47">IF(B51="","",B51)</x:f>
        <x:v>0</x:v>
      </x:c>
      <x:c r="C110" s="49">
        <x:f t="shared" si="47"/>
        <x:v>0</x:v>
      </x:c>
      <x:c r="D110" s="49">
        <x:f t="shared" si="47"/>
        <x:v>0</x:v>
      </x:c>
      <x:c r="E110" s="49">
        <x:f t="shared" si="47"/>
        <x:v>0</x:v>
      </x:c>
      <x:c r="F110" s="49">
        <x:f t="shared" si="47"/>
        <x:v>0</x:v>
      </x:c>
      <x:c r="G110" s="123">
        <x:f t="shared" si="47"/>
        <x:v>0</x:v>
      </x:c>
      <x:c r="H110" s="115" t="str">
        <x:f t="shared" si="47"/>
        <x:v/>
      </x:c>
      <x:c r="I110" s="11"/>
      <x:c r="J110" s="37"/>
      <x:c r="K110" s="37"/>
      <x:c r="L110" s="37"/>
      <x:c r="M110" s="37"/>
      <x:c r="N110" s="118"/>
      <x:c r="O110" s="119"/>
    </x:row>
    <x:row r="111" spans="2:15" ht="24.949999999999999" customHeight="1">
      <x:c r="B111" s="18">
        <x:f t="shared" si="47"/>
        <x:v>0</x:v>
      </x:c>
      <x:c r="C111" s="5">
        <x:f t="shared" si="47"/>
        <x:v>0</x:v>
      </x:c>
      <x:c r="D111" s="5">
        <x:f t="shared" si="47"/>
        <x:v>0</x:v>
      </x:c>
      <x:c r="E111" s="5">
        <x:f t="shared" si="47"/>
        <x:v>0</x:v>
      </x:c>
      <x:c r="F111" s="5">
        <x:f t="shared" si="47"/>
        <x:v>0</x:v>
      </x:c>
      <x:c r="G111" s="124" t="str">
        <x:f t="shared" si="47"/>
        <x:v/>
      </x:c>
      <x:c r="H111" s="116" t="str">
        <x:f t="shared" si="47"/>
        <x:v/>
      </x:c>
      <x:c r="I111" s="11"/>
      <x:c r="J111" s="37"/>
      <x:c r="K111" s="37"/>
      <x:c r="L111" s="37"/>
      <x:c r="M111" s="37"/>
      <x:c r="N111" s="118"/>
      <x:c r="O111" s="119"/>
    </x:row>
    <x:row r="112" spans="2:15" ht="24.949999999999999" customHeight="1">
      <x:c r="B112" s="18">
        <x:f t="shared" si="47"/>
        <x:v>0</x:v>
      </x:c>
      <x:c r="C112" s="5">
        <x:f t="shared" si="47"/>
        <x:v>0</x:v>
      </x:c>
      <x:c r="D112" s="5">
        <x:f t="shared" si="47"/>
        <x:v>0</x:v>
      </x:c>
      <x:c r="E112" s="5">
        <x:f t="shared" si="47"/>
        <x:v>0</x:v>
      </x:c>
      <x:c r="F112" s="5">
        <x:f t="shared" si="47"/>
        <x:v>0</x:v>
      </x:c>
      <x:c r="G112" s="124" t="str">
        <x:f t="shared" si="47"/>
        <x:v/>
      </x:c>
      <x:c r="H112" s="116" t="str">
        <x:f t="shared" si="47"/>
        <x:v/>
      </x:c>
      <x:c r="I112" s="11"/>
      <x:c r="J112" s="37"/>
      <x:c r="K112" s="37"/>
      <x:c r="L112" s="37"/>
      <x:c r="M112" s="37"/>
      <x:c r="N112" s="118"/>
      <x:c r="O112" s="119"/>
    </x:row>
    <x:row r="113" spans="2:15" ht="24.949999999999999" customHeight="1">
      <x:c r="B113" s="18">
        <x:f t="shared" si="47"/>
        <x:v>0</x:v>
      </x:c>
      <x:c r="C113" s="5">
        <x:f t="shared" si="47"/>
        <x:v>0</x:v>
      </x:c>
      <x:c r="D113" s="5">
        <x:f t="shared" si="47"/>
        <x:v>0</x:v>
      </x:c>
      <x:c r="E113" s="5">
        <x:f t="shared" si="47"/>
        <x:v>0</x:v>
      </x:c>
      <x:c r="F113" s="5">
        <x:f t="shared" si="47"/>
        <x:v>0</x:v>
      </x:c>
      <x:c r="G113" s="124" t="str">
        <x:f t="shared" si="47"/>
        <x:v/>
      </x:c>
      <x:c r="H113" s="116" t="str">
        <x:f t="shared" si="47"/>
        <x:v/>
      </x:c>
      <x:c r="I113" s="11"/>
      <x:c r="J113" s="37"/>
      <x:c r="K113" s="37"/>
      <x:c r="L113" s="37"/>
      <x:c r="M113" s="37"/>
      <x:c r="N113" s="118"/>
      <x:c r="O113" s="119"/>
    </x:row>
    <x:row r="114" spans="2:15" ht="24.949999999999999" customHeight="1">
      <x:c r="B114" s="18">
        <x:f t="shared" si="47"/>
        <x:v>0</x:v>
      </x:c>
      <x:c r="C114" s="5">
        <x:f t="shared" si="47"/>
        <x:v>0</x:v>
      </x:c>
      <x:c r="D114" s="5">
        <x:f t="shared" si="47"/>
        <x:v>0</x:v>
      </x:c>
      <x:c r="E114" s="5">
        <x:f t="shared" si="47"/>
        <x:v>0</x:v>
      </x:c>
      <x:c r="F114" s="5">
        <x:f t="shared" si="47"/>
        <x:v>0</x:v>
      </x:c>
      <x:c r="G114" s="124" t="str">
        <x:f t="shared" si="47"/>
        <x:v/>
      </x:c>
      <x:c r="H114" s="116" t="str">
        <x:f t="shared" si="47"/>
        <x:v/>
      </x:c>
      <x:c r="I114" s="11"/>
      <x:c r="J114" s="37"/>
      <x:c r="K114" s="37"/>
      <x:c r="L114" s="37"/>
      <x:c r="M114" s="37"/>
      <x:c r="N114" s="118"/>
      <x:c r="O114" s="119"/>
    </x:row>
    <x:row r="115" spans="2:15" ht="24.949999999999999" customHeight="1">
      <x:c r="B115" s="18">
        <x:f t="shared" si="47"/>
        <x:v>0</x:v>
      </x:c>
      <x:c r="C115" s="5">
        <x:f t="shared" si="47"/>
        <x:v>0</x:v>
      </x:c>
      <x:c r="D115" s="5">
        <x:f t="shared" si="47"/>
        <x:v>0</x:v>
      </x:c>
      <x:c r="E115" s="5">
        <x:f t="shared" si="47"/>
        <x:v>0</x:v>
      </x:c>
      <x:c r="F115" s="5">
        <x:f t="shared" si="47"/>
        <x:v>0</x:v>
      </x:c>
      <x:c r="G115" s="124" t="str">
        <x:f t="shared" si="47"/>
        <x:v/>
      </x:c>
      <x:c r="H115" s="116" t="str">
        <x:f t="shared" si="47"/>
        <x:v/>
      </x:c>
      <x:c r="I115" s="11"/>
      <x:c r="J115" s="37"/>
      <x:c r="K115" s="37"/>
      <x:c r="L115" s="37"/>
      <x:c r="M115" s="37"/>
      <x:c r="N115" s="118"/>
      <x:c r="O115" s="119"/>
    </x:row>
    <x:row r="116" spans="2:15" ht="24.949999999999999" customHeight="1">
      <x:c r="B116" s="53" t="str">
        <x:f t="shared" si="47"/>
        <x:v/>
      </x:c>
      <x:c r="C116" s="54">
        <x:f t="shared" si="47"/>
        <x:v>0</x:v>
      </x:c>
      <x:c r="D116" s="54">
        <x:f t="shared" si="47"/>
        <x:v>0</x:v>
      </x:c>
      <x:c r="E116" s="54">
        <x:f t="shared" si="47"/>
        <x:v>0</x:v>
      </x:c>
      <x:c r="F116" s="54">
        <x:f t="shared" si="47"/>
        <x:v>0</x:v>
      </x:c>
      <x:c r="G116" s="125" t="str">
        <x:f t="shared" si="47"/>
        <x:v/>
      </x:c>
      <x:c r="H116" s="117" t="str">
        <x:f t="shared" si="47"/>
        <x:v/>
      </x:c>
      <x:c r="I116" s="11"/>
      <x:c r="J116" s="38"/>
      <x:c r="K116" s="38"/>
      <x:c r="L116" s="38"/>
      <x:c r="M116" s="38"/>
      <x:c r="N116" s="118"/>
      <x:c r="O116" s="119"/>
    </x:row>
  </x:sheetData>
  <x:mergeCells count="30">
    <x:mergeCell ref="A60:O60"/>
    <x:mergeCell ref="A1:O1"/>
    <x:mergeCell ref="N2:O2"/>
    <x:mergeCell ref="H51:H57"/>
    <x:mergeCell ref="N51:N57"/>
    <x:mergeCell ref="O51:O57"/>
    <x:mergeCell ref="B34:O34"/>
    <x:mergeCell ref="G43:G49"/>
    <x:mergeCell ref="H43:H49"/>
    <x:mergeCell ref="O43:O49"/>
    <x:mergeCell ref="G35:G41"/>
    <x:mergeCell ref="H35:H41"/>
    <x:mergeCell ref="N35:N41"/>
    <x:mergeCell ref="O35:O41"/>
    <x:mergeCell ref="N43:N49"/>
    <x:mergeCell ref="G51:G57"/>
    <x:mergeCell ref="G110:G116"/>
    <x:mergeCell ref="H110:H116"/>
    <x:mergeCell ref="N110:N116"/>
    <x:mergeCell ref="O110:O116"/>
    <x:mergeCell ref="N61:O61"/>
    <x:mergeCell ref="G94:G100"/>
    <x:mergeCell ref="H94:H100"/>
    <x:mergeCell ref="N94:N100"/>
    <x:mergeCell ref="O94:O100"/>
    <x:mergeCell ref="G102:G108"/>
    <x:mergeCell ref="H102:H108"/>
    <x:mergeCell ref="N102:N108"/>
    <x:mergeCell ref="O102:O108"/>
    <x:mergeCell ref="B93:O93"/>
  </x:mergeCells>
  <x:conditionalFormatting sqref="C4:F33">
    <x:cfRule type="cellIs" dxfId="69" priority="6" operator="between">
      <x:formula>200</x:formula>
      <x:formula>200</x:formula>
    </x:cfRule>
    <x:cfRule type="cellIs" dxfId="70" priority="5" operator="between">
      <x:formula>200</x:formula>
      <x:formula>300</x:formula>
    </x:cfRule>
  </x:conditionalFormatting>
  <x:conditionalFormatting sqref="C63:F92">
    <x:cfRule type="cellIs" dxfId="67" priority="2" operator="between">
      <x:formula>200</x:formula>
      <x:formula>200</x:formula>
    </x:cfRule>
    <x:cfRule type="cellIs" dxfId="68" priority="1" operator="between">
      <x:formula>200</x:formula>
      <x:formula>300</x:formula>
    </x:cfRule>
  </x:conditionalFormatting>
  <x:conditionalFormatting sqref="G4:G33 G63:G92">
    <x:cfRule type="cellIs" dxfId="65" priority="9" operator="greaterThan">
      <x:formula>599</x:formula>
    </x:cfRule>
    <x:cfRule type="cellIs" dxfId="66" priority="4" operator="between">
      <x:formula>600</x:formula>
      <x:formula>900</x:formula>
    </x:cfRule>
  </x:conditionalFormatting>
  <x:conditionalFormatting sqref="H4:H33 H63:H92">
    <x:cfRule type="cellIs" dxfId="64" priority="7" operator="greaterThan">
      <x:formula>199.9</x:formula>
    </x:cfRule>
  </x:conditionalFormatting>
  <x:conditionalFormatting sqref="H4:I33 H63:I92">
    <x:cfRule type="cellIs" dxfId="63" priority="3" operator="between">
      <x:formula>200</x:formula>
      <x:formula>300</x:formula>
    </x:cfRule>
  </x:conditionalFormatting>
  <x:conditionalFormatting sqref="I4:I33 I63:I92">
    <x:cfRule type="cellIs" dxfId="62" priority="8" operator="greaterThan">
      <x:formula>199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3"/>
  <x:dimension ref="A1:X111"/>
  <x:sheetViews>
    <x:sheetView topLeftCell="A1" zoomScale="90" zoomScaleNormal="90" zoomScaleSheetLayoutView="110" workbookViewId="0">
      <x:selection activeCell="I10" activeCellId="0" sqref="I10:I10"/>
    </x:sheetView>
  </x:sheetViews>
  <x:sheetFormatPr defaultColWidth="9" defaultRowHeight="16.399999999999999"/>
  <x:cols>
    <x:col min="1" max="1" width="4.625" style="3" customWidth="1"/>
    <x:col min="2" max="2" width="14.625" style="3" customWidth="1"/>
    <x:col min="3" max="8" width="11.625" style="3" customWidth="1"/>
    <x:col min="9" max="9" width="14.625" style="3" customWidth="1"/>
    <x:col min="10" max="15" width="11.625" style="3" customWidth="1"/>
    <x:col min="16" max="16" width="9.875" style="3" bestFit="1" customWidth="1"/>
    <x:col min="17" max="17" width="9.375" style="3" customWidth="1"/>
    <x:col min="19" max="19" width="10.625" style="3" customWidth="1"/>
    <x:col min="21" max="21" width="13.125" style="3" customWidth="1"/>
    <x:col min="22" max="22" width="11" style="3" bestFit="1" customWidth="1"/>
    <x:col min="23" max="23" width="15" style="3" customWidth="1"/>
    <x:col min="24" max="24" width="9" style="3" bestFit="1" customWidth="1"/>
  </x:cols>
  <x:sheetData>
    <x:row r="1" spans="1:15" ht="60" customHeight="1">
      <x:c r="A1" s="112" t="s">
        <x:v>60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</x:row>
    <x:row r="2" spans="1:24" ht="22.5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4" t="s">
        <x:v>48</x:v>
      </x:c>
      <x:c r="M2" s="34"/>
      <x:c r="N2" s="113">
        <x:v>46113</x:v>
      </x:c>
      <x:c r="O2" s="114"/>
      <x:c r="U2" s="35" t="s">
        <x:v>18</x:v>
      </x:c>
      <x:c r="V2" s="35">
        <x:v>0</x:v>
      </x:c>
      <x:c r="W2" s="35" t="s">
        <x:v>0</x:v>
      </x:c>
      <x:c r="X2" s="35">
        <x:v>0</x:v>
      </x:c>
    </x:row>
    <x:row r="3" spans="1:24" ht="24.949999999999999" customHeight="1">
      <x:c r="A3" s="13"/>
      <x:c r="B3" s="14" t="s">
        <x:v>14</x:v>
      </x:c>
      <x:c r="C3" s="14" t="s">
        <x:v>44</x:v>
      </x:c>
      <x:c r="D3" s="14" t="s">
        <x:v>55</x:v>
      </x:c>
      <x:c r="E3" s="14" t="s">
        <x:v>54</x:v>
      </x:c>
      <x:c r="F3" s="14" t="s">
        <x:v>53</x:v>
      </x:c>
      <x:c r="G3" s="14" t="s">
        <x:v>52</x:v>
      </x:c>
      <x:c r="H3" s="14" t="s">
        <x:v>47</x:v>
      </x:c>
      <x:c r="I3" s="15" t="s">
        <x:v>41</x:v>
      </x:c>
      <x:c r="J3" s="14" t="s">
        <x:v>44</x:v>
      </x:c>
      <x:c r="K3" s="14" t="s">
        <x:v>55</x:v>
      </x:c>
      <x:c r="L3" s="14" t="s">
        <x:v>54</x:v>
      </x:c>
      <x:c r="M3" s="14" t="s">
        <x:v>53</x:v>
      </x:c>
      <x:c r="N3" s="16" t="s">
        <x:v>52</x:v>
      </x:c>
      <x:c r="O3" s="17" t="s">
        <x:v>56</x:v>
      </x:c>
      <x:c r="U3" s="36" t="s">
        <x:v>58</x:v>
      </x:c>
      <x:c r="V3" s="36"/>
      <x:c r="W3" s="36"/>
      <x:c r="X3" s="36"/>
    </x:row>
    <x:row r="4" spans="1:24" ht="24.949999999999999" customHeight="1">
      <x:c r="A4" s="18">
        <x:v>1</x:v>
      </x:c>
      <x:c r="B4" s="19"/>
      <x:c r="C4" s="20"/>
      <x:c r="D4" s="20"/>
      <x:c r="E4" s="20"/>
      <x:c r="F4" s="20"/>
      <x:c r="G4" s="32">
        <x:f>F4+E4+D4+C4</x:f>
        <x:v>0</x:v>
      </x:c>
      <x:c r="H4" s="22">
        <x:f>G4/4</x:f>
        <x:v>0</x:v>
      </x:c>
      <x:c r="I4" s="23" t="str">
        <x:f>IF(B4="","",IFERROR(INDEX('회원명단 및 기준에버'!D:G,MATCH(B4,'회원명단 및 기준에버'!$C:$C,0),CHOOSE(INT((MONTH($N$2)-1)/3)+1,1,2,3,4)),""))</x:f>
        <x:v/>
      </x:c>
      <x:c r="J4" s="5">
        <x:f>IFERROR(C4+-I4,0)</x:f>
        <x:v>0</x:v>
      </x:c>
      <x:c r="K4" s="5">
        <x:f>IFERROR(D4+-I4,0)</x:f>
        <x:v>0</x:v>
      </x:c>
      <x:c r="L4" s="5">
        <x:f>IFERROR(E4+-I4,0)</x:f>
        <x:v>0</x:v>
      </x:c>
      <x:c r="M4" s="5">
        <x:f>IFERROR(F4+-I4,0)</x:f>
        <x:v>0</x:v>
      </x:c>
      <x:c r="N4" s="6">
        <x:f>SUM(J4:M4)</x:f>
        <x:v>0</x:v>
      </x:c>
      <x:c r="O4" s="24">
        <x:f>IFERROR(H4+-I4,0)</x:f>
        <x:v>0</x:v>
      </x:c>
      <x:c r="P4" s="25"/>
      <x:c r="U4" s="59">
        <x:f t="shared" ref="U4:U33" si="0">MAX(C4:F4)-MIN(C4:F4)</x:f>
        <x:v>0</x:v>
      </x:c>
      <x:c r="V4" s="60">
        <x:f>IF($X$2=0,(G4*1000000+U4*1000+A4),(O4*1000000+U4*1000+A4))</x:f>
        <x:v>1</x:v>
      </x:c>
      <x:c r="W4" s="60">
        <x:f t="shared" ref="W4:W33" si="1">_xlfn.RANK.EQ(V4,$V$4:$V$33,0)</x:f>
        <x:v>30</x:v>
      </x:c>
      <x:c r="X4" s="61"/>
    </x:row>
    <x:row r="5" spans="1:24" ht="24.949999999999999" customHeight="1">
      <x:c r="A5" s="18">
        <x:v>2</x:v>
      </x:c>
      <x:c r="B5" s="19"/>
      <x:c r="C5" s="20"/>
      <x:c r="D5" s="20"/>
      <x:c r="E5" s="20"/>
      <x:c r="F5" s="20"/>
      <x:c r="G5" s="21">
        <x:f t="shared" ref="G5:G33" si="2">F5+E5+D5+C5</x:f>
        <x:v>0</x:v>
      </x:c>
      <x:c r="H5" s="22">
        <x:f t="shared" ref="H5:H33" si="3">G5/4</x:f>
        <x:v>0</x:v>
      </x:c>
      <x:c r="I5" s="23" t="str">
        <x:f>IF(B5="","",IFERROR(INDEX('회원명단 및 기준에버'!D:G,MATCH(B5,'회원명단 및 기준에버'!$C:$C,0),CHOOSE(INT((MONTH($N$2)-1)/3)+1,1,2,3,4)),""))</x:f>
        <x:v/>
      </x:c>
      <x:c r="J5" s="5">
        <x:f>IFERROR(C5+-I5,0)</x:f>
        <x:v>0</x:v>
      </x:c>
      <x:c r="K5" s="5">
        <x:f>IFERROR(D5+-I5,0)</x:f>
        <x:v>0</x:v>
      </x:c>
      <x:c r="L5" s="5">
        <x:f>IFERROR(E5+-I5,0)</x:f>
        <x:v>0</x:v>
      </x:c>
      <x:c r="M5" s="5">
        <x:f t="shared" ref="M5:M33" si="4">IFERROR(F5+-I5,0)</x:f>
        <x:v>0</x:v>
      </x:c>
      <x:c r="N5" s="6">
        <x:f t="shared" ref="N5:N33" si="5">SUM(J5:M5)</x:f>
        <x:v>0</x:v>
      </x:c>
      <x:c r="O5" s="24">
        <x:f>IFERROR(H5+-I5,0)</x:f>
        <x:v>0</x:v>
      </x:c>
      <x:c r="P5" s="25"/>
      <x:c r="U5" s="62">
        <x:f t="shared" si="0"/>
        <x:v>0</x:v>
      </x:c>
      <x:c r="V5" s="57">
        <x:f t="shared" ref="V5:V33" si="6">IF($X$2=0,(G5*1000000+U5*1000+A5),(O5*1000000+U5*1000+A5))</x:f>
        <x:v>2</x:v>
      </x:c>
      <x:c r="W5" s="57">
        <x:f t="shared" si="1"/>
        <x:v>29</x:v>
      </x:c>
      <x:c r="X5" s="63"/>
    </x:row>
    <x:row r="6" spans="1:24" ht="24.949999999999999" customHeight="1">
      <x:c r="A6" s="18">
        <x:v>3</x:v>
      </x:c>
      <x:c r="B6" s="19"/>
      <x:c r="C6" s="20"/>
      <x:c r="D6" s="20"/>
      <x:c r="E6" s="20"/>
      <x:c r="F6" s="20"/>
      <x:c r="G6" s="21">
        <x:f t="shared" si="2"/>
        <x:v>0</x:v>
      </x:c>
      <x:c r="H6" s="22">
        <x:f t="shared" si="3"/>
        <x:v>0</x:v>
      </x:c>
      <x:c r="I6" s="23" t="str">
        <x:f>IF(B6="","",IFERROR(INDEX('회원명단 및 기준에버'!D:G,MATCH(B6,'회원명단 및 기준에버'!$C:$C,0),CHOOSE(INT((MONTH($N$2)-1)/3)+1,1,2,3,4)),""))</x:f>
        <x:v/>
      </x:c>
      <x:c r="J6" s="5">
        <x:f t="shared" ref="J6:J27" si="7">IFERROR(C6+-I6,0)</x:f>
        <x:v>0</x:v>
      </x:c>
      <x:c r="K6" s="5">
        <x:f t="shared" ref="K6:K27" si="8">IFERROR(D6+-I6,0)</x:f>
        <x:v>0</x:v>
      </x:c>
      <x:c r="L6" s="5">
        <x:f t="shared" ref="L6:L27" si="9">IFERROR(E6+-I6,0)</x:f>
        <x:v>0</x:v>
      </x:c>
      <x:c r="M6" s="5">
        <x:f t="shared" si="4"/>
        <x:v>0</x:v>
      </x:c>
      <x:c r="N6" s="6">
        <x:f t="shared" si="5"/>
        <x:v>0</x:v>
      </x:c>
      <x:c r="O6" s="24">
        <x:f t="shared" ref="O6:O27" si="10">IFERROR(H6+-I6,0)</x:f>
        <x:v>0</x:v>
      </x:c>
      <x:c r="U6" s="62">
        <x:f t="shared" si="0"/>
        <x:v>0</x:v>
      </x:c>
      <x:c r="V6" s="57">
        <x:f t="shared" si="6"/>
        <x:v>3</x:v>
      </x:c>
      <x:c r="W6" s="57">
        <x:f t="shared" si="1"/>
        <x:v>28</x:v>
      </x:c>
      <x:c r="X6" s="63"/>
    </x:row>
    <x:row r="7" spans="1:24" ht="24.949999999999999" customHeight="1">
      <x:c r="A7" s="18">
        <x:v>4</x:v>
      </x:c>
      <x:c r="B7" s="19"/>
      <x:c r="C7" s="20"/>
      <x:c r="D7" s="20"/>
      <x:c r="E7" s="20"/>
      <x:c r="F7" s="20"/>
      <x:c r="G7" s="21">
        <x:f t="shared" si="2"/>
        <x:v>0</x:v>
      </x:c>
      <x:c r="H7" s="22">
        <x:f t="shared" si="3"/>
        <x:v>0</x:v>
      </x:c>
      <x:c r="I7" s="23" t="str">
        <x:f>IF(B7="","",IFERROR(INDEX('회원명단 및 기준에버'!D:G,MATCH(B7,'회원명단 및 기준에버'!$C:$C,0),CHOOSE(INT((MONTH($N$2)-1)/3)+1,1,2,3,4)),""))</x:f>
        <x:v/>
      </x:c>
      <x:c r="J7" s="5">
        <x:f t="shared" si="7"/>
        <x:v>0</x:v>
      </x:c>
      <x:c r="K7" s="5">
        <x:f t="shared" si="8"/>
        <x:v>0</x:v>
      </x:c>
      <x:c r="L7" s="5">
        <x:f t="shared" si="9"/>
        <x:v>0</x:v>
      </x:c>
      <x:c r="M7" s="5">
        <x:f t="shared" si="4"/>
        <x:v>0</x:v>
      </x:c>
      <x:c r="N7" s="6">
        <x:f t="shared" si="5"/>
        <x:v>0</x:v>
      </x:c>
      <x:c r="O7" s="24">
        <x:f t="shared" si="10"/>
        <x:v>0</x:v>
      </x:c>
      <x:c r="U7" s="62">
        <x:f t="shared" si="0"/>
        <x:v>0</x:v>
      </x:c>
      <x:c r="V7" s="57">
        <x:f t="shared" si="6"/>
        <x:v>4</x:v>
      </x:c>
      <x:c r="W7" s="57">
        <x:f t="shared" si="1"/>
        <x:v>27</x:v>
      </x:c>
      <x:c r="X7" s="63"/>
    </x:row>
    <x:row r="8" spans="1:24" ht="24.949999999999999" customHeight="1">
      <x:c r="A8" s="18">
        <x:v>5</x:v>
      </x:c>
      <x:c r="B8" s="19"/>
      <x:c r="C8" s="20"/>
      <x:c r="D8" s="20"/>
      <x:c r="E8" s="20"/>
      <x:c r="F8" s="20"/>
      <x:c r="G8" s="21">
        <x:f t="shared" si="2"/>
        <x:v>0</x:v>
      </x:c>
      <x:c r="H8" s="22">
        <x:f t="shared" si="3"/>
        <x:v>0</x:v>
      </x:c>
      <x:c r="I8" s="23" t="str">
        <x:f>IF(B8="","",IFERROR(INDEX('회원명단 및 기준에버'!D:G,MATCH(B8,'회원명단 및 기준에버'!$C:$C,0),CHOOSE(INT((MONTH($N$2)-1)/3)+1,1,2,3,4)),""))</x:f>
        <x:v/>
      </x:c>
      <x:c r="J8" s="5">
        <x:f t="shared" si="7"/>
        <x:v>0</x:v>
      </x:c>
      <x:c r="K8" s="5">
        <x:f t="shared" si="8"/>
        <x:v>0</x:v>
      </x:c>
      <x:c r="L8" s="5">
        <x:f t="shared" si="9"/>
        <x:v>0</x:v>
      </x:c>
      <x:c r="M8" s="5">
        <x:f t="shared" si="4"/>
        <x:v>0</x:v>
      </x:c>
      <x:c r="N8" s="6">
        <x:f t="shared" si="5"/>
        <x:v>0</x:v>
      </x:c>
      <x:c r="O8" s="24">
        <x:f t="shared" si="10"/>
        <x:v>0</x:v>
      </x:c>
      <x:c r="U8" s="62">
        <x:f t="shared" si="0"/>
        <x:v>0</x:v>
      </x:c>
      <x:c r="V8" s="57">
        <x:f t="shared" si="6"/>
        <x:v>5</x:v>
      </x:c>
      <x:c r="W8" s="57">
        <x:f t="shared" si="1"/>
        <x:v>26</x:v>
      </x:c>
      <x:c r="X8" s="63"/>
    </x:row>
    <x:row r="9" spans="1:24" ht="24.949999999999999" customHeight="1">
      <x:c r="A9" s="18">
        <x:v>6</x:v>
      </x:c>
      <x:c r="B9" s="19"/>
      <x:c r="C9" s="20"/>
      <x:c r="D9" s="20"/>
      <x:c r="E9" s="20"/>
      <x:c r="F9" s="20"/>
      <x:c r="G9" s="21">
        <x:f t="shared" si="2"/>
        <x:v>0</x:v>
      </x:c>
      <x:c r="H9" s="22">
        <x:f t="shared" si="3"/>
        <x:v>0</x:v>
      </x:c>
      <x:c r="I9" s="23" t="str">
        <x:f>IF(B9="","",IFERROR(INDEX('회원명단 및 기준에버'!D:G,MATCH(B9,'회원명단 및 기준에버'!$C:$C,0),CHOOSE(INT((MONTH($N$2)-1)/3)+1,1,2,3,4)),""))</x:f>
        <x:v/>
      </x:c>
      <x:c r="J9" s="5">
        <x:f t="shared" si="7"/>
        <x:v>0</x:v>
      </x:c>
      <x:c r="K9" s="5">
        <x:f t="shared" si="8"/>
        <x:v>0</x:v>
      </x:c>
      <x:c r="L9" s="5">
        <x:f t="shared" si="9"/>
        <x:v>0</x:v>
      </x:c>
      <x:c r="M9" s="5">
        <x:f t="shared" si="4"/>
        <x:v>0</x:v>
      </x:c>
      <x:c r="N9" s="6">
        <x:f t="shared" si="5"/>
        <x:v>0</x:v>
      </x:c>
      <x:c r="O9" s="24">
        <x:f t="shared" si="10"/>
        <x:v>0</x:v>
      </x:c>
      <x:c r="U9" s="62">
        <x:f t="shared" si="0"/>
        <x:v>0</x:v>
      </x:c>
      <x:c r="V9" s="57">
        <x:f t="shared" si="6"/>
        <x:v>6</x:v>
      </x:c>
      <x:c r="W9" s="57">
        <x:f t="shared" si="1"/>
        <x:v>25</x:v>
      </x:c>
      <x:c r="X9" s="63"/>
    </x:row>
    <x:row r="10" spans="1:24" ht="24.949999999999999" customHeight="1">
      <x:c r="A10" s="18">
        <x:v>7</x:v>
      </x:c>
      <x:c r="B10" s="19"/>
      <x:c r="C10" s="20"/>
      <x:c r="D10" s="20"/>
      <x:c r="E10" s="20"/>
      <x:c r="F10" s="20"/>
      <x:c r="G10" s="21">
        <x:f t="shared" si="2"/>
        <x:v>0</x:v>
      </x:c>
      <x:c r="H10" s="22">
        <x:f t="shared" si="3"/>
        <x:v>0</x:v>
      </x:c>
      <x:c r="I10" s="23" t="str">
        <x:f>IF(B10="","",IFERROR(INDEX('회원명단 및 기준에버'!D:G,MATCH(B10,'회원명단 및 기준에버'!$C:$C,0),CHOOSE(INT((MONTH($N$2)-1)/3)+1,1,2,3,4)),""))</x:f>
        <x:v/>
      </x:c>
      <x:c r="J10" s="5">
        <x:f t="shared" si="7"/>
        <x:v>0</x:v>
      </x:c>
      <x:c r="K10" s="5">
        <x:f t="shared" si="8"/>
        <x:v>0</x:v>
      </x:c>
      <x:c r="L10" s="5">
        <x:f t="shared" si="9"/>
        <x:v>0</x:v>
      </x:c>
      <x:c r="M10" s="5">
        <x:f t="shared" si="4"/>
        <x:v>0</x:v>
      </x:c>
      <x:c r="N10" s="6">
        <x:f t="shared" si="5"/>
        <x:v>0</x:v>
      </x:c>
      <x:c r="O10" s="24">
        <x:f t="shared" si="10"/>
        <x:v>0</x:v>
      </x:c>
      <x:c r="U10" s="62">
        <x:f t="shared" si="0"/>
        <x:v>0</x:v>
      </x:c>
      <x:c r="V10" s="57">
        <x:f t="shared" si="6"/>
        <x:v>7</x:v>
      </x:c>
      <x:c r="W10" s="57">
        <x:f t="shared" si="1"/>
        <x:v>24</x:v>
      </x:c>
      <x:c r="X10" s="63"/>
    </x:row>
    <x:row r="11" spans="1:24" ht="24.949999999999999" customHeight="1">
      <x:c r="A11" s="18">
        <x:v>8</x:v>
      </x:c>
      <x:c r="B11" s="19"/>
      <x:c r="C11" s="20"/>
      <x:c r="D11" s="20"/>
      <x:c r="E11" s="20"/>
      <x:c r="F11" s="20"/>
      <x:c r="G11" s="21">
        <x:f t="shared" si="2"/>
        <x:v>0</x:v>
      </x:c>
      <x:c r="H11" s="22">
        <x:f t="shared" si="3"/>
        <x:v>0</x:v>
      </x:c>
      <x:c r="I11" s="23" t="str">
        <x:f>IF(B11="","",IFERROR(INDEX('회원명단 및 기준에버'!D:G,MATCH(B11,'회원명단 및 기준에버'!$C:$C,0),CHOOSE(INT((MONTH($N$2)-1)/3)+1,1,2,3,4)),""))</x:f>
        <x:v/>
      </x:c>
      <x:c r="J11" s="5">
        <x:f t="shared" si="7"/>
        <x:v>0</x:v>
      </x:c>
      <x:c r="K11" s="5">
        <x:f t="shared" si="8"/>
        <x:v>0</x:v>
      </x:c>
      <x:c r="L11" s="5">
        <x:f t="shared" si="9"/>
        <x:v>0</x:v>
      </x:c>
      <x:c r="M11" s="5">
        <x:f t="shared" si="4"/>
        <x:v>0</x:v>
      </x:c>
      <x:c r="N11" s="6">
        <x:f t="shared" si="5"/>
        <x:v>0</x:v>
      </x:c>
      <x:c r="O11" s="24">
        <x:f t="shared" si="10"/>
        <x:v>0</x:v>
      </x:c>
      <x:c r="U11" s="62">
        <x:f t="shared" si="0"/>
        <x:v>0</x:v>
      </x:c>
      <x:c r="V11" s="57">
        <x:f t="shared" si="6"/>
        <x:v>8</x:v>
      </x:c>
      <x:c r="W11" s="57">
        <x:f t="shared" si="1"/>
        <x:v>23</x:v>
      </x:c>
      <x:c r="X11" s="63"/>
    </x:row>
    <x:row r="12" spans="1:24" ht="24.949999999999999" customHeight="1">
      <x:c r="A12" s="18">
        <x:v>9</x:v>
      </x:c>
      <x:c r="B12" s="19"/>
      <x:c r="C12" s="20"/>
      <x:c r="D12" s="20"/>
      <x:c r="E12" s="20"/>
      <x:c r="F12" s="20"/>
      <x:c r="G12" s="21">
        <x:f t="shared" si="2"/>
        <x:v>0</x:v>
      </x:c>
      <x:c r="H12" s="22">
        <x:f t="shared" si="3"/>
        <x:v>0</x:v>
      </x:c>
      <x:c r="I12" s="23" t="str">
        <x:f>IF(B12="","",IFERROR(INDEX('회원명단 및 기준에버'!D:G,MATCH(B12,'회원명단 및 기준에버'!$C:$C,0),CHOOSE(INT((MONTH($N$2)-1)/3)+1,1,2,3,4)),""))</x:f>
        <x:v/>
      </x:c>
      <x:c r="J12" s="5">
        <x:f t="shared" si="7"/>
        <x:v>0</x:v>
      </x:c>
      <x:c r="K12" s="5">
        <x:f t="shared" si="8"/>
        <x:v>0</x:v>
      </x:c>
      <x:c r="L12" s="5">
        <x:f t="shared" si="9"/>
        <x:v>0</x:v>
      </x:c>
      <x:c r="M12" s="5">
        <x:f t="shared" si="4"/>
        <x:v>0</x:v>
      </x:c>
      <x:c r="N12" s="6">
        <x:f t="shared" si="5"/>
        <x:v>0</x:v>
      </x:c>
      <x:c r="O12" s="24">
        <x:f t="shared" si="10"/>
        <x:v>0</x:v>
      </x:c>
      <x:c r="U12" s="62">
        <x:f t="shared" si="0"/>
        <x:v>0</x:v>
      </x:c>
      <x:c r="V12" s="57">
        <x:f t="shared" si="6"/>
        <x:v>9</x:v>
      </x:c>
      <x:c r="W12" s="57">
        <x:f t="shared" si="1"/>
        <x:v>22</x:v>
      </x:c>
      <x:c r="X12" s="63"/>
    </x:row>
    <x:row r="13" spans="1:24" ht="24.949999999999999" customHeight="1">
      <x:c r="A13" s="18">
        <x:v>10</x:v>
      </x:c>
      <x:c r="B13" s="19"/>
      <x:c r="C13" s="20"/>
      <x:c r="D13" s="20"/>
      <x:c r="E13" s="20"/>
      <x:c r="F13" s="20"/>
      <x:c r="G13" s="21">
        <x:f t="shared" si="2"/>
        <x:v>0</x:v>
      </x:c>
      <x:c r="H13" s="22">
        <x:f t="shared" si="3"/>
        <x:v>0</x:v>
      </x:c>
      <x:c r="I13" s="23" t="str">
        <x:f>IF(B13="","",IFERROR(INDEX('회원명단 및 기준에버'!D:G,MATCH(B13,'회원명단 및 기준에버'!$C:$C,0),CHOOSE(INT((MONTH($N$2)-1)/3)+1,1,2,3,4)),""))</x:f>
        <x:v/>
      </x:c>
      <x:c r="J13" s="5">
        <x:f t="shared" si="7"/>
        <x:v>0</x:v>
      </x:c>
      <x:c r="K13" s="5">
        <x:f t="shared" si="8"/>
        <x:v>0</x:v>
      </x:c>
      <x:c r="L13" s="5">
        <x:f t="shared" si="9"/>
        <x:v>0</x:v>
      </x:c>
      <x:c r="M13" s="5">
        <x:f t="shared" si="4"/>
        <x:v>0</x:v>
      </x:c>
      <x:c r="N13" s="6">
        <x:f t="shared" si="5"/>
        <x:v>0</x:v>
      </x:c>
      <x:c r="O13" s="24">
        <x:f t="shared" si="10"/>
        <x:v>0</x:v>
      </x:c>
      <x:c r="U13" s="62">
        <x:f t="shared" si="0"/>
        <x:v>0</x:v>
      </x:c>
      <x:c r="V13" s="57">
        <x:f t="shared" si="6"/>
        <x:v>10</x:v>
      </x:c>
      <x:c r="W13" s="57">
        <x:f t="shared" si="1"/>
        <x:v>21</x:v>
      </x:c>
      <x:c r="X13" s="63"/>
    </x:row>
    <x:row r="14" spans="1:24" ht="24.949999999999999" customHeight="1">
      <x:c r="A14" s="18">
        <x:v>11</x:v>
      </x:c>
      <x:c r="B14" s="19"/>
      <x:c r="C14" s="20"/>
      <x:c r="D14" s="20"/>
      <x:c r="E14" s="20"/>
      <x:c r="F14" s="20"/>
      <x:c r="G14" s="21">
        <x:f t="shared" si="2"/>
        <x:v>0</x:v>
      </x:c>
      <x:c r="H14" s="22">
        <x:f t="shared" si="3"/>
        <x:v>0</x:v>
      </x:c>
      <x:c r="I14" s="23" t="str">
        <x:f>IF(B14="","",IFERROR(INDEX('회원명단 및 기준에버'!D:G,MATCH(B14,'회원명단 및 기준에버'!$C:$C,0),CHOOSE(INT((MONTH($N$2)-1)/3)+1,1,2,3,4)),""))</x:f>
        <x:v/>
      </x:c>
      <x:c r="J14" s="5">
        <x:f t="shared" si="7"/>
        <x:v>0</x:v>
      </x:c>
      <x:c r="K14" s="5">
        <x:f t="shared" si="8"/>
        <x:v>0</x:v>
      </x:c>
      <x:c r="L14" s="5">
        <x:f t="shared" si="9"/>
        <x:v>0</x:v>
      </x:c>
      <x:c r="M14" s="5">
        <x:f t="shared" si="4"/>
        <x:v>0</x:v>
      </x:c>
      <x:c r="N14" s="6">
        <x:f t="shared" si="5"/>
        <x:v>0</x:v>
      </x:c>
      <x:c r="O14" s="24">
        <x:f t="shared" si="10"/>
        <x:v>0</x:v>
      </x:c>
      <x:c r="U14" s="62">
        <x:f t="shared" si="0"/>
        <x:v>0</x:v>
      </x:c>
      <x:c r="V14" s="57">
        <x:f t="shared" si="6"/>
        <x:v>11</x:v>
      </x:c>
      <x:c r="W14" s="57">
        <x:f t="shared" si="1"/>
        <x:v>20</x:v>
      </x:c>
      <x:c r="X14" s="63"/>
    </x:row>
    <x:row r="15" spans="1:24" ht="24.949999999999999" customHeight="1">
      <x:c r="A15" s="18">
        <x:v>12</x:v>
      </x:c>
      <x:c r="B15" s="19"/>
      <x:c r="C15" s="20"/>
      <x:c r="D15" s="20"/>
      <x:c r="E15" s="20"/>
      <x:c r="F15" s="20"/>
      <x:c r="G15" s="21">
        <x:f t="shared" si="2"/>
        <x:v>0</x:v>
      </x:c>
      <x:c r="H15" s="22">
        <x:f t="shared" si="3"/>
        <x:v>0</x:v>
      </x:c>
      <x:c r="I15" s="23" t="str">
        <x:f>IF(B15="","",IFERROR(INDEX('회원명단 및 기준에버'!D:G,MATCH(B15,'회원명단 및 기준에버'!$C:$C,0),CHOOSE(INT((MONTH($N$2)-1)/3)+1,1,2,3,4)),""))</x:f>
        <x:v/>
      </x:c>
      <x:c r="J15" s="5">
        <x:f t="shared" si="7"/>
        <x:v>0</x:v>
      </x:c>
      <x:c r="K15" s="5">
        <x:f t="shared" si="8"/>
        <x:v>0</x:v>
      </x:c>
      <x:c r="L15" s="5">
        <x:f t="shared" si="9"/>
        <x:v>0</x:v>
      </x:c>
      <x:c r="M15" s="5">
        <x:f t="shared" si="4"/>
        <x:v>0</x:v>
      </x:c>
      <x:c r="N15" s="6">
        <x:f t="shared" si="5"/>
        <x:v>0</x:v>
      </x:c>
      <x:c r="O15" s="24">
        <x:f t="shared" si="10"/>
        <x:v>0</x:v>
      </x:c>
      <x:c r="U15" s="62">
        <x:f t="shared" si="0"/>
        <x:v>0</x:v>
      </x:c>
      <x:c r="V15" s="57">
        <x:f t="shared" si="6"/>
        <x:v>12</x:v>
      </x:c>
      <x:c r="W15" s="57">
        <x:f t="shared" si="1"/>
        <x:v>19</x:v>
      </x:c>
      <x:c r="X15" s="63"/>
    </x:row>
    <x:row r="16" spans="1:24" ht="24.949999999999999" customHeight="1">
      <x:c r="A16" s="18">
        <x:v>13</x:v>
      </x:c>
      <x:c r="B16" s="19"/>
      <x:c r="C16" s="20"/>
      <x:c r="D16" s="20"/>
      <x:c r="E16" s="20"/>
      <x:c r="F16" s="20"/>
      <x:c r="G16" s="21">
        <x:f t="shared" si="2"/>
        <x:v>0</x:v>
      </x:c>
      <x:c r="H16" s="22">
        <x:f t="shared" si="3"/>
        <x:v>0</x:v>
      </x:c>
      <x:c r="I16" s="23" t="str">
        <x:f>IF(B16="","",IFERROR(INDEX('회원명단 및 기준에버'!D:G,MATCH(B16,'회원명단 및 기준에버'!$C:$C,0),CHOOSE(INT((MONTH($N$2)-1)/3)+1,1,2,3,4)),""))</x:f>
        <x:v/>
      </x:c>
      <x:c r="J16" s="5">
        <x:f t="shared" si="7"/>
        <x:v>0</x:v>
      </x:c>
      <x:c r="K16" s="5">
        <x:f t="shared" si="8"/>
        <x:v>0</x:v>
      </x:c>
      <x:c r="L16" s="5">
        <x:f t="shared" si="9"/>
        <x:v>0</x:v>
      </x:c>
      <x:c r="M16" s="5">
        <x:f t="shared" si="4"/>
        <x:v>0</x:v>
      </x:c>
      <x:c r="N16" s="6">
        <x:f t="shared" si="5"/>
        <x:v>0</x:v>
      </x:c>
      <x:c r="O16" s="24">
        <x:f t="shared" si="10"/>
        <x:v>0</x:v>
      </x:c>
      <x:c r="U16" s="62">
        <x:f t="shared" si="0"/>
        <x:v>0</x:v>
      </x:c>
      <x:c r="V16" s="57">
        <x:f t="shared" si="6"/>
        <x:v>13</x:v>
      </x:c>
      <x:c r="W16" s="57">
        <x:f t="shared" si="1"/>
        <x:v>18</x:v>
      </x:c>
      <x:c r="X16" s="63"/>
    </x:row>
    <x:row r="17" spans="1:24" ht="24.949999999999999" customHeight="1">
      <x:c r="A17" s="18">
        <x:v>14</x:v>
      </x:c>
      <x:c r="B17" s="19"/>
      <x:c r="C17" s="20"/>
      <x:c r="D17" s="20"/>
      <x:c r="E17" s="20"/>
      <x:c r="F17" s="20"/>
      <x:c r="G17" s="21">
        <x:f t="shared" si="2"/>
        <x:v>0</x:v>
      </x:c>
      <x:c r="H17" s="22">
        <x:f t="shared" si="3"/>
        <x:v>0</x:v>
      </x:c>
      <x:c r="I17" s="23" t="str">
        <x:f>IF(B17="","",IFERROR(INDEX('회원명단 및 기준에버'!D:G,MATCH(B17,'회원명단 및 기준에버'!$C:$C,0),CHOOSE(INT((MONTH($N$2)-1)/3)+1,1,2,3,4)),""))</x:f>
        <x:v/>
      </x:c>
      <x:c r="J17" s="5">
        <x:f t="shared" si="7"/>
        <x:v>0</x:v>
      </x:c>
      <x:c r="K17" s="5">
        <x:f t="shared" si="8"/>
        <x:v>0</x:v>
      </x:c>
      <x:c r="L17" s="5">
        <x:f t="shared" si="9"/>
        <x:v>0</x:v>
      </x:c>
      <x:c r="M17" s="5">
        <x:f t="shared" si="4"/>
        <x:v>0</x:v>
      </x:c>
      <x:c r="N17" s="6">
        <x:f t="shared" si="5"/>
        <x:v>0</x:v>
      </x:c>
      <x:c r="O17" s="24">
        <x:f t="shared" si="10"/>
        <x:v>0</x:v>
      </x:c>
      <x:c r="U17" s="62">
        <x:f t="shared" si="0"/>
        <x:v>0</x:v>
      </x:c>
      <x:c r="V17" s="57">
        <x:f t="shared" si="6"/>
        <x:v>14</x:v>
      </x:c>
      <x:c r="W17" s="57">
        <x:f t="shared" si="1"/>
        <x:v>17</x:v>
      </x:c>
      <x:c r="X17" s="63"/>
    </x:row>
    <x:row r="18" spans="1:24" ht="24.949999999999999" customHeight="1">
      <x:c r="A18" s="18">
        <x:v>15</x:v>
      </x:c>
      <x:c r="B18" s="19"/>
      <x:c r="C18" s="20"/>
      <x:c r="D18" s="20"/>
      <x:c r="E18" s="20"/>
      <x:c r="F18" s="20"/>
      <x:c r="G18" s="21">
        <x:f t="shared" si="2"/>
        <x:v>0</x:v>
      </x:c>
      <x:c r="H18" s="22">
        <x:f t="shared" si="3"/>
        <x:v>0</x:v>
      </x:c>
      <x:c r="I18" s="23" t="str">
        <x:f>IF(B18="","",IFERROR(INDEX('회원명단 및 기준에버'!D:G,MATCH(B18,'회원명단 및 기준에버'!$C:$C,0),CHOOSE(INT((MONTH($N$2)-1)/3)+1,1,2,3,4)),""))</x:f>
        <x:v/>
      </x:c>
      <x:c r="J18" s="5">
        <x:f t="shared" si="7"/>
        <x:v>0</x:v>
      </x:c>
      <x:c r="K18" s="5">
        <x:f t="shared" si="8"/>
        <x:v>0</x:v>
      </x:c>
      <x:c r="L18" s="5">
        <x:f t="shared" si="9"/>
        <x:v>0</x:v>
      </x:c>
      <x:c r="M18" s="5">
        <x:f t="shared" si="4"/>
        <x:v>0</x:v>
      </x:c>
      <x:c r="N18" s="6">
        <x:f t="shared" si="5"/>
        <x:v>0</x:v>
      </x:c>
      <x:c r="O18" s="24">
        <x:f t="shared" si="10"/>
        <x:v>0</x:v>
      </x:c>
      <x:c r="U18" s="62">
        <x:f t="shared" si="0"/>
        <x:v>0</x:v>
      </x:c>
      <x:c r="V18" s="57">
        <x:f t="shared" si="6"/>
        <x:v>15</x:v>
      </x:c>
      <x:c r="W18" s="57">
        <x:f t="shared" si="1"/>
        <x:v>16</x:v>
      </x:c>
      <x:c r="X18" s="63"/>
    </x:row>
    <x:row r="19" spans="1:24" ht="24.949999999999999" customHeight="1">
      <x:c r="A19" s="18">
        <x:v>16</x:v>
      </x:c>
      <x:c r="B19" s="19"/>
      <x:c r="C19" s="20"/>
      <x:c r="D19" s="20"/>
      <x:c r="E19" s="20"/>
      <x:c r="F19" s="20"/>
      <x:c r="G19" s="21">
        <x:f t="shared" si="2"/>
        <x:v>0</x:v>
      </x:c>
      <x:c r="H19" s="22">
        <x:f t="shared" si="3"/>
        <x:v>0</x:v>
      </x:c>
      <x:c r="I19" s="23" t="str">
        <x:f>IF(B19="","",IFERROR(INDEX('회원명단 및 기준에버'!D:G,MATCH(B19,'회원명단 및 기준에버'!$C:$C,0),CHOOSE(INT((MONTH($N$2)-1)/3)+1,1,2,3,4)),""))</x:f>
        <x:v/>
      </x:c>
      <x:c r="J19" s="5">
        <x:f t="shared" si="7"/>
        <x:v>0</x:v>
      </x:c>
      <x:c r="K19" s="5">
        <x:f t="shared" si="8"/>
        <x:v>0</x:v>
      </x:c>
      <x:c r="L19" s="5">
        <x:f t="shared" si="9"/>
        <x:v>0</x:v>
      </x:c>
      <x:c r="M19" s="5">
        <x:f t="shared" si="4"/>
        <x:v>0</x:v>
      </x:c>
      <x:c r="N19" s="6">
        <x:f t="shared" si="5"/>
        <x:v>0</x:v>
      </x:c>
      <x:c r="O19" s="24">
        <x:f t="shared" si="10"/>
        <x:v>0</x:v>
      </x:c>
      <x:c r="U19" s="62">
        <x:f t="shared" si="0"/>
        <x:v>0</x:v>
      </x:c>
      <x:c r="V19" s="57">
        <x:f t="shared" si="6"/>
        <x:v>16</x:v>
      </x:c>
      <x:c r="W19" s="57">
        <x:f t="shared" si="1"/>
        <x:v>15</x:v>
      </x:c>
      <x:c r="X19" s="63"/>
    </x:row>
    <x:row r="20" spans="1:24" ht="24.949999999999999" customHeight="1">
      <x:c r="A20" s="18">
        <x:v>17</x:v>
      </x:c>
      <x:c r="B20" s="19"/>
      <x:c r="C20" s="20"/>
      <x:c r="D20" s="20"/>
      <x:c r="E20" s="20"/>
      <x:c r="F20" s="20"/>
      <x:c r="G20" s="21">
        <x:f t="shared" si="2"/>
        <x:v>0</x:v>
      </x:c>
      <x:c r="H20" s="22">
        <x:f t="shared" si="3"/>
        <x:v>0</x:v>
      </x:c>
      <x:c r="I20" s="23" t="str">
        <x:f>IF(B20="","",IFERROR(INDEX('회원명단 및 기준에버'!D:G,MATCH(B20,'회원명단 및 기준에버'!$C:$C,0),CHOOSE(INT((MONTH($N$2)-1)/3)+1,1,2,3,4)),""))</x:f>
        <x:v/>
      </x:c>
      <x:c r="J20" s="5">
        <x:f t="shared" si="7"/>
        <x:v>0</x:v>
      </x:c>
      <x:c r="K20" s="5">
        <x:f t="shared" si="8"/>
        <x:v>0</x:v>
      </x:c>
      <x:c r="L20" s="5">
        <x:f t="shared" si="9"/>
        <x:v>0</x:v>
      </x:c>
      <x:c r="M20" s="5">
        <x:f t="shared" si="4"/>
        <x:v>0</x:v>
      </x:c>
      <x:c r="N20" s="6">
        <x:f t="shared" si="5"/>
        <x:v>0</x:v>
      </x:c>
      <x:c r="O20" s="24">
        <x:f t="shared" si="10"/>
        <x:v>0</x:v>
      </x:c>
      <x:c r="U20" s="62">
        <x:f t="shared" si="0"/>
        <x:v>0</x:v>
      </x:c>
      <x:c r="V20" s="57">
        <x:f t="shared" si="6"/>
        <x:v>17</x:v>
      </x:c>
      <x:c r="W20" s="57">
        <x:f t="shared" si="1"/>
        <x:v>14</x:v>
      </x:c>
      <x:c r="X20" s="63"/>
    </x:row>
    <x:row r="21" spans="1:24" ht="24.949999999999999" customHeight="1">
      <x:c r="A21" s="18">
        <x:v>18</x:v>
      </x:c>
      <x:c r="B21" s="19"/>
      <x:c r="C21" s="20"/>
      <x:c r="D21" s="20"/>
      <x:c r="E21" s="20"/>
      <x:c r="F21" s="20"/>
      <x:c r="G21" s="21">
        <x:f t="shared" si="2"/>
        <x:v>0</x:v>
      </x:c>
      <x:c r="H21" s="22">
        <x:f t="shared" si="3"/>
        <x:v>0</x:v>
      </x:c>
      <x:c r="I21" s="23" t="str">
        <x:f>IF(B21="","",IFERROR(INDEX('회원명단 및 기준에버'!D:G,MATCH(B21,'회원명단 및 기준에버'!$C:$C,0),CHOOSE(INT((MONTH($N$2)-1)/3)+1,1,2,3,4)),""))</x:f>
        <x:v/>
      </x:c>
      <x:c r="J21" s="5">
        <x:f t="shared" si="7"/>
        <x:v>0</x:v>
      </x:c>
      <x:c r="K21" s="5">
        <x:f t="shared" si="8"/>
        <x:v>0</x:v>
      </x:c>
      <x:c r="L21" s="5">
        <x:f t="shared" si="9"/>
        <x:v>0</x:v>
      </x:c>
      <x:c r="M21" s="5">
        <x:f t="shared" si="4"/>
        <x:v>0</x:v>
      </x:c>
      <x:c r="N21" s="6">
        <x:f t="shared" si="5"/>
        <x:v>0</x:v>
      </x:c>
      <x:c r="O21" s="24">
        <x:f t="shared" si="10"/>
        <x:v>0</x:v>
      </x:c>
      <x:c r="U21" s="62">
        <x:f t="shared" si="0"/>
        <x:v>0</x:v>
      </x:c>
      <x:c r="V21" s="57">
        <x:f t="shared" si="6"/>
        <x:v>18</x:v>
      </x:c>
      <x:c r="W21" s="57">
        <x:f t="shared" si="1"/>
        <x:v>13</x:v>
      </x:c>
      <x:c r="X21" s="63"/>
    </x:row>
    <x:row r="22" spans="1:24" ht="24.949999999999999" customHeight="1">
      <x:c r="A22" s="18">
        <x:v>19</x:v>
      </x:c>
      <x:c r="B22" s="19"/>
      <x:c r="C22" s="20"/>
      <x:c r="D22" s="20"/>
      <x:c r="E22" s="20"/>
      <x:c r="F22" s="20"/>
      <x:c r="G22" s="21">
        <x:f t="shared" si="2"/>
        <x:v>0</x:v>
      </x:c>
      <x:c r="H22" s="22">
        <x:f t="shared" si="3"/>
        <x:v>0</x:v>
      </x:c>
      <x:c r="I22" s="23" t="str">
        <x:f>IF(B22="","",IFERROR(INDEX('회원명단 및 기준에버'!D:G,MATCH(B22,'회원명단 및 기준에버'!$C:$C,0),CHOOSE(INT((MONTH($N$2)-1)/3)+1,1,2,3,4)),""))</x:f>
        <x:v/>
      </x:c>
      <x:c r="J22" s="5">
        <x:f t="shared" si="7"/>
        <x:v>0</x:v>
      </x:c>
      <x:c r="K22" s="5">
        <x:f t="shared" si="8"/>
        <x:v>0</x:v>
      </x:c>
      <x:c r="L22" s="5">
        <x:f t="shared" si="9"/>
        <x:v>0</x:v>
      </x:c>
      <x:c r="M22" s="5">
        <x:f t="shared" si="4"/>
        <x:v>0</x:v>
      </x:c>
      <x:c r="N22" s="6">
        <x:f t="shared" si="5"/>
        <x:v>0</x:v>
      </x:c>
      <x:c r="O22" s="24">
        <x:f t="shared" si="10"/>
        <x:v>0</x:v>
      </x:c>
      <x:c r="U22" s="62">
        <x:f t="shared" si="0"/>
        <x:v>0</x:v>
      </x:c>
      <x:c r="V22" s="57">
        <x:f t="shared" si="6"/>
        <x:v>19</x:v>
      </x:c>
      <x:c r="W22" s="57">
        <x:f t="shared" si="1"/>
        <x:v>12</x:v>
      </x:c>
      <x:c r="X22" s="63"/>
    </x:row>
    <x:row r="23" spans="1:24" ht="24.949999999999999" customHeight="1">
      <x:c r="A23" s="18">
        <x:v>20</x:v>
      </x:c>
      <x:c r="B23" s="19"/>
      <x:c r="C23" s="20"/>
      <x:c r="D23" s="20"/>
      <x:c r="E23" s="20"/>
      <x:c r="F23" s="20"/>
      <x:c r="G23" s="21">
        <x:f t="shared" si="2"/>
        <x:v>0</x:v>
      </x:c>
      <x:c r="H23" s="22">
        <x:f t="shared" si="3"/>
        <x:v>0</x:v>
      </x:c>
      <x:c r="I23" s="23" t="str">
        <x:f>IF(B23="","",IFERROR(INDEX('회원명단 및 기준에버'!D:G,MATCH(B23,'회원명단 및 기준에버'!$C:$C,0),CHOOSE(INT((MONTH($N$2)-1)/3)+1,1,2,3,4)),""))</x:f>
        <x:v/>
      </x:c>
      <x:c r="J23" s="5">
        <x:f t="shared" si="7"/>
        <x:v>0</x:v>
      </x:c>
      <x:c r="K23" s="5">
        <x:f t="shared" si="8"/>
        <x:v>0</x:v>
      </x:c>
      <x:c r="L23" s="5">
        <x:f t="shared" si="9"/>
        <x:v>0</x:v>
      </x:c>
      <x:c r="M23" s="5">
        <x:f t="shared" si="4"/>
        <x:v>0</x:v>
      </x:c>
      <x:c r="N23" s="6">
        <x:f t="shared" si="5"/>
        <x:v>0</x:v>
      </x:c>
      <x:c r="O23" s="24">
        <x:f t="shared" si="10"/>
        <x:v>0</x:v>
      </x:c>
      <x:c r="U23" s="62">
        <x:f t="shared" si="0"/>
        <x:v>0</x:v>
      </x:c>
      <x:c r="V23" s="57">
        <x:f t="shared" si="6"/>
        <x:v>20</x:v>
      </x:c>
      <x:c r="W23" s="57">
        <x:f t="shared" si="1"/>
        <x:v>11</x:v>
      </x:c>
      <x:c r="X23" s="63"/>
    </x:row>
    <x:row r="24" spans="1:24" ht="24.949999999999999" customHeight="1">
      <x:c r="A24" s="18">
        <x:v>21</x:v>
      </x:c>
      <x:c r="B24" s="19"/>
      <x:c r="C24" s="20"/>
      <x:c r="D24" s="20"/>
      <x:c r="E24" s="20"/>
      <x:c r="F24" s="20"/>
      <x:c r="G24" s="21">
        <x:f t="shared" si="2"/>
        <x:v>0</x:v>
      </x:c>
      <x:c r="H24" s="22">
        <x:f t="shared" si="3"/>
        <x:v>0</x:v>
      </x:c>
      <x:c r="I24" s="23" t="str">
        <x:f>IF(B24="","",IFERROR(INDEX('회원명단 및 기준에버'!D:G,MATCH(B24,'회원명단 및 기준에버'!$C:$C,0),CHOOSE(INT((MONTH($N$2)-1)/3)+1,1,2,3,4)),""))</x:f>
        <x:v/>
      </x:c>
      <x:c r="J24" s="5">
        <x:f t="shared" si="7"/>
        <x:v>0</x:v>
      </x:c>
      <x:c r="K24" s="5">
        <x:f t="shared" si="8"/>
        <x:v>0</x:v>
      </x:c>
      <x:c r="L24" s="5">
        <x:f t="shared" si="9"/>
        <x:v>0</x:v>
      </x:c>
      <x:c r="M24" s="5">
        <x:f t="shared" si="4"/>
        <x:v>0</x:v>
      </x:c>
      <x:c r="N24" s="6">
        <x:f t="shared" si="5"/>
        <x:v>0</x:v>
      </x:c>
      <x:c r="O24" s="24">
        <x:f t="shared" si="10"/>
        <x:v>0</x:v>
      </x:c>
      <x:c r="U24" s="62">
        <x:f t="shared" si="0"/>
        <x:v>0</x:v>
      </x:c>
      <x:c r="V24" s="57">
        <x:f t="shared" si="6"/>
        <x:v>21</x:v>
      </x:c>
      <x:c r="W24" s="57">
        <x:f t="shared" si="1"/>
        <x:v>10</x:v>
      </x:c>
      <x:c r="X24" s="63"/>
    </x:row>
    <x:row r="25" spans="1:24" ht="24.949999999999999" customHeight="1">
      <x:c r="A25" s="18">
        <x:v>22</x:v>
      </x:c>
      <x:c r="B25" s="19"/>
      <x:c r="C25" s="20"/>
      <x:c r="D25" s="20"/>
      <x:c r="E25" s="20"/>
      <x:c r="F25" s="20"/>
      <x:c r="G25" s="21">
        <x:f t="shared" si="2"/>
        <x:v>0</x:v>
      </x:c>
      <x:c r="H25" s="22">
        <x:f t="shared" si="3"/>
        <x:v>0</x:v>
      </x:c>
      <x:c r="I25" s="23" t="str">
        <x:f>IF(B25="","",IFERROR(INDEX('회원명단 및 기준에버'!D:G,MATCH(B25,'회원명단 및 기준에버'!$C:$C,0),CHOOSE(INT((MONTH($N$2)-1)/3)+1,1,2,3,4)),""))</x:f>
        <x:v/>
      </x:c>
      <x:c r="J25" s="5">
        <x:f t="shared" si="7"/>
        <x:v>0</x:v>
      </x:c>
      <x:c r="K25" s="5">
        <x:f t="shared" si="8"/>
        <x:v>0</x:v>
      </x:c>
      <x:c r="L25" s="5">
        <x:f t="shared" si="9"/>
        <x:v>0</x:v>
      </x:c>
      <x:c r="M25" s="5">
        <x:f t="shared" si="4"/>
        <x:v>0</x:v>
      </x:c>
      <x:c r="N25" s="6">
        <x:f t="shared" si="5"/>
        <x:v>0</x:v>
      </x:c>
      <x:c r="O25" s="24">
        <x:f t="shared" si="10"/>
        <x:v>0</x:v>
      </x:c>
      <x:c r="U25" s="62">
        <x:f t="shared" si="0"/>
        <x:v>0</x:v>
      </x:c>
      <x:c r="V25" s="57">
        <x:f t="shared" si="6"/>
        <x:v>22</x:v>
      </x:c>
      <x:c r="W25" s="57">
        <x:f t="shared" si="1"/>
        <x:v>9</x:v>
      </x:c>
      <x:c r="X25" s="63"/>
    </x:row>
    <x:row r="26" spans="1:24" ht="24.949999999999999" customHeight="1">
      <x:c r="A26" s="18">
        <x:v>23</x:v>
      </x:c>
      <x:c r="B26" s="19"/>
      <x:c r="C26" s="20"/>
      <x:c r="D26" s="20"/>
      <x:c r="E26" s="20"/>
      <x:c r="F26" s="20"/>
      <x:c r="G26" s="21">
        <x:f t="shared" si="2"/>
        <x:v>0</x:v>
      </x:c>
      <x:c r="H26" s="22">
        <x:f t="shared" si="3"/>
        <x:v>0</x:v>
      </x:c>
      <x:c r="I26" s="23" t="str">
        <x:f>IF(B26="","",IFERROR(INDEX('회원명단 및 기준에버'!D:G,MATCH(B26,'회원명단 및 기준에버'!$C:$C,0),CHOOSE(INT((MONTH($N$2)-1)/3)+1,1,2,3,4)),""))</x:f>
        <x:v/>
      </x:c>
      <x:c r="J26" s="5">
        <x:f t="shared" si="7"/>
        <x:v>0</x:v>
      </x:c>
      <x:c r="K26" s="5">
        <x:f t="shared" si="8"/>
        <x:v>0</x:v>
      </x:c>
      <x:c r="L26" s="5">
        <x:f t="shared" si="9"/>
        <x:v>0</x:v>
      </x:c>
      <x:c r="M26" s="5">
        <x:f t="shared" si="4"/>
        <x:v>0</x:v>
      </x:c>
      <x:c r="N26" s="6">
        <x:f t="shared" si="5"/>
        <x:v>0</x:v>
      </x:c>
      <x:c r="O26" s="24">
        <x:f t="shared" si="10"/>
        <x:v>0</x:v>
      </x:c>
      <x:c r="U26" s="62">
        <x:f t="shared" si="0"/>
        <x:v>0</x:v>
      </x:c>
      <x:c r="V26" s="57">
        <x:f t="shared" si="6"/>
        <x:v>23</x:v>
      </x:c>
      <x:c r="W26" s="57">
        <x:f t="shared" si="1"/>
        <x:v>8</x:v>
      </x:c>
      <x:c r="X26" s="63"/>
    </x:row>
    <x:row r="27" spans="1:24" ht="24.949999999999999" customHeight="1">
      <x:c r="A27" s="18">
        <x:v>24</x:v>
      </x:c>
      <x:c r="B27" s="19"/>
      <x:c r="C27" s="20"/>
      <x:c r="D27" s="20"/>
      <x:c r="E27" s="20"/>
      <x:c r="F27" s="20"/>
      <x:c r="G27" s="21">
        <x:f t="shared" si="2"/>
        <x:v>0</x:v>
      </x:c>
      <x:c r="H27" s="22">
        <x:f t="shared" si="3"/>
        <x:v>0</x:v>
      </x:c>
      <x:c r="I27" s="23" t="str">
        <x:f>IF(B27="","",IFERROR(INDEX('회원명단 및 기준에버'!D:G,MATCH(B27,'회원명단 및 기준에버'!$C:$C,0),CHOOSE(INT((MONTH($N$2)-1)/3)+1,1,2,3,4)),""))</x:f>
        <x:v/>
      </x:c>
      <x:c r="J27" s="5">
        <x:f t="shared" si="7"/>
        <x:v>0</x:v>
      </x:c>
      <x:c r="K27" s="5">
        <x:f t="shared" si="8"/>
        <x:v>0</x:v>
      </x:c>
      <x:c r="L27" s="5">
        <x:f t="shared" si="9"/>
        <x:v>0</x:v>
      </x:c>
      <x:c r="M27" s="5">
        <x:f t="shared" si="4"/>
        <x:v>0</x:v>
      </x:c>
      <x:c r="N27" s="6">
        <x:f t="shared" si="5"/>
        <x:v>0</x:v>
      </x:c>
      <x:c r="O27" s="24">
        <x:f t="shared" si="10"/>
        <x:v>0</x:v>
      </x:c>
      <x:c r="U27" s="62">
        <x:f t="shared" si="0"/>
        <x:v>0</x:v>
      </x:c>
      <x:c r="V27" s="57">
        <x:f t="shared" si="6"/>
        <x:v>24</x:v>
      </x:c>
      <x:c r="W27" s="57">
        <x:f t="shared" si="1"/>
        <x:v>7</x:v>
      </x:c>
      <x:c r="X27" s="63"/>
    </x:row>
    <x:row r="28" spans="1:24" ht="24.949999999999999" customHeight="1">
      <x:c r="A28" s="18">
        <x:v>25</x:v>
      </x:c>
      <x:c r="B28" s="19"/>
      <x:c r="C28" s="20"/>
      <x:c r="D28" s="20"/>
      <x:c r="E28" s="20"/>
      <x:c r="F28" s="20"/>
      <x:c r="G28" s="21">
        <x:f t="shared" si="2"/>
        <x:v>0</x:v>
      </x:c>
      <x:c r="H28" s="22">
        <x:f t="shared" si="3"/>
        <x:v>0</x:v>
      </x:c>
      <x:c r="I28" s="23" t="str">
        <x:f>IF(B28="","",IFERROR(INDEX('회원명단 및 기준에버'!D:G,MATCH(B28,'회원명단 및 기준에버'!$C:$C,0),CHOOSE(INT((MONTH($N$2)-1)/3)+1,1,2,3,4)),""))</x:f>
        <x:v/>
      </x:c>
      <x:c r="J28" s="5">
        <x:f t="shared" ref="J28:J33" si="11">IFERROR(C28+-I28,0)</x:f>
        <x:v>0</x:v>
      </x:c>
      <x:c r="K28" s="5">
        <x:f t="shared" ref="K28:K33" si="12">IFERROR(D28+-I28,0)</x:f>
        <x:v>0</x:v>
      </x:c>
      <x:c r="L28" s="5">
        <x:f t="shared" ref="L28:L33" si="13">IFERROR(E28+-I28,0)</x:f>
        <x:v>0</x:v>
      </x:c>
      <x:c r="M28" s="5">
        <x:f t="shared" si="4"/>
        <x:v>0</x:v>
      </x:c>
      <x:c r="N28" s="6">
        <x:f t="shared" si="5"/>
        <x:v>0</x:v>
      </x:c>
      <x:c r="O28" s="24">
        <x:f t="shared" ref="O28:O33" si="14">IFERROR(H28+-I28,0)</x:f>
        <x:v>0</x:v>
      </x:c>
      <x:c r="U28" s="62">
        <x:f t="shared" si="0"/>
        <x:v>0</x:v>
      </x:c>
      <x:c r="V28" s="57">
        <x:f t="shared" si="6"/>
        <x:v>25</x:v>
      </x:c>
      <x:c r="W28" s="57">
        <x:f t="shared" si="1"/>
        <x:v>6</x:v>
      </x:c>
      <x:c r="X28" s="63"/>
    </x:row>
    <x:row r="29" spans="1:24" ht="24.949999999999999" customHeight="1">
      <x:c r="A29" s="18">
        <x:v>26</x:v>
      </x:c>
      <x:c r="B29" s="19"/>
      <x:c r="C29" s="20"/>
      <x:c r="D29" s="20"/>
      <x:c r="E29" s="20"/>
      <x:c r="F29" s="20"/>
      <x:c r="G29" s="21">
        <x:f t="shared" si="2"/>
        <x:v>0</x:v>
      </x:c>
      <x:c r="H29" s="22">
        <x:f t="shared" si="3"/>
        <x:v>0</x:v>
      </x:c>
      <x:c r="I29" s="23" t="str">
        <x:f>IF(B29="","",IFERROR(INDEX('회원명단 및 기준에버'!D:G,MATCH(B29,'회원명단 및 기준에버'!$C:$C,0),CHOOSE(INT((MONTH($N$2)-1)/3)+1,1,2,3,4)),""))</x:f>
        <x:v/>
      </x:c>
      <x:c r="J29" s="5">
        <x:f t="shared" si="11"/>
        <x:v>0</x:v>
      </x:c>
      <x:c r="K29" s="5">
        <x:f t="shared" si="12"/>
        <x:v>0</x:v>
      </x:c>
      <x:c r="L29" s="5">
        <x:f t="shared" si="13"/>
        <x:v>0</x:v>
      </x:c>
      <x:c r="M29" s="5">
        <x:f t="shared" si="4"/>
        <x:v>0</x:v>
      </x:c>
      <x:c r="N29" s="6">
        <x:f t="shared" si="5"/>
        <x:v>0</x:v>
      </x:c>
      <x:c r="O29" s="24">
        <x:f t="shared" si="14"/>
        <x:v>0</x:v>
      </x:c>
      <x:c r="U29" s="62">
        <x:f t="shared" si="0"/>
        <x:v>0</x:v>
      </x:c>
      <x:c r="V29" s="57">
        <x:f t="shared" si="6"/>
        <x:v>26</x:v>
      </x:c>
      <x:c r="W29" s="57">
        <x:f t="shared" si="1"/>
        <x:v>5</x:v>
      </x:c>
      <x:c r="X29" s="63"/>
    </x:row>
    <x:row r="30" spans="1:24" ht="24.949999999999999" customHeight="1">
      <x:c r="A30" s="18">
        <x:v>27</x:v>
      </x:c>
      <x:c r="B30" s="19"/>
      <x:c r="C30" s="20"/>
      <x:c r="D30" s="20"/>
      <x:c r="E30" s="20"/>
      <x:c r="F30" s="20"/>
      <x:c r="G30" s="21">
        <x:f t="shared" si="2"/>
        <x:v>0</x:v>
      </x:c>
      <x:c r="H30" s="22">
        <x:f t="shared" si="3"/>
        <x:v>0</x:v>
      </x:c>
      <x:c r="I30" s="23" t="str">
        <x:f>IF(B30="","",IFERROR(INDEX('회원명단 및 기준에버'!D:G,MATCH(B30,'회원명단 및 기준에버'!$C:$C,0),CHOOSE(INT((MONTH($N$2)-1)/3)+1,1,2,3,4)),""))</x:f>
        <x:v/>
      </x:c>
      <x:c r="J30" s="5">
        <x:f t="shared" si="11"/>
        <x:v>0</x:v>
      </x:c>
      <x:c r="K30" s="5">
        <x:f t="shared" si="12"/>
        <x:v>0</x:v>
      </x:c>
      <x:c r="L30" s="5">
        <x:f t="shared" si="13"/>
        <x:v>0</x:v>
      </x:c>
      <x:c r="M30" s="5">
        <x:f t="shared" si="4"/>
        <x:v>0</x:v>
      </x:c>
      <x:c r="N30" s="6">
        <x:f t="shared" si="5"/>
        <x:v>0</x:v>
      </x:c>
      <x:c r="O30" s="24">
        <x:f t="shared" si="14"/>
        <x:v>0</x:v>
      </x:c>
      <x:c r="U30" s="62">
        <x:f t="shared" si="0"/>
        <x:v>0</x:v>
      </x:c>
      <x:c r="V30" s="57">
        <x:f t="shared" si="6"/>
        <x:v>27</x:v>
      </x:c>
      <x:c r="W30" s="57">
        <x:f t="shared" si="1"/>
        <x:v>4</x:v>
      </x:c>
      <x:c r="X30" s="63"/>
    </x:row>
    <x:row r="31" spans="1:24" ht="24.949999999999999" customHeight="1">
      <x:c r="A31" s="18">
        <x:v>28</x:v>
      </x:c>
      <x:c r="B31" s="19"/>
      <x:c r="C31" s="20"/>
      <x:c r="D31" s="20"/>
      <x:c r="E31" s="20"/>
      <x:c r="F31" s="20"/>
      <x:c r="G31" s="21">
        <x:f t="shared" si="2"/>
        <x:v>0</x:v>
      </x:c>
      <x:c r="H31" s="22">
        <x:f t="shared" si="3"/>
        <x:v>0</x:v>
      </x:c>
      <x:c r="I31" s="23" t="str">
        <x:f>IF(B31="","",IFERROR(INDEX('회원명단 및 기준에버'!D:G,MATCH(B31,'회원명단 및 기준에버'!$C:$C,0),CHOOSE(INT((MONTH($N$2)-1)/3)+1,1,2,3,4)),""))</x:f>
        <x:v/>
      </x:c>
      <x:c r="J31" s="5">
        <x:f t="shared" si="11"/>
        <x:v>0</x:v>
      </x:c>
      <x:c r="K31" s="5">
        <x:f t="shared" si="12"/>
        <x:v>0</x:v>
      </x:c>
      <x:c r="L31" s="5">
        <x:f t="shared" si="13"/>
        <x:v>0</x:v>
      </x:c>
      <x:c r="M31" s="5">
        <x:f t="shared" si="4"/>
        <x:v>0</x:v>
      </x:c>
      <x:c r="N31" s="6">
        <x:f t="shared" si="5"/>
        <x:v>0</x:v>
      </x:c>
      <x:c r="O31" s="24">
        <x:f t="shared" si="14"/>
        <x:v>0</x:v>
      </x:c>
      <x:c r="U31" s="62">
        <x:f t="shared" si="0"/>
        <x:v>0</x:v>
      </x:c>
      <x:c r="V31" s="57">
        <x:f t="shared" si="6"/>
        <x:v>28</x:v>
      </x:c>
      <x:c r="W31" s="57">
        <x:f t="shared" si="1"/>
        <x:v>3</x:v>
      </x:c>
      <x:c r="X31" s="63"/>
    </x:row>
    <x:row r="32" spans="1:24" ht="24.949999999999999" customHeight="1">
      <x:c r="A32" s="18">
        <x:v>29</x:v>
      </x:c>
      <x:c r="B32" s="19"/>
      <x:c r="C32" s="20"/>
      <x:c r="D32" s="20"/>
      <x:c r="E32" s="20"/>
      <x:c r="F32" s="20"/>
      <x:c r="G32" s="21">
        <x:f t="shared" si="2"/>
        <x:v>0</x:v>
      </x:c>
      <x:c r="H32" s="22">
        <x:f t="shared" si="3"/>
        <x:v>0</x:v>
      </x:c>
      <x:c r="I32" s="23" t="str">
        <x:f>IF(B32="","",IFERROR(INDEX('회원명단 및 기준에버'!D:G,MATCH(B32,'회원명단 및 기준에버'!$C:$C,0),CHOOSE(INT((MONTH($N$2)-1)/3)+1,1,2,3,4)),""))</x:f>
        <x:v/>
      </x:c>
      <x:c r="J32" s="5">
        <x:f t="shared" si="11"/>
        <x:v>0</x:v>
      </x:c>
      <x:c r="K32" s="5">
        <x:f t="shared" si="12"/>
        <x:v>0</x:v>
      </x:c>
      <x:c r="L32" s="5">
        <x:f t="shared" si="13"/>
        <x:v>0</x:v>
      </x:c>
      <x:c r="M32" s="5">
        <x:f t="shared" si="4"/>
        <x:v>0</x:v>
      </x:c>
      <x:c r="N32" s="6">
        <x:f t="shared" si="5"/>
        <x:v>0</x:v>
      </x:c>
      <x:c r="O32" s="24">
        <x:f t="shared" si="14"/>
        <x:v>0</x:v>
      </x:c>
      <x:c r="U32" s="62">
        <x:f t="shared" si="0"/>
        <x:v>0</x:v>
      </x:c>
      <x:c r="V32" s="57">
        <x:f t="shared" si="6"/>
        <x:v>29</x:v>
      </x:c>
      <x:c r="W32" s="57">
        <x:f t="shared" si="1"/>
        <x:v>2</x:v>
      </x:c>
      <x:c r="X32" s="63"/>
    </x:row>
    <x:row r="33" spans="1:24" ht="24.949999999999999" customHeight="1">
      <x:c r="A33" s="18">
        <x:v>30</x:v>
      </x:c>
      <x:c r="B33" s="19"/>
      <x:c r="C33" s="20"/>
      <x:c r="D33" s="20"/>
      <x:c r="E33" s="20"/>
      <x:c r="F33" s="20"/>
      <x:c r="G33" s="21">
        <x:f t="shared" si="2"/>
        <x:v>0</x:v>
      </x:c>
      <x:c r="H33" s="22">
        <x:f t="shared" si="3"/>
        <x:v>0</x:v>
      </x:c>
      <x:c r="I33" s="23" t="str">
        <x:f>IF(B33="","",IFERROR(INDEX('회원명단 및 기준에버'!D:G,MATCH(B33,'회원명단 및 기준에버'!$C:$C,0),CHOOSE(INT((MONTH($N$2)-1)/3)+1,1,2,3,4)),""))</x:f>
        <x:v/>
      </x:c>
      <x:c r="J33" s="5">
        <x:f t="shared" si="11"/>
        <x:v>0</x:v>
      </x:c>
      <x:c r="K33" s="5">
        <x:f t="shared" si="12"/>
        <x:v>0</x:v>
      </x:c>
      <x:c r="L33" s="5">
        <x:f t="shared" si="13"/>
        <x:v>0</x:v>
      </x:c>
      <x:c r="M33" s="5">
        <x:f t="shared" si="4"/>
        <x:v>0</x:v>
      </x:c>
      <x:c r="N33" s="6">
        <x:f t="shared" si="5"/>
        <x:v>0</x:v>
      </x:c>
      <x:c r="O33" s="24">
        <x:f t="shared" si="14"/>
        <x:v>0</x:v>
      </x:c>
      <x:c r="U33" s="64">
        <x:f t="shared" si="0"/>
        <x:v>0</x:v>
      </x:c>
      <x:c r="V33" s="58">
        <x:f t="shared" si="6"/>
        <x:v>30</x:v>
      </x:c>
      <x:c r="W33" s="58">
        <x:f t="shared" si="1"/>
        <x:v>1</x:v>
      </x:c>
      <x:c r="X33" s="65"/>
    </x:row>
    <x:row r="34" spans="1:15" s="11" customFormat="1" ht="24.949999999999999" customHeight="1">
      <x:c r="A34" s="12"/>
      <x:c r="B34" s="120" t="s">
        <x:v>21</x:v>
      </x:c>
      <x:c r="C34" s="121"/>
      <x:c r="D34" s="121"/>
      <x:c r="E34" s="121"/>
      <x:c r="F34" s="120"/>
      <x:c r="G34" s="121"/>
      <x:c r="H34" s="121"/>
      <x:c r="I34" s="121"/>
      <x:c r="J34" s="121"/>
      <x:c r="K34" s="121"/>
      <x:c r="L34" s="121"/>
      <x:c r="M34" s="120"/>
      <x:c r="N34" s="121"/>
      <x:c r="O34" s="122"/>
    </x:row>
    <x:row r="35" spans="2:15" s="11" customFormat="1" ht="24.949999999999999" customHeight="1">
      <x:c r="B35" s="26">
        <x:f>$B4</x:f>
        <x:v>0</x:v>
      </x:c>
      <x:c r="C35" s="27">
        <x:f>IF($V$2=0,$C4,$J4)</x:f>
        <x:v>0</x:v>
      </x:c>
      <x:c r="D35" s="27">
        <x:f>IF($V$2=0,$D4,$K4)</x:f>
        <x:v>0</x:v>
      </x:c>
      <x:c r="E35" s="27">
        <x:f>IF($V$2=0,$E4,$L4)</x:f>
        <x:v>0</x:v>
      </x:c>
      <x:c r="F35" s="27">
        <x:f>IF($V$2=0,$F4,$M4)</x:f>
        <x:v>0</x:v>
      </x:c>
      <x:c r="G35" s="123">
        <x:f>E40+D40+C40+F40</x:f>
        <x:v>0</x:v>
      </x:c>
      <x:c r="H35" s="115"/>
      <x:c r="I35" s="28">
        <x:f>$B9</x:f>
        <x:v>0</x:v>
      </x:c>
      <x:c r="J35" s="27">
        <x:f>IF($V$2=0,$C9,$J9)</x:f>
        <x:v>0</x:v>
      </x:c>
      <x:c r="K35" s="27">
        <x:f>IF($V$2=0,$D9,$K9)</x:f>
        <x:v>0</x:v>
      </x:c>
      <x:c r="L35" s="27">
        <x:f>IF($V$2=0,$E9,$L9)</x:f>
        <x:v>0</x:v>
      </x:c>
      <x:c r="M35" s="47">
        <x:f>IF($V$2=0,$F9,$M9)</x:f>
        <x:v>0</x:v>
      </x:c>
      <x:c r="N35" s="129">
        <x:f>L40+K40+J40+M40</x:f>
        <x:v>0</x:v>
      </x:c>
      <x:c r="O35" s="126"/>
    </x:row>
    <x:row r="36" spans="2:15" s="11" customFormat="1" ht="24.949999999999999" customHeight="1">
      <x:c r="B36" s="29">
        <x:f>$B5</x:f>
        <x:v>0</x:v>
      </x:c>
      <x:c r="C36" s="4">
        <x:f>IF($V$2=0,$C5,$J5)</x:f>
        <x:v>0</x:v>
      </x:c>
      <x:c r="D36" s="4">
        <x:f>IF($V$2=0,$D5,$K5)</x:f>
        <x:v>0</x:v>
      </x:c>
      <x:c r="E36" s="4">
        <x:f>IF($V$2=0,$E5,$L5)</x:f>
        <x:v>0</x:v>
      </x:c>
      <x:c r="F36" s="4">
        <x:f>IF($V$2=0,$F5,$M5)</x:f>
        <x:v>0</x:v>
      </x:c>
      <x:c r="G36" s="124"/>
      <x:c r="H36" s="116"/>
      <x:c r="I36" s="29">
        <x:f>$B10</x:f>
        <x:v>0</x:v>
      </x:c>
      <x:c r="J36" s="4">
        <x:f>IF($V$2=0,$C10,$J10)</x:f>
        <x:v>0</x:v>
      </x:c>
      <x:c r="K36" s="4">
        <x:f>IF($V$2=0,$D10,$K10)</x:f>
        <x:v>0</x:v>
      </x:c>
      <x:c r="L36" s="4">
        <x:f>IF($V$2=0,$E10,$L10)</x:f>
        <x:v>0</x:v>
      </x:c>
      <x:c r="M36" s="4">
        <x:f>IF($V$2=0,$F10,$M10)</x:f>
        <x:v>0</x:v>
      </x:c>
      <x:c r="N36" s="130"/>
      <x:c r="O36" s="127"/>
    </x:row>
    <x:row r="37" spans="2:15" s="11" customFormat="1" ht="24.949999999999999" customHeight="1">
      <x:c r="B37" s="29">
        <x:f>$B6</x:f>
        <x:v>0</x:v>
      </x:c>
      <x:c r="C37" s="4">
        <x:f>IF($V$2=0,$C6,$J6)</x:f>
        <x:v>0</x:v>
      </x:c>
      <x:c r="D37" s="4">
        <x:f>IF($V$2=0,$D6,$K6)</x:f>
        <x:v>0</x:v>
      </x:c>
      <x:c r="E37" s="4">
        <x:f>IF($V$2=0,$E6,$L6)</x:f>
        <x:v>0</x:v>
      </x:c>
      <x:c r="F37" s="4">
        <x:f>IF($V$2=0,$F6,$M6)</x:f>
        <x:v>0</x:v>
      </x:c>
      <x:c r="G37" s="124"/>
      <x:c r="H37" s="116"/>
      <x:c r="I37" s="29">
        <x:f>$B11</x:f>
        <x:v>0</x:v>
      </x:c>
      <x:c r="J37" s="4">
        <x:f>IF($V$2=0,$C11,$J11)</x:f>
        <x:v>0</x:v>
      </x:c>
      <x:c r="K37" s="4">
        <x:f>IF($V$2=0,$D11,$K11)</x:f>
        <x:v>0</x:v>
      </x:c>
      <x:c r="L37" s="4">
        <x:f>IF($V$2=0,$E11,$L11)</x:f>
        <x:v>0</x:v>
      </x:c>
      <x:c r="M37" s="4">
        <x:f>IF($V$2=0,$F11,$M11)</x:f>
        <x:v>0</x:v>
      </x:c>
      <x:c r="N37" s="130"/>
      <x:c r="O37" s="127"/>
    </x:row>
    <x:row r="38" spans="2:15" s="11" customFormat="1" ht="24.949999999999999" customHeight="1">
      <x:c r="B38" s="29">
        <x:f>$B7</x:f>
        <x:v>0</x:v>
      </x:c>
      <x:c r="C38" s="4">
        <x:f>IF($V$2=0,$C7,$J7)</x:f>
        <x:v>0</x:v>
      </x:c>
      <x:c r="D38" s="4">
        <x:f>IF($V$2=0,$D7,$K7)</x:f>
        <x:v>0</x:v>
      </x:c>
      <x:c r="E38" s="4">
        <x:f>IF($V$2=0,$E7,$L7)</x:f>
        <x:v>0</x:v>
      </x:c>
      <x:c r="F38" s="4">
        <x:f>IF($V$2=0,$F7,$M7)</x:f>
        <x:v>0</x:v>
      </x:c>
      <x:c r="G38" s="124"/>
      <x:c r="H38" s="116"/>
      <x:c r="I38" s="29">
        <x:f>$B12</x:f>
        <x:v>0</x:v>
      </x:c>
      <x:c r="J38" s="4">
        <x:f>IF($V$2=0,$C12,$J12)</x:f>
        <x:v>0</x:v>
      </x:c>
      <x:c r="K38" s="4">
        <x:f>IF($V$2=0,$D12,$K12)</x:f>
        <x:v>0</x:v>
      </x:c>
      <x:c r="L38" s="4">
        <x:f>IF($V$2=0,$E12,$L12)</x:f>
        <x:v>0</x:v>
      </x:c>
      <x:c r="M38" s="4">
        <x:f>IF($V$2=0,$F12,$M12)</x:f>
        <x:v>0</x:v>
      </x:c>
      <x:c r="N38" s="130"/>
      <x:c r="O38" s="127"/>
    </x:row>
    <x:row r="39" spans="2:15" s="11" customFormat="1" ht="24.949999999999999" customHeight="1">
      <x:c r="B39" s="29">
        <x:f>$B8</x:f>
        <x:v>0</x:v>
      </x:c>
      <x:c r="C39" s="4">
        <x:f>IF($V$2=0,$C8,$J8)</x:f>
        <x:v>0</x:v>
      </x:c>
      <x:c r="D39" s="4">
        <x:f>IF($V$2=0,$D8,$K8)</x:f>
        <x:v>0</x:v>
      </x:c>
      <x:c r="E39" s="4">
        <x:f>IF($V$2=0,$E8,$L8)</x:f>
        <x:v>0</x:v>
      </x:c>
      <x:c r="F39" s="4">
        <x:f>IF($V$2=0,$F8,$M8)</x:f>
        <x:v>0</x:v>
      </x:c>
      <x:c r="G39" s="124"/>
      <x:c r="H39" s="116"/>
      <x:c r="I39" s="29">
        <x:f>$B13</x:f>
        <x:v>0</x:v>
      </x:c>
      <x:c r="J39" s="4">
        <x:f>IF($V$2=0,$C13,$J13)</x:f>
        <x:v>0</x:v>
      </x:c>
      <x:c r="K39" s="4">
        <x:f>IF($V$2=0,$D13,$K13)</x:f>
        <x:v>0</x:v>
      </x:c>
      <x:c r="L39" s="4">
        <x:f>IF($V$2=0,$E13,$L13)</x:f>
        <x:v>0</x:v>
      </x:c>
      <x:c r="M39" s="4">
        <x:f>IF($V$2=0,$F13,$M13)</x:f>
        <x:v>0</x:v>
      </x:c>
      <x:c r="N39" s="130"/>
      <x:c r="O39" s="127"/>
    </x:row>
    <x:row r="40" spans="2:15" s="11" customFormat="1" ht="24.949999999999999" customHeight="1">
      <x:c r="B40" s="30"/>
      <x:c r="C40" s="31">
        <x:f>SUM(C35:C39)</x:f>
        <x:v>0</x:v>
      </x:c>
      <x:c r="D40" s="31">
        <x:f>SUM(D35:D39)</x:f>
        <x:v>0</x:v>
      </x:c>
      <x:c r="E40" s="31">
        <x:f>SUM(E35:E39)</x:f>
        <x:v>0</x:v>
      </x:c>
      <x:c r="F40" s="31">
        <x:f>SUM(F35:F39)</x:f>
        <x:v>0</x:v>
      </x:c>
      <x:c r="G40" s="125"/>
      <x:c r="H40" s="117"/>
      <x:c r="I40" s="30"/>
      <x:c r="J40" s="31">
        <x:f>SUM(J35:J39)</x:f>
        <x:v>0</x:v>
      </x:c>
      <x:c r="K40" s="31">
        <x:f>SUM(K35:K39)</x:f>
        <x:v>0</x:v>
      </x:c>
      <x:c r="L40" s="31">
        <x:f>SUM(L35:L39)</x:f>
        <x:v>0</x:v>
      </x:c>
      <x:c r="M40" s="31">
        <x:f>SUM(M35:M39)</x:f>
        <x:v>0</x:v>
      </x:c>
      <x:c r="N40" s="131"/>
      <x:c r="O40" s="128"/>
    </x:row>
    <x:row r="41" s="11" customFormat="1" ht="9.9499999999999993" customHeight="1"/>
    <x:row r="42" spans="2:15" s="11" customFormat="1" ht="24.949999999999999" customHeight="1">
      <x:c r="B42" s="26">
        <x:f>$B14</x:f>
        <x:v>0</x:v>
      </x:c>
      <x:c r="C42" s="27">
        <x:f>IF($V$2=0,$C14,$J14)</x:f>
        <x:v>0</x:v>
      </x:c>
      <x:c r="D42" s="27">
        <x:f>IF($V$2=0,$D14,$K14)</x:f>
        <x:v>0</x:v>
      </x:c>
      <x:c r="E42" s="27">
        <x:f>IF($V$2=0,$E14,$L14)</x:f>
        <x:v>0</x:v>
      </x:c>
      <x:c r="F42" s="27">
        <x:f>IF($V$2=0,$F14,$M14)</x:f>
        <x:v>0</x:v>
      </x:c>
      <x:c r="G42" s="123">
        <x:f>E47+D47+C47+F47</x:f>
        <x:v>0</x:v>
      </x:c>
      <x:c r="H42" s="115"/>
      <x:c r="I42" s="28">
        <x:f>$B19</x:f>
        <x:v>0</x:v>
      </x:c>
      <x:c r="J42" s="27">
        <x:f>IF($V$2=0,$C19,$J19)</x:f>
        <x:v>0</x:v>
      </x:c>
      <x:c r="K42" s="27">
        <x:f>IF($V$2=0,$D19,$K19)</x:f>
        <x:v>0</x:v>
      </x:c>
      <x:c r="L42" s="27">
        <x:f>IF($V$2=0,$E19,$L19)</x:f>
        <x:v>0</x:v>
      </x:c>
      <x:c r="M42" s="47">
        <x:f>IF($V$2=0,$F19,$M19)</x:f>
        <x:v>0</x:v>
      </x:c>
      <x:c r="N42" s="129">
        <x:f>L47+K47+J47+M47</x:f>
        <x:v>0</x:v>
      </x:c>
      <x:c r="O42" s="126"/>
    </x:row>
    <x:row r="43" spans="2:15" s="12" customFormat="1" ht="24.949999999999999" customHeight="1">
      <x:c r="B43" s="29">
        <x:f>$B15</x:f>
        <x:v>0</x:v>
      </x:c>
      <x:c r="C43" s="4">
        <x:f>IF($V$2=0,$C15,$J15)</x:f>
        <x:v>0</x:v>
      </x:c>
      <x:c r="D43" s="4">
        <x:f>IF($V$2=0,$D15,$K15)</x:f>
        <x:v>0</x:v>
      </x:c>
      <x:c r="E43" s="4">
        <x:f>IF($V$2=0,$E15,$L15)</x:f>
        <x:v>0</x:v>
      </x:c>
      <x:c r="F43" s="4">
        <x:f>IF($V$2=0,$F15,$M15)</x:f>
        <x:v>0</x:v>
      </x:c>
      <x:c r="G43" s="124"/>
      <x:c r="H43" s="116"/>
      <x:c r="I43" s="29">
        <x:f>$B20</x:f>
        <x:v>0</x:v>
      </x:c>
      <x:c r="J43" s="4">
        <x:f>IF($V$2=0,$C20,$J20)</x:f>
        <x:v>0</x:v>
      </x:c>
      <x:c r="K43" s="4">
        <x:f>IF($V$2=0,$D20,$K20)</x:f>
        <x:v>0</x:v>
      </x:c>
      <x:c r="L43" s="4">
        <x:f>IF($V$2=0,$E20,$L20)</x:f>
        <x:v>0</x:v>
      </x:c>
      <x:c r="M43" s="4">
        <x:f>IF($V$2=0,$F20,$M20)</x:f>
        <x:v>0</x:v>
      </x:c>
      <x:c r="N43" s="130"/>
      <x:c r="O43" s="127"/>
    </x:row>
    <x:row r="44" spans="2:15" s="12" customFormat="1" ht="24.949999999999999" customHeight="1">
      <x:c r="B44" s="29">
        <x:f>$B16</x:f>
        <x:v>0</x:v>
      </x:c>
      <x:c r="C44" s="4">
        <x:f>IF($V$2=0,$C16,$J16)</x:f>
        <x:v>0</x:v>
      </x:c>
      <x:c r="D44" s="4">
        <x:f>IF($V$2=0,$D16,$K16)</x:f>
        <x:v>0</x:v>
      </x:c>
      <x:c r="E44" s="4">
        <x:f>IF($V$2=0,$E16,$L16)</x:f>
        <x:v>0</x:v>
      </x:c>
      <x:c r="F44" s="4">
        <x:f>IF($V$2=0,$F16,$M16)</x:f>
        <x:v>0</x:v>
      </x:c>
      <x:c r="G44" s="124"/>
      <x:c r="H44" s="116"/>
      <x:c r="I44" s="29">
        <x:f>$B21</x:f>
        <x:v>0</x:v>
      </x:c>
      <x:c r="J44" s="4">
        <x:f>IF($V$2=0,$C21,$J21)</x:f>
        <x:v>0</x:v>
      </x:c>
      <x:c r="K44" s="4">
        <x:f>IF($V$2=0,$D21,$K21)</x:f>
        <x:v>0</x:v>
      </x:c>
      <x:c r="L44" s="4">
        <x:f>IF($V$2=0,$E21,$L21)</x:f>
        <x:v>0</x:v>
      </x:c>
      <x:c r="M44" s="4">
        <x:f>IF($V$2=0,$F21,$M21)</x:f>
        <x:v>0</x:v>
      </x:c>
      <x:c r="N44" s="130"/>
      <x:c r="O44" s="127"/>
    </x:row>
    <x:row r="45" spans="2:15" s="12" customFormat="1" ht="24.949999999999999" customHeight="1">
      <x:c r="B45" s="29">
        <x:f>$B17</x:f>
        <x:v>0</x:v>
      </x:c>
      <x:c r="C45" s="4">
        <x:f>IF($V$2=0,$C17,$J17)</x:f>
        <x:v>0</x:v>
      </x:c>
      <x:c r="D45" s="4">
        <x:f>IF($V$2=0,$D17,$K17)</x:f>
        <x:v>0</x:v>
      </x:c>
      <x:c r="E45" s="4">
        <x:f>IF($V$2=0,$E17,$L17)</x:f>
        <x:v>0</x:v>
      </x:c>
      <x:c r="F45" s="4">
        <x:f>IF($V$2=0,$F17,$M17)</x:f>
        <x:v>0</x:v>
      </x:c>
      <x:c r="G45" s="124"/>
      <x:c r="H45" s="116"/>
      <x:c r="I45" s="29">
        <x:f>$B22</x:f>
        <x:v>0</x:v>
      </x:c>
      <x:c r="J45" s="4">
        <x:f>IF($V$2=0,$C22,$J22)</x:f>
        <x:v>0</x:v>
      </x:c>
      <x:c r="K45" s="4">
        <x:f>IF($V$2=0,$D22,$K22)</x:f>
        <x:v>0</x:v>
      </x:c>
      <x:c r="L45" s="4">
        <x:f>IF($V$2=0,$E22,$L22)</x:f>
        <x:v>0</x:v>
      </x:c>
      <x:c r="M45" s="4">
        <x:f>IF($V$2=0,$F22,$M22)</x:f>
        <x:v>0</x:v>
      </x:c>
      <x:c r="N45" s="130"/>
      <x:c r="O45" s="127"/>
    </x:row>
    <x:row r="46" spans="2:15" s="12" customFormat="1" ht="24.949999999999999" customHeight="1">
      <x:c r="B46" s="29">
        <x:f>$B18</x:f>
        <x:v>0</x:v>
      </x:c>
      <x:c r="C46" s="4">
        <x:f>IF($V$2=0,$C18,$J18)</x:f>
        <x:v>0</x:v>
      </x:c>
      <x:c r="D46" s="4">
        <x:f>IF($V$2=0,$D18,$K18)</x:f>
        <x:v>0</x:v>
      </x:c>
      <x:c r="E46" s="4">
        <x:f>IF($V$2=0,$E18,$L18)</x:f>
        <x:v>0</x:v>
      </x:c>
      <x:c r="F46" s="4">
        <x:f>IF($V$2=0,$F18,$M18)</x:f>
        <x:v>0</x:v>
      </x:c>
      <x:c r="G46" s="124"/>
      <x:c r="H46" s="116"/>
      <x:c r="I46" s="29">
        <x:f>$B23</x:f>
        <x:v>0</x:v>
      </x:c>
      <x:c r="J46" s="4">
        <x:f>IF($V$2=0,$C23,$J23)</x:f>
        <x:v>0</x:v>
      </x:c>
      <x:c r="K46" s="4">
        <x:f>IF($V$2=0,$D23,$K23)</x:f>
        <x:v>0</x:v>
      </x:c>
      <x:c r="L46" s="4">
        <x:f>IF($V$2=0,$E23,$L23)</x:f>
        <x:v>0</x:v>
      </x:c>
      <x:c r="M46" s="4">
        <x:f>IF($V$2=0,$F23,$M23)</x:f>
        <x:v>0</x:v>
      </x:c>
      <x:c r="N46" s="130"/>
      <x:c r="O46" s="127"/>
    </x:row>
    <x:row r="47" spans="2:15" s="12" customFormat="1" ht="24.949999999999999" customHeight="1">
      <x:c r="B47" s="30"/>
      <x:c r="C47" s="31">
        <x:f>SUM(C42:C46)</x:f>
        <x:v>0</x:v>
      </x:c>
      <x:c r="D47" s="31">
        <x:f>SUM(D42:D46)</x:f>
        <x:v>0</x:v>
      </x:c>
      <x:c r="E47" s="31">
        <x:f>SUM(E42:E46)</x:f>
        <x:v>0</x:v>
      </x:c>
      <x:c r="F47" s="31">
        <x:f>SUM(F42:F46)</x:f>
        <x:v>0</x:v>
      </x:c>
      <x:c r="G47" s="125"/>
      <x:c r="H47" s="117"/>
      <x:c r="I47" s="30"/>
      <x:c r="J47" s="31">
        <x:f>SUM(J42:J46)</x:f>
        <x:v>0</x:v>
      </x:c>
      <x:c r="K47" s="31">
        <x:f>SUM(K42:K46)</x:f>
        <x:v>0</x:v>
      </x:c>
      <x:c r="L47" s="31">
        <x:f>SUM(L42:L46)</x:f>
        <x:v>0</x:v>
      </x:c>
      <x:c r="M47" s="31">
        <x:f>SUM(M42:M46)</x:f>
        <x:v>0</x:v>
      </x:c>
      <x:c r="N47" s="131"/>
      <x:c r="O47" s="128"/>
    </x:row>
    <x:row r="48" ht="9.9499999999999993" customHeight="1"/>
    <x:row r="49" spans="2:15" ht="24.949999999999999" customHeight="1">
      <x:c r="B49" s="76">
        <x:f>$B24</x:f>
        <x:v>0</x:v>
      </x:c>
      <x:c r="C49" s="77">
        <x:f>IF($V$2=0,$C24,$J24)</x:f>
        <x:v>0</x:v>
      </x:c>
      <x:c r="D49" s="77">
        <x:f>IF($V$2=0,$D24,$K24)</x:f>
        <x:v>0</x:v>
      </x:c>
      <x:c r="E49" s="77">
        <x:f>IF($V$2=0,$E24,$L24)</x:f>
        <x:v>0</x:v>
      </x:c>
      <x:c r="F49" s="77">
        <x:f>IF($V$2=0,$F24,$M24)</x:f>
        <x:v>0</x:v>
      </x:c>
      <x:c r="G49" s="132">
        <x:f>E54+D54+C54+F54</x:f>
        <x:v>0</x:v>
      </x:c>
      <x:c r="H49" s="135"/>
      <x:c r="I49" s="67"/>
      <x:c r="J49" s="68"/>
      <x:c r="K49" s="68"/>
      <x:c r="L49" s="68"/>
      <x:c r="M49" s="68"/>
      <x:c r="N49" s="69"/>
      <x:c r="O49" s="70"/>
    </x:row>
    <x:row r="50" spans="2:15" ht="24.949999999999999" customHeight="1">
      <x:c r="B50" s="78">
        <x:f>$B25</x:f>
        <x:v>0</x:v>
      </x:c>
      <x:c r="C50" s="79">
        <x:f>IF($V$2=0,$C25,$J25)</x:f>
        <x:v>0</x:v>
      </x:c>
      <x:c r="D50" s="79">
        <x:f>IF($V$2=0,$D25,$K25)</x:f>
        <x:v>0</x:v>
      </x:c>
      <x:c r="E50" s="79">
        <x:f>IF($V$2=0,$E25,$L25)</x:f>
        <x:v>0</x:v>
      </x:c>
      <x:c r="F50" s="79">
        <x:f>IF($V$2=0,$F25,$M25)</x:f>
        <x:v>0</x:v>
      </x:c>
      <x:c r="G50" s="133"/>
      <x:c r="H50" s="136"/>
      <x:c r="I50" s="71"/>
      <x:c r="J50" s="72"/>
      <x:c r="K50" s="72"/>
      <x:c r="L50" s="72"/>
      <x:c r="M50" s="72"/>
      <x:c r="N50" s="73"/>
      <x:c r="O50" s="74"/>
    </x:row>
    <x:row r="51" spans="2:15" ht="24.949999999999999" customHeight="1">
      <x:c r="B51" s="78">
        <x:f>$B26</x:f>
        <x:v>0</x:v>
      </x:c>
      <x:c r="C51" s="79">
        <x:f>IF($V$2=0,$C26,$J26)</x:f>
        <x:v>0</x:v>
      </x:c>
      <x:c r="D51" s="79">
        <x:f>IF($V$2=0,$D26,$K26)</x:f>
        <x:v>0</x:v>
      </x:c>
      <x:c r="E51" s="79">
        <x:f>IF($V$2=0,$E26,$L26)</x:f>
        <x:v>0</x:v>
      </x:c>
      <x:c r="F51" s="79">
        <x:f>IF($V$2=0,$F26,$M26)</x:f>
        <x:v>0</x:v>
      </x:c>
      <x:c r="G51" s="133"/>
      <x:c r="H51" s="136"/>
      <x:c r="I51" s="71"/>
      <x:c r="J51" s="72"/>
      <x:c r="K51" s="72"/>
      <x:c r="L51" s="72"/>
      <x:c r="M51" s="72"/>
      <x:c r="N51" s="73"/>
      <x:c r="O51" s="74"/>
    </x:row>
    <x:row r="52" spans="2:15" ht="24.949999999999999" customHeight="1">
      <x:c r="B52" s="78">
        <x:f>$B27</x:f>
        <x:v>0</x:v>
      </x:c>
      <x:c r="C52" s="79">
        <x:f>IF($V$2=0,$C27,$J27)</x:f>
        <x:v>0</x:v>
      </x:c>
      <x:c r="D52" s="79">
        <x:f>IF($V$2=0,$D27,$K27)</x:f>
        <x:v>0</x:v>
      </x:c>
      <x:c r="E52" s="79">
        <x:f>IF($V$2=0,$E27,$L27)</x:f>
        <x:v>0</x:v>
      </x:c>
      <x:c r="F52" s="79">
        <x:f>IF($V$2=0,$F27,$M27)</x:f>
        <x:v>0</x:v>
      </x:c>
      <x:c r="G52" s="133"/>
      <x:c r="H52" s="136"/>
      <x:c r="I52" s="71"/>
      <x:c r="J52" s="72"/>
      <x:c r="K52" s="72"/>
      <x:c r="L52" s="72"/>
      <x:c r="M52" s="72"/>
      <x:c r="N52" s="73"/>
      <x:c r="O52" s="74"/>
    </x:row>
    <x:row r="53" spans="2:15" ht="24.949999999999999" customHeight="1">
      <x:c r="B53" s="78">
        <x:f>$B28</x:f>
        <x:v>0</x:v>
      </x:c>
      <x:c r="C53" s="79">
        <x:f>IF($V$2=0,$C28,$J28)</x:f>
        <x:v>0</x:v>
      </x:c>
      <x:c r="D53" s="79">
        <x:f>IF($V$2=0,$D28,$K28)</x:f>
        <x:v>0</x:v>
      </x:c>
      <x:c r="E53" s="79">
        <x:f>IF($V$2=0,$E28,$L28)</x:f>
        <x:v>0</x:v>
      </x:c>
      <x:c r="F53" s="79">
        <x:f>IF($V$2=0,$F28,$M28)</x:f>
        <x:v>0</x:v>
      </x:c>
      <x:c r="G53" s="133"/>
      <x:c r="H53" s="136"/>
      <x:c r="I53" s="71"/>
      <x:c r="J53" s="72"/>
      <x:c r="K53" s="72"/>
      <x:c r="L53" s="72"/>
      <x:c r="M53" s="72"/>
      <x:c r="N53" s="73"/>
      <x:c r="O53" s="74"/>
    </x:row>
    <x:row r="54" spans="2:15" ht="24.949999999999999" customHeight="1">
      <x:c r="B54" s="80"/>
      <x:c r="C54" s="81">
        <x:f>SUM(C49:C53)</x:f>
        <x:v>0</x:v>
      </x:c>
      <x:c r="D54" s="81">
        <x:f>SUM(D49:D53)</x:f>
        <x:v>0</x:v>
      </x:c>
      <x:c r="E54" s="81">
        <x:f>SUM(E49:E53)</x:f>
        <x:v>0</x:v>
      </x:c>
      <x:c r="F54" s="81">
        <x:f>SUM(F49:F53)</x:f>
        <x:v>0</x:v>
      </x:c>
      <x:c r="G54" s="134"/>
      <x:c r="H54" s="137"/>
      <x:c r="I54" s="71"/>
      <x:c r="J54" s="75"/>
      <x:c r="K54" s="75"/>
      <x:c r="L54" s="75"/>
      <x:c r="M54" s="75"/>
      <x:c r="N54" s="73"/>
      <x:c r="O54" s="74"/>
    </x:row>
    <x:row r="55" ht="24.949999999999999" customHeight="1"/>
    <x:row r="56" ht="24.949999999999999" customHeight="1"/>
    <x:row r="57" ht="24.949999999999999" customHeight="1"/>
    <x:row r="58" spans="1:15" ht="60" customHeight="1">
      <x:c r="A58" s="112" t="str">
        <x:f>A1</x:f>
        <x:v>2026 아르케 존 00회 번개 모임 점수</x:v>
      </x:c>
      <x:c r="B58" s="112"/>
      <x:c r="C58" s="112"/>
      <x:c r="D58" s="112"/>
      <x:c r="E58" s="112"/>
      <x:c r="F58" s="112"/>
      <x:c r="G58" s="112"/>
      <x:c r="H58" s="112"/>
      <x:c r="I58" s="112"/>
      <x:c r="J58" s="112"/>
      <x:c r="K58" s="112"/>
      <x:c r="L58" s="112"/>
      <x:c r="M58" s="112"/>
      <x:c r="N58" s="112"/>
      <x:c r="O58" s="112"/>
    </x:row>
    <x:row r="59" spans="1:15" ht="24.949999999999999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4" t="s">
        <x:v>48</x:v>
      </x:c>
      <x:c r="M59" s="34"/>
      <x:c r="N59" s="113">
        <x:f>N2</x:f>
        <x:v>46113</x:v>
      </x:c>
      <x:c r="O59" s="114"/>
    </x:row>
    <x:row r="60" spans="1:15" ht="24.949999999999999" customHeight="1">
      <x:c r="A60" s="13"/>
      <x:c r="B60" s="14" t="s">
        <x:v>14</x:v>
      </x:c>
      <x:c r="C60" s="14" t="s">
        <x:v>44</x:v>
      </x:c>
      <x:c r="D60" s="14" t="s">
        <x:v>55</x:v>
      </x:c>
      <x:c r="E60" s="14" t="s">
        <x:v>54</x:v>
      </x:c>
      <x:c r="F60" s="14" t="s">
        <x:v>53</x:v>
      </x:c>
      <x:c r="G60" s="14" t="s">
        <x:v>52</x:v>
      </x:c>
      <x:c r="H60" s="14" t="s">
        <x:v>47</x:v>
      </x:c>
      <x:c r="I60" s="15" t="s">
        <x:v>41</x:v>
      </x:c>
      <x:c r="J60" s="14" t="s">
        <x:v>44</x:v>
      </x:c>
      <x:c r="K60" s="14" t="s">
        <x:v>55</x:v>
      </x:c>
      <x:c r="L60" s="14" t="s">
        <x:v>54</x:v>
      </x:c>
      <x:c r="M60" s="14" t="s">
        <x:v>53</x:v>
      </x:c>
      <x:c r="N60" s="16" t="s">
        <x:v>52</x:v>
      </x:c>
      <x:c r="O60" s="17" t="s">
        <x:v>56</x:v>
      </x:c>
    </x:row>
    <x:row r="61" spans="1:15" ht="24.949999999999999" customHeight="1">
      <x:c r="A61" s="18">
        <x:v>1</x:v>
      </x:c>
      <x:c r="B61" s="19">
        <x:f t="array" ref="B61:B61">INDEX($B$4:$O$33,MATCH($A61,$W$4:$W$33,0),COLUMN(A$1))</x:f>
        <x:v>0</x:v>
      </x:c>
      <x:c r="C61" s="20">
        <x:f t="array" ref="C61:C61">INDEX($B$4:$O$33,MATCH($A61,$W$4:$W$33,0),COLUMN(B$1))</x:f>
        <x:v>0</x:v>
      </x:c>
      <x:c r="D61" s="20">
        <x:f t="array" ref="D61:D61">INDEX($B$4:$O$33,MATCH($A61,$W$4:$W$33,0),COLUMN(C$1))</x:f>
        <x:v>0</x:v>
      </x:c>
      <x:c r="E61" s="20">
        <x:f t="array" ref="E61:E61">INDEX($B$4:$O$33,MATCH($A61,$W$4:$W$33,0),COLUMN(D$1))</x:f>
        <x:v>0</x:v>
      </x:c>
      <x:c r="F61" s="20">
        <x:f t="array" ref="F61:F61">INDEX($B$4:$O$33,MATCH($A61,$W$4:$W$33,0),COLUMN(E$1))</x:f>
        <x:v>0</x:v>
      </x:c>
      <x:c r="G61" s="21">
        <x:f>SUM(C61:F61)</x:f>
        <x:v>0</x:v>
      </x:c>
      <x:c r="H61" s="22">
        <x:f>G61/4</x:f>
        <x:v>0</x:v>
      </x:c>
      <x:c r="I61" s="23" t="str">
        <x:f>IF(B61="","",IFERROR(INDEX('회원명단 및 기준에버'!D:G,MATCH(B61,'회원명단 및 기준에버'!$C:$C,0),CHOOSE(INT((MONTH($N$2)-1)/3)+1,1,2,3,4)),""))</x:f>
        <x:v/>
      </x:c>
      <x:c r="J61" s="5">
        <x:f>IFERROR(C61+-I61,0)</x:f>
        <x:v>0</x:v>
      </x:c>
      <x:c r="K61" s="5">
        <x:f>IFERROR(D61+-I61,0)</x:f>
        <x:v>0</x:v>
      </x:c>
      <x:c r="L61" s="5">
        <x:f>IFERROR(E61+-I61,0)</x:f>
        <x:v>0</x:v>
      </x:c>
      <x:c r="M61" s="5">
        <x:f>IFERROR(F61+-I61,0)</x:f>
        <x:v>0</x:v>
      </x:c>
      <x:c r="N61" s="6">
        <x:f>SUM(J61:M61)</x:f>
        <x:v>0</x:v>
      </x:c>
      <x:c r="O61" s="24">
        <x:f>IFERROR(H61+-I61,0)</x:f>
        <x:v>0</x:v>
      </x:c>
    </x:row>
    <x:row r="62" spans="1:15" ht="24.949999999999999" customHeight="1">
      <x:c r="A62" s="18">
        <x:v>2</x:v>
      </x:c>
      <x:c r="B62" s="19">
        <x:f t="array" ref="B62:B62">INDEX($B$4:$O$33,MATCH($A62,$W$4:$W$33,0),COLUMN(A$1))</x:f>
        <x:v>0</x:v>
      </x:c>
      <x:c r="C62" s="20">
        <x:f t="array" ref="C62:C62">INDEX($B$4:$O$33,MATCH($A62,$W$4:$W$33,0),COLUMN(B$1))</x:f>
        <x:v>0</x:v>
      </x:c>
      <x:c r="D62" s="20">
        <x:f t="array" ref="D62:D62">INDEX($B$4:$O$33,MATCH($A62,$W$4:$W$33,0),COLUMN(C$1))</x:f>
        <x:v>0</x:v>
      </x:c>
      <x:c r="E62" s="20">
        <x:f t="array" ref="E62:E62">INDEX($B$4:$O$33,MATCH($A62,$W$4:$W$33,0),COLUMN(D$1))</x:f>
        <x:v>0</x:v>
      </x:c>
      <x:c r="F62" s="20">
        <x:f t="array" ref="F62:F62">INDEX($B$4:$O$33,MATCH($A62,$W$4:$W$33,0),COLUMN(E$1))</x:f>
        <x:v>0</x:v>
      </x:c>
      <x:c r="G62" s="21">
        <x:f t="shared" ref="G62:G90" si="15">SUM(C62:F62)</x:f>
        <x:v>0</x:v>
      </x:c>
      <x:c r="H62" s="22">
        <x:f t="shared" ref="H62:H90" si="16">G62/4</x:f>
        <x:v>0</x:v>
      </x:c>
      <x:c r="I62" s="23" t="str">
        <x:f>IF(B62="","",IFERROR(INDEX('회원명단 및 기준에버'!D:G,MATCH(B62,'회원명단 및 기준에버'!$C:$C,0),CHOOSE(INT((MONTH($N$2)-1)/3)+1,1,2,3,4)),""))</x:f>
        <x:v/>
      </x:c>
      <x:c r="J62" s="5">
        <x:f>IFERROR(C62+-I62,0)</x:f>
        <x:v>0</x:v>
      </x:c>
      <x:c r="K62" s="5">
        <x:f>IFERROR(D62+-I62,0)</x:f>
        <x:v>0</x:v>
      </x:c>
      <x:c r="L62" s="5">
        <x:f>IFERROR(E62+-I62,0)</x:f>
        <x:v>0</x:v>
      </x:c>
      <x:c r="M62" s="5">
        <x:f t="shared" ref="M62:M90" si="17">IFERROR(F62+-I62,0)</x:f>
        <x:v>0</x:v>
      </x:c>
      <x:c r="N62" s="6">
        <x:f t="shared" ref="N62:N90" si="18">SUM(J62:M62)</x:f>
        <x:v>0</x:v>
      </x:c>
      <x:c r="O62" s="24">
        <x:f>IFERROR(H62+-I62,0)</x:f>
        <x:v>0</x:v>
      </x:c>
    </x:row>
    <x:row r="63" spans="1:15" ht="24.949999999999999" customHeight="1">
      <x:c r="A63" s="18">
        <x:v>3</x:v>
      </x:c>
      <x:c r="B63" s="19">
        <x:f t="array" ref="B63:B63">INDEX($B$4:$O$33,MATCH($A63,$W$4:$W$33,0),COLUMN(A$1))</x:f>
        <x:v>0</x:v>
      </x:c>
      <x:c r="C63" s="20">
        <x:f t="array" ref="C63:C63">INDEX($B$4:$O$33,MATCH($A63,$W$4:$W$33,0),COLUMN(B$1))</x:f>
        <x:v>0</x:v>
      </x:c>
      <x:c r="D63" s="20">
        <x:f t="array" ref="D63:D63">INDEX($B$4:$O$33,MATCH($A63,$W$4:$W$33,0),COLUMN(C$1))</x:f>
        <x:v>0</x:v>
      </x:c>
      <x:c r="E63" s="20">
        <x:f t="array" ref="E63:E63">INDEX($B$4:$O$33,MATCH($A63,$W$4:$W$33,0),COLUMN(D$1))</x:f>
        <x:v>0</x:v>
      </x:c>
      <x:c r="F63" s="20">
        <x:f t="array" ref="F63:F63">INDEX($B$4:$O$33,MATCH($A63,$W$4:$W$33,0),COLUMN(E$1))</x:f>
        <x:v>0</x:v>
      </x:c>
      <x:c r="G63" s="21">
        <x:f t="shared" si="15"/>
        <x:v>0</x:v>
      </x:c>
      <x:c r="H63" s="22">
        <x:f t="shared" si="16"/>
        <x:v>0</x:v>
      </x:c>
      <x:c r="I63" s="23" t="str">
        <x:f>IF(B63="","",IFERROR(INDEX('회원명단 및 기준에버'!D:G,MATCH(B63,'회원명단 및 기준에버'!$C:$C,0),CHOOSE(INT((MONTH($N$2)-1)/3)+1,1,2,3,4)),""))</x:f>
        <x:v/>
      </x:c>
      <x:c r="J63" s="5">
        <x:f t="shared" ref="J63:J90" si="19">IFERROR(C63+-I63,0)</x:f>
        <x:v>0</x:v>
      </x:c>
      <x:c r="K63" s="5">
        <x:f t="shared" ref="K63:K90" si="20">IFERROR(D63+-I63,0)</x:f>
        <x:v>0</x:v>
      </x:c>
      <x:c r="L63" s="5">
        <x:f t="shared" ref="L63:L90" si="21">IFERROR(E63+-I63,0)</x:f>
        <x:v>0</x:v>
      </x:c>
      <x:c r="M63" s="5">
        <x:f t="shared" si="17"/>
        <x:v>0</x:v>
      </x:c>
      <x:c r="N63" s="6">
        <x:f t="shared" si="18"/>
        <x:v>0</x:v>
      </x:c>
      <x:c r="O63" s="24">
        <x:f t="shared" ref="O63:O90" si="22">IFERROR(H63+-I63,0)</x:f>
        <x:v>0</x:v>
      </x:c>
    </x:row>
    <x:row r="64" spans="1:15" ht="24.949999999999999" customHeight="1">
      <x:c r="A64" s="18">
        <x:v>4</x:v>
      </x:c>
      <x:c r="B64" s="19">
        <x:f t="array" ref="B64:B64">INDEX($B$4:$O$33,MATCH($A64,$W$4:$W$33,0),COLUMN(A$1))</x:f>
        <x:v>0</x:v>
      </x:c>
      <x:c r="C64" s="20">
        <x:f t="array" ref="C64:C64">INDEX($B$4:$O$33,MATCH($A64,$W$4:$W$33,0),COLUMN(B$1))</x:f>
        <x:v>0</x:v>
      </x:c>
      <x:c r="D64" s="20">
        <x:f t="array" ref="D64:D64">INDEX($B$4:$O$33,MATCH($A64,$W$4:$W$33,0),COLUMN(C$1))</x:f>
        <x:v>0</x:v>
      </x:c>
      <x:c r="E64" s="20">
        <x:f t="array" ref="E64:E64">INDEX($B$4:$O$33,MATCH($A64,$W$4:$W$33,0),COLUMN(D$1))</x:f>
        <x:v>0</x:v>
      </x:c>
      <x:c r="F64" s="20">
        <x:f t="array" ref="F64:F64">INDEX($B$4:$O$33,MATCH($A64,$W$4:$W$33,0),COLUMN(E$1))</x:f>
        <x:v>0</x:v>
      </x:c>
      <x:c r="G64" s="21">
        <x:f t="shared" si="15"/>
        <x:v>0</x:v>
      </x:c>
      <x:c r="H64" s="22">
        <x:f t="shared" si="16"/>
        <x:v>0</x:v>
      </x:c>
      <x:c r="I64" s="23" t="str">
        <x:f>IF(B64="","",IFERROR(INDEX('회원명단 및 기준에버'!D:G,MATCH(B64,'회원명단 및 기준에버'!$C:$C,0),CHOOSE(INT((MONTH($N$2)-1)/3)+1,1,2,3,4)),""))</x:f>
        <x:v/>
      </x:c>
      <x:c r="J64" s="5">
        <x:f t="shared" si="19"/>
        <x:v>0</x:v>
      </x:c>
      <x:c r="K64" s="5">
        <x:f t="shared" si="20"/>
        <x:v>0</x:v>
      </x:c>
      <x:c r="L64" s="5">
        <x:f t="shared" si="21"/>
        <x:v>0</x:v>
      </x:c>
      <x:c r="M64" s="5">
        <x:f t="shared" si="17"/>
        <x:v>0</x:v>
      </x:c>
      <x:c r="N64" s="6">
        <x:f t="shared" si="18"/>
        <x:v>0</x:v>
      </x:c>
      <x:c r="O64" s="24">
        <x:f t="shared" si="22"/>
        <x:v>0</x:v>
      </x:c>
    </x:row>
    <x:row r="65" spans="1:15" ht="24.949999999999999" customHeight="1">
      <x:c r="A65" s="18">
        <x:v>5</x:v>
      </x:c>
      <x:c r="B65" s="19">
        <x:f t="array" ref="B65:B65">INDEX($B$4:$O$33,MATCH($A65,$W$4:$W$33,0),COLUMN(A$1))</x:f>
        <x:v>0</x:v>
      </x:c>
      <x:c r="C65" s="20">
        <x:f t="array" ref="C65:C65">INDEX($B$4:$O$33,MATCH($A65,$W$4:$W$33,0),COLUMN(B$1))</x:f>
        <x:v>0</x:v>
      </x:c>
      <x:c r="D65" s="20">
        <x:f t="array" ref="D65:D65">INDEX($B$4:$O$33,MATCH($A65,$W$4:$W$33,0),COLUMN(C$1))</x:f>
        <x:v>0</x:v>
      </x:c>
      <x:c r="E65" s="20">
        <x:f t="array" ref="E65:E65">INDEX($B$4:$O$33,MATCH($A65,$W$4:$W$33,0),COLUMN(D$1))</x:f>
        <x:v>0</x:v>
      </x:c>
      <x:c r="F65" s="20">
        <x:f t="array" ref="F65:F65">INDEX($B$4:$O$33,MATCH($A65,$W$4:$W$33,0),COLUMN(E$1))</x:f>
        <x:v>0</x:v>
      </x:c>
      <x:c r="G65" s="21">
        <x:f t="shared" si="15"/>
        <x:v>0</x:v>
      </x:c>
      <x:c r="H65" s="22">
        <x:f t="shared" si="16"/>
        <x:v>0</x:v>
      </x:c>
      <x:c r="I65" s="23" t="str">
        <x:f>IF(B65="","",IFERROR(INDEX('회원명단 및 기준에버'!D:G,MATCH(B65,'회원명단 및 기준에버'!$C:$C,0),CHOOSE(INT((MONTH($N$2)-1)/3)+1,1,2,3,4)),""))</x:f>
        <x:v/>
      </x:c>
      <x:c r="J65" s="5">
        <x:f t="shared" si="19"/>
        <x:v>0</x:v>
      </x:c>
      <x:c r="K65" s="5">
        <x:f t="shared" si="20"/>
        <x:v>0</x:v>
      </x:c>
      <x:c r="L65" s="5">
        <x:f t="shared" si="21"/>
        <x:v>0</x:v>
      </x:c>
      <x:c r="M65" s="5">
        <x:f t="shared" si="17"/>
        <x:v>0</x:v>
      </x:c>
      <x:c r="N65" s="6">
        <x:f t="shared" si="18"/>
        <x:v>0</x:v>
      </x:c>
      <x:c r="O65" s="24">
        <x:f t="shared" si="22"/>
        <x:v>0</x:v>
      </x:c>
    </x:row>
    <x:row r="66" spans="1:15" ht="24.949999999999999" customHeight="1">
      <x:c r="A66" s="18">
        <x:v>6</x:v>
      </x:c>
      <x:c r="B66" s="19">
        <x:f t="array" ref="B66:B66">INDEX($B$4:$O$33,MATCH($A66,$W$4:$W$33,0),COLUMN(A$1))</x:f>
        <x:v>0</x:v>
      </x:c>
      <x:c r="C66" s="20">
        <x:f t="array" ref="C66:C66">INDEX($B$4:$O$33,MATCH($A66,$W$4:$W$33,0),COLUMN(B$1))</x:f>
        <x:v>0</x:v>
      </x:c>
      <x:c r="D66" s="20">
        <x:f t="array" ref="D66:D66">INDEX($B$4:$O$33,MATCH($A66,$W$4:$W$33,0),COLUMN(C$1))</x:f>
        <x:v>0</x:v>
      </x:c>
      <x:c r="E66" s="20">
        <x:f t="array" ref="E66:E66">INDEX($B$4:$O$33,MATCH($A66,$W$4:$W$33,0),COLUMN(D$1))</x:f>
        <x:v>0</x:v>
      </x:c>
      <x:c r="F66" s="20">
        <x:f t="array" ref="F66:F66">INDEX($B$4:$O$33,MATCH($A66,$W$4:$W$33,0),COLUMN(E$1))</x:f>
        <x:v>0</x:v>
      </x:c>
      <x:c r="G66" s="21">
        <x:f t="shared" si="15"/>
        <x:v>0</x:v>
      </x:c>
      <x:c r="H66" s="22">
        <x:f t="shared" si="16"/>
        <x:v>0</x:v>
      </x:c>
      <x:c r="I66" s="23" t="str">
        <x:f>IF(B66="","",IFERROR(INDEX('회원명단 및 기준에버'!D:G,MATCH(B66,'회원명단 및 기준에버'!$C:$C,0),CHOOSE(INT((MONTH($N$2)-1)/3)+1,1,2,3,4)),""))</x:f>
        <x:v/>
      </x:c>
      <x:c r="J66" s="5">
        <x:f t="shared" si="19"/>
        <x:v>0</x:v>
      </x:c>
      <x:c r="K66" s="5">
        <x:f t="shared" si="20"/>
        <x:v>0</x:v>
      </x:c>
      <x:c r="L66" s="5">
        <x:f t="shared" si="21"/>
        <x:v>0</x:v>
      </x:c>
      <x:c r="M66" s="5">
        <x:f t="shared" si="17"/>
        <x:v>0</x:v>
      </x:c>
      <x:c r="N66" s="6">
        <x:f t="shared" si="18"/>
        <x:v>0</x:v>
      </x:c>
      <x:c r="O66" s="24">
        <x:f t="shared" si="22"/>
        <x:v>0</x:v>
      </x:c>
    </x:row>
    <x:row r="67" spans="1:15" ht="24.949999999999999" customHeight="1">
      <x:c r="A67" s="18">
        <x:v>7</x:v>
      </x:c>
      <x:c r="B67" s="19">
        <x:f t="array" ref="B67:B67">INDEX($B$4:$O$33,MATCH($A67,$W$4:$W$33,0),COLUMN(A$1))</x:f>
        <x:v>0</x:v>
      </x:c>
      <x:c r="C67" s="20">
        <x:f t="array" ref="C67:C67">INDEX($B$4:$O$33,MATCH($A67,$W$4:$W$33,0),COLUMN(B$1))</x:f>
        <x:v>0</x:v>
      </x:c>
      <x:c r="D67" s="20">
        <x:f t="array" ref="D67:D67">INDEX($B$4:$O$33,MATCH($A67,$W$4:$W$33,0),COLUMN(C$1))</x:f>
        <x:v>0</x:v>
      </x:c>
      <x:c r="E67" s="20">
        <x:f t="array" ref="E67:E67">INDEX($B$4:$O$33,MATCH($A67,$W$4:$W$33,0),COLUMN(D$1))</x:f>
        <x:v>0</x:v>
      </x:c>
      <x:c r="F67" s="20">
        <x:f t="array" ref="F67:F67">INDEX($B$4:$O$33,MATCH($A67,$W$4:$W$33,0),COLUMN(E$1))</x:f>
        <x:v>0</x:v>
      </x:c>
      <x:c r="G67" s="21">
        <x:f t="shared" si="15"/>
        <x:v>0</x:v>
      </x:c>
      <x:c r="H67" s="22">
        <x:f t="shared" si="16"/>
        <x:v>0</x:v>
      </x:c>
      <x:c r="I67" s="23" t="str">
        <x:f>IF(B67="","",IFERROR(INDEX('회원명단 및 기준에버'!D:G,MATCH(B67,'회원명단 및 기준에버'!$C:$C,0),CHOOSE(INT((MONTH($N$2)-1)/3)+1,1,2,3,4)),""))</x:f>
        <x:v/>
      </x:c>
      <x:c r="J67" s="5">
        <x:f t="shared" si="19"/>
        <x:v>0</x:v>
      </x:c>
      <x:c r="K67" s="5">
        <x:f t="shared" si="20"/>
        <x:v>0</x:v>
      </x:c>
      <x:c r="L67" s="5">
        <x:f t="shared" si="21"/>
        <x:v>0</x:v>
      </x:c>
      <x:c r="M67" s="5">
        <x:f t="shared" si="17"/>
        <x:v>0</x:v>
      </x:c>
      <x:c r="N67" s="6">
        <x:f t="shared" si="18"/>
        <x:v>0</x:v>
      </x:c>
      <x:c r="O67" s="24">
        <x:f t="shared" si="22"/>
        <x:v>0</x:v>
      </x:c>
    </x:row>
    <x:row r="68" spans="1:15" ht="24.949999999999999" customHeight="1">
      <x:c r="A68" s="18">
        <x:v>8</x:v>
      </x:c>
      <x:c r="B68" s="19">
        <x:f t="array" ref="B68:B68">INDEX($B$4:$O$33,MATCH($A68,$W$4:$W$33,0),COLUMN(A$1))</x:f>
        <x:v>0</x:v>
      </x:c>
      <x:c r="C68" s="20">
        <x:f t="array" ref="C68:C68">INDEX($B$4:$O$33,MATCH($A68,$W$4:$W$33,0),COLUMN(B$1))</x:f>
        <x:v>0</x:v>
      </x:c>
      <x:c r="D68" s="20">
        <x:f t="array" ref="D68:D68">INDEX($B$4:$O$33,MATCH($A68,$W$4:$W$33,0),COLUMN(C$1))</x:f>
        <x:v>0</x:v>
      </x:c>
      <x:c r="E68" s="20">
        <x:f t="array" ref="E68:E68">INDEX($B$4:$O$33,MATCH($A68,$W$4:$W$33,0),COLUMN(D$1))</x:f>
        <x:v>0</x:v>
      </x:c>
      <x:c r="F68" s="20">
        <x:f t="array" ref="F68:F68">INDEX($B$4:$O$33,MATCH($A68,$W$4:$W$33,0),COLUMN(E$1))</x:f>
        <x:v>0</x:v>
      </x:c>
      <x:c r="G68" s="21">
        <x:f t="shared" si="15"/>
        <x:v>0</x:v>
      </x:c>
      <x:c r="H68" s="22">
        <x:f t="shared" si="16"/>
        <x:v>0</x:v>
      </x:c>
      <x:c r="I68" s="23" t="str">
        <x:f>IF(B68="","",IFERROR(INDEX('회원명단 및 기준에버'!D:G,MATCH(B68,'회원명단 및 기준에버'!$C:$C,0),CHOOSE(INT((MONTH($N$2)-1)/3)+1,1,2,3,4)),""))</x:f>
        <x:v/>
      </x:c>
      <x:c r="J68" s="5">
        <x:f t="shared" si="19"/>
        <x:v>0</x:v>
      </x:c>
      <x:c r="K68" s="5">
        <x:f t="shared" si="20"/>
        <x:v>0</x:v>
      </x:c>
      <x:c r="L68" s="5">
        <x:f t="shared" si="21"/>
        <x:v>0</x:v>
      </x:c>
      <x:c r="M68" s="5">
        <x:f t="shared" si="17"/>
        <x:v>0</x:v>
      </x:c>
      <x:c r="N68" s="6">
        <x:f t="shared" si="18"/>
        <x:v>0</x:v>
      </x:c>
      <x:c r="O68" s="24">
        <x:f t="shared" si="22"/>
        <x:v>0</x:v>
      </x:c>
    </x:row>
    <x:row r="69" spans="1:15" ht="24.949999999999999" customHeight="1">
      <x:c r="A69" s="18">
        <x:v>9</x:v>
      </x:c>
      <x:c r="B69" s="19">
        <x:f t="array" ref="B69:B69">INDEX($B$4:$O$33,MATCH($A69,$W$4:$W$33,0),COLUMN(A$1))</x:f>
        <x:v>0</x:v>
      </x:c>
      <x:c r="C69" s="20">
        <x:f t="array" ref="C69:C69">INDEX($B$4:$O$33,MATCH($A69,$W$4:$W$33,0),COLUMN(B$1))</x:f>
        <x:v>0</x:v>
      </x:c>
      <x:c r="D69" s="20">
        <x:f t="array" ref="D69:D69">INDEX($B$4:$O$33,MATCH($A69,$W$4:$W$33,0),COLUMN(C$1))</x:f>
        <x:v>0</x:v>
      </x:c>
      <x:c r="E69" s="20">
        <x:f t="array" ref="E69:E69">INDEX($B$4:$O$33,MATCH($A69,$W$4:$W$33,0),COLUMN(D$1))</x:f>
        <x:v>0</x:v>
      </x:c>
      <x:c r="F69" s="20">
        <x:f t="array" ref="F69:F69">INDEX($B$4:$O$33,MATCH($A69,$W$4:$W$33,0),COLUMN(E$1))</x:f>
        <x:v>0</x:v>
      </x:c>
      <x:c r="G69" s="21">
        <x:f t="shared" si="15"/>
        <x:v>0</x:v>
      </x:c>
      <x:c r="H69" s="22">
        <x:f t="shared" si="16"/>
        <x:v>0</x:v>
      </x:c>
      <x:c r="I69" s="23" t="str">
        <x:f>IF(B69="","",IFERROR(INDEX('회원명단 및 기준에버'!D:G,MATCH(B69,'회원명단 및 기준에버'!$C:$C,0),CHOOSE(INT((MONTH($N$2)-1)/3)+1,1,2,3,4)),""))</x:f>
        <x:v/>
      </x:c>
      <x:c r="J69" s="5">
        <x:f t="shared" si="19"/>
        <x:v>0</x:v>
      </x:c>
      <x:c r="K69" s="5">
        <x:f t="shared" si="20"/>
        <x:v>0</x:v>
      </x:c>
      <x:c r="L69" s="5">
        <x:f t="shared" si="21"/>
        <x:v>0</x:v>
      </x:c>
      <x:c r="M69" s="5">
        <x:f t="shared" si="17"/>
        <x:v>0</x:v>
      </x:c>
      <x:c r="N69" s="6">
        <x:f t="shared" si="18"/>
        <x:v>0</x:v>
      </x:c>
      <x:c r="O69" s="24">
        <x:f t="shared" si="22"/>
        <x:v>0</x:v>
      </x:c>
    </x:row>
    <x:row r="70" spans="1:15" ht="24.949999999999999" customHeight="1">
      <x:c r="A70" s="18">
        <x:v>10</x:v>
      </x:c>
      <x:c r="B70" s="19">
        <x:f t="array" ref="B70:B70">INDEX($B$4:$O$33,MATCH($A70,$W$4:$W$33,0),COLUMN(A$1))</x:f>
        <x:v>0</x:v>
      </x:c>
      <x:c r="C70" s="20">
        <x:f t="array" ref="C70:C70">INDEX($B$4:$O$33,MATCH($A70,$W$4:$W$33,0),COLUMN(B$1))</x:f>
        <x:v>0</x:v>
      </x:c>
      <x:c r="D70" s="20">
        <x:f t="array" ref="D70:D70">INDEX($B$4:$O$33,MATCH($A70,$W$4:$W$33,0),COLUMN(C$1))</x:f>
        <x:v>0</x:v>
      </x:c>
      <x:c r="E70" s="20">
        <x:f t="array" ref="E70:E70">INDEX($B$4:$O$33,MATCH($A70,$W$4:$W$33,0),COLUMN(D$1))</x:f>
        <x:v>0</x:v>
      </x:c>
      <x:c r="F70" s="20">
        <x:f t="array" ref="F70:F70">INDEX($B$4:$O$33,MATCH($A70,$W$4:$W$33,0),COLUMN(E$1))</x:f>
        <x:v>0</x:v>
      </x:c>
      <x:c r="G70" s="21">
        <x:f t="shared" si="15"/>
        <x:v>0</x:v>
      </x:c>
      <x:c r="H70" s="22">
        <x:f t="shared" si="16"/>
        <x:v>0</x:v>
      </x:c>
      <x:c r="I70" s="23" t="str">
        <x:f>IF(B70="","",IFERROR(INDEX('회원명단 및 기준에버'!D:G,MATCH(B70,'회원명단 및 기준에버'!$C:$C,0),CHOOSE(INT((MONTH($N$2)-1)/3)+1,1,2,3,4)),""))</x:f>
        <x:v/>
      </x:c>
      <x:c r="J70" s="5">
        <x:f t="shared" si="19"/>
        <x:v>0</x:v>
      </x:c>
      <x:c r="K70" s="5">
        <x:f t="shared" si="20"/>
        <x:v>0</x:v>
      </x:c>
      <x:c r="L70" s="5">
        <x:f t="shared" si="21"/>
        <x:v>0</x:v>
      </x:c>
      <x:c r="M70" s="5">
        <x:f t="shared" si="17"/>
        <x:v>0</x:v>
      </x:c>
      <x:c r="N70" s="6">
        <x:f t="shared" si="18"/>
        <x:v>0</x:v>
      </x:c>
      <x:c r="O70" s="24">
        <x:f t="shared" si="22"/>
        <x:v>0</x:v>
      </x:c>
    </x:row>
    <x:row r="71" spans="1:15" ht="24.949999999999999" customHeight="1">
      <x:c r="A71" s="18">
        <x:v>11</x:v>
      </x:c>
      <x:c r="B71" s="19">
        <x:f t="array" ref="B71:B71">INDEX($B$4:$O$33,MATCH($A71,$W$4:$W$33,0),COLUMN(A$1))</x:f>
        <x:v>0</x:v>
      </x:c>
      <x:c r="C71" s="20">
        <x:f t="array" ref="C71:C71">INDEX($B$4:$O$33,MATCH($A71,$W$4:$W$33,0),COLUMN(B$1))</x:f>
        <x:v>0</x:v>
      </x:c>
      <x:c r="D71" s="20">
        <x:f t="array" ref="D71:D71">INDEX($B$4:$O$33,MATCH($A71,$W$4:$W$33,0),COLUMN(C$1))</x:f>
        <x:v>0</x:v>
      </x:c>
      <x:c r="E71" s="20">
        <x:f t="array" ref="E71:E71">INDEX($B$4:$O$33,MATCH($A71,$W$4:$W$33,0),COLUMN(D$1))</x:f>
        <x:v>0</x:v>
      </x:c>
      <x:c r="F71" s="20">
        <x:f t="array" ref="F71:F71">INDEX($B$4:$O$33,MATCH($A71,$W$4:$W$33,0),COLUMN(E$1))</x:f>
        <x:v>0</x:v>
      </x:c>
      <x:c r="G71" s="21">
        <x:f t="shared" si="15"/>
        <x:v>0</x:v>
      </x:c>
      <x:c r="H71" s="22">
        <x:f t="shared" si="16"/>
        <x:v>0</x:v>
      </x:c>
      <x:c r="I71" s="23" t="str">
        <x:f>IF(B71="","",IFERROR(INDEX('회원명단 및 기준에버'!D:G,MATCH(B71,'회원명단 및 기준에버'!$C:$C,0),CHOOSE(INT((MONTH($N$2)-1)/3)+1,1,2,3,4)),""))</x:f>
        <x:v/>
      </x:c>
      <x:c r="J71" s="5">
        <x:f t="shared" si="19"/>
        <x:v>0</x:v>
      </x:c>
      <x:c r="K71" s="5">
        <x:f t="shared" si="20"/>
        <x:v>0</x:v>
      </x:c>
      <x:c r="L71" s="5">
        <x:f t="shared" si="21"/>
        <x:v>0</x:v>
      </x:c>
      <x:c r="M71" s="5">
        <x:f t="shared" si="17"/>
        <x:v>0</x:v>
      </x:c>
      <x:c r="N71" s="6">
        <x:f t="shared" si="18"/>
        <x:v>0</x:v>
      </x:c>
      <x:c r="O71" s="24">
        <x:f t="shared" si="22"/>
        <x:v>0</x:v>
      </x:c>
    </x:row>
    <x:row r="72" spans="1:15" ht="24.949999999999999" customHeight="1">
      <x:c r="A72" s="18">
        <x:v>12</x:v>
      </x:c>
      <x:c r="B72" s="19">
        <x:f t="array" ref="B72:B72">INDEX($B$4:$O$33,MATCH($A72,$W$4:$W$33,0),COLUMN(A$1))</x:f>
        <x:v>0</x:v>
      </x:c>
      <x:c r="C72" s="20">
        <x:f t="array" ref="C72:C72">INDEX($B$4:$O$33,MATCH($A72,$W$4:$W$33,0),COLUMN(B$1))</x:f>
        <x:v>0</x:v>
      </x:c>
      <x:c r="D72" s="20">
        <x:f t="array" ref="D72:D72">INDEX($B$4:$O$33,MATCH($A72,$W$4:$W$33,0),COLUMN(C$1))</x:f>
        <x:v>0</x:v>
      </x:c>
      <x:c r="E72" s="20">
        <x:f t="array" ref="E72:E72">INDEX($B$4:$O$33,MATCH($A72,$W$4:$W$33,0),COLUMN(D$1))</x:f>
        <x:v>0</x:v>
      </x:c>
      <x:c r="F72" s="20">
        <x:f t="array" ref="F72:F72">INDEX($B$4:$O$33,MATCH($A72,$W$4:$W$33,0),COLUMN(E$1))</x:f>
        <x:v>0</x:v>
      </x:c>
      <x:c r="G72" s="21">
        <x:f t="shared" si="15"/>
        <x:v>0</x:v>
      </x:c>
      <x:c r="H72" s="22">
        <x:f t="shared" si="16"/>
        <x:v>0</x:v>
      </x:c>
      <x:c r="I72" s="23" t="str">
        <x:f>IF(B72="","",IFERROR(INDEX('회원명단 및 기준에버'!D:G,MATCH(B72,'회원명단 및 기준에버'!$C:$C,0),CHOOSE(INT((MONTH($N$2)-1)/3)+1,1,2,3,4)),""))</x:f>
        <x:v/>
      </x:c>
      <x:c r="J72" s="5">
        <x:f t="shared" si="19"/>
        <x:v>0</x:v>
      </x:c>
      <x:c r="K72" s="5">
        <x:f t="shared" si="20"/>
        <x:v>0</x:v>
      </x:c>
      <x:c r="L72" s="5">
        <x:f t="shared" si="21"/>
        <x:v>0</x:v>
      </x:c>
      <x:c r="M72" s="5">
        <x:f t="shared" si="17"/>
        <x:v>0</x:v>
      </x:c>
      <x:c r="N72" s="6">
        <x:f t="shared" si="18"/>
        <x:v>0</x:v>
      </x:c>
      <x:c r="O72" s="24">
        <x:f t="shared" si="22"/>
        <x:v>0</x:v>
      </x:c>
    </x:row>
    <x:row r="73" spans="1:15" ht="24.949999999999999" customHeight="1">
      <x:c r="A73" s="18">
        <x:v>13</x:v>
      </x:c>
      <x:c r="B73" s="19">
        <x:f t="array" ref="B73:B73">INDEX($B$4:$O$33,MATCH($A73,$W$4:$W$33,0),COLUMN(A$1))</x:f>
        <x:v>0</x:v>
      </x:c>
      <x:c r="C73" s="20">
        <x:f t="array" ref="C73:C73">INDEX($B$4:$O$33,MATCH($A73,$W$4:$W$33,0),COLUMN(B$1))</x:f>
        <x:v>0</x:v>
      </x:c>
      <x:c r="D73" s="20">
        <x:f t="array" ref="D73:D73">INDEX($B$4:$O$33,MATCH($A73,$W$4:$W$33,0),COLUMN(C$1))</x:f>
        <x:v>0</x:v>
      </x:c>
      <x:c r="E73" s="20">
        <x:f t="array" ref="E73:E73">INDEX($B$4:$O$33,MATCH($A73,$W$4:$W$33,0),COLUMN(D$1))</x:f>
        <x:v>0</x:v>
      </x:c>
      <x:c r="F73" s="20">
        <x:f t="array" ref="F73:F73">INDEX($B$4:$O$33,MATCH($A73,$W$4:$W$33,0),COLUMN(E$1))</x:f>
        <x:v>0</x:v>
      </x:c>
      <x:c r="G73" s="21">
        <x:f t="shared" si="15"/>
        <x:v>0</x:v>
      </x:c>
      <x:c r="H73" s="22">
        <x:f t="shared" si="16"/>
        <x:v>0</x:v>
      </x:c>
      <x:c r="I73" s="23" t="str">
        <x:f>IF(B73="","",IFERROR(INDEX('회원명단 및 기준에버'!D:G,MATCH(B73,'회원명단 및 기준에버'!$C:$C,0),CHOOSE(INT((MONTH($N$2)-1)/3)+1,1,2,3,4)),""))</x:f>
        <x:v/>
      </x:c>
      <x:c r="J73" s="5">
        <x:f t="shared" si="19"/>
        <x:v>0</x:v>
      </x:c>
      <x:c r="K73" s="5">
        <x:f t="shared" si="20"/>
        <x:v>0</x:v>
      </x:c>
      <x:c r="L73" s="5">
        <x:f t="shared" si="21"/>
        <x:v>0</x:v>
      </x:c>
      <x:c r="M73" s="5">
        <x:f t="shared" si="17"/>
        <x:v>0</x:v>
      </x:c>
      <x:c r="N73" s="6">
        <x:f t="shared" si="18"/>
        <x:v>0</x:v>
      </x:c>
      <x:c r="O73" s="24">
        <x:f t="shared" si="22"/>
        <x:v>0</x:v>
      </x:c>
    </x:row>
    <x:row r="74" spans="1:15" ht="24.949999999999999" customHeight="1">
      <x:c r="A74" s="18">
        <x:v>14</x:v>
      </x:c>
      <x:c r="B74" s="19">
        <x:f t="array" ref="B74:B74">INDEX($B$4:$O$33,MATCH($A74,$W$4:$W$33,0),COLUMN(A$1))</x:f>
        <x:v>0</x:v>
      </x:c>
      <x:c r="C74" s="20">
        <x:f t="array" ref="C74:C74">INDEX($B$4:$O$33,MATCH($A74,$W$4:$W$33,0),COLUMN(B$1))</x:f>
        <x:v>0</x:v>
      </x:c>
      <x:c r="D74" s="20">
        <x:f t="array" ref="D74:D74">INDEX($B$4:$O$33,MATCH($A74,$W$4:$W$33,0),COLUMN(C$1))</x:f>
        <x:v>0</x:v>
      </x:c>
      <x:c r="E74" s="20">
        <x:f t="array" ref="E74:E74">INDEX($B$4:$O$33,MATCH($A74,$W$4:$W$33,0),COLUMN(D$1))</x:f>
        <x:v>0</x:v>
      </x:c>
      <x:c r="F74" s="20">
        <x:f t="array" ref="F74:F74">INDEX($B$4:$O$33,MATCH($A74,$W$4:$W$33,0),COLUMN(E$1))</x:f>
        <x:v>0</x:v>
      </x:c>
      <x:c r="G74" s="21">
        <x:f t="shared" si="15"/>
        <x:v>0</x:v>
      </x:c>
      <x:c r="H74" s="22">
        <x:f t="shared" si="16"/>
        <x:v>0</x:v>
      </x:c>
      <x:c r="I74" s="23" t="str">
        <x:f>IF(B74="","",IFERROR(INDEX('회원명단 및 기준에버'!D:G,MATCH(B74,'회원명단 및 기준에버'!$C:$C,0),CHOOSE(INT((MONTH($N$2)-1)/3)+1,1,2,3,4)),""))</x:f>
        <x:v/>
      </x:c>
      <x:c r="J74" s="5">
        <x:f t="shared" si="19"/>
        <x:v>0</x:v>
      </x:c>
      <x:c r="K74" s="5">
        <x:f t="shared" si="20"/>
        <x:v>0</x:v>
      </x:c>
      <x:c r="L74" s="5">
        <x:f t="shared" si="21"/>
        <x:v>0</x:v>
      </x:c>
      <x:c r="M74" s="5">
        <x:f t="shared" si="17"/>
        <x:v>0</x:v>
      </x:c>
      <x:c r="N74" s="6">
        <x:f t="shared" si="18"/>
        <x:v>0</x:v>
      </x:c>
      <x:c r="O74" s="24">
        <x:f t="shared" si="22"/>
        <x:v>0</x:v>
      </x:c>
    </x:row>
    <x:row r="75" spans="1:15" ht="24.949999999999999" customHeight="1">
      <x:c r="A75" s="18">
        <x:v>15</x:v>
      </x:c>
      <x:c r="B75" s="19">
        <x:f t="array" ref="B75:B75">INDEX($B$4:$O$33,MATCH($A75,$W$4:$W$33,0),COLUMN(A$1))</x:f>
        <x:v>0</x:v>
      </x:c>
      <x:c r="C75" s="20">
        <x:f t="array" ref="C75:C75">INDEX($B$4:$O$33,MATCH($A75,$W$4:$W$33,0),COLUMN(B$1))</x:f>
        <x:v>0</x:v>
      </x:c>
      <x:c r="D75" s="20">
        <x:f t="array" ref="D75:D75">INDEX($B$4:$O$33,MATCH($A75,$W$4:$W$33,0),COLUMN(C$1))</x:f>
        <x:v>0</x:v>
      </x:c>
      <x:c r="E75" s="20">
        <x:f t="array" ref="E75:E75">INDEX($B$4:$O$33,MATCH($A75,$W$4:$W$33,0),COLUMN(D$1))</x:f>
        <x:v>0</x:v>
      </x:c>
      <x:c r="F75" s="20">
        <x:f t="array" ref="F75:F75">INDEX($B$4:$O$33,MATCH($A75,$W$4:$W$33,0),COLUMN(E$1))</x:f>
        <x:v>0</x:v>
      </x:c>
      <x:c r="G75" s="21">
        <x:f t="shared" si="15"/>
        <x:v>0</x:v>
      </x:c>
      <x:c r="H75" s="22">
        <x:f t="shared" si="16"/>
        <x:v>0</x:v>
      </x:c>
      <x:c r="I75" s="23" t="str">
        <x:f>IF(B75="","",IFERROR(INDEX('회원명단 및 기준에버'!D:G,MATCH(B75,'회원명단 및 기준에버'!$C:$C,0),CHOOSE(INT((MONTH($N$2)-1)/3)+1,1,2,3,4)),""))</x:f>
        <x:v/>
      </x:c>
      <x:c r="J75" s="5">
        <x:f t="shared" si="19"/>
        <x:v>0</x:v>
      </x:c>
      <x:c r="K75" s="5">
        <x:f t="shared" si="20"/>
        <x:v>0</x:v>
      </x:c>
      <x:c r="L75" s="5">
        <x:f t="shared" si="21"/>
        <x:v>0</x:v>
      </x:c>
      <x:c r="M75" s="5">
        <x:f t="shared" si="17"/>
        <x:v>0</x:v>
      </x:c>
      <x:c r="N75" s="6">
        <x:f t="shared" si="18"/>
        <x:v>0</x:v>
      </x:c>
      <x:c r="O75" s="24">
        <x:f t="shared" si="22"/>
        <x:v>0</x:v>
      </x:c>
    </x:row>
    <x:row r="76" spans="1:15" ht="24.949999999999999" customHeight="1">
      <x:c r="A76" s="18">
        <x:v>16</x:v>
      </x:c>
      <x:c r="B76" s="19">
        <x:f t="array" ref="B76:B76">INDEX($B$4:$O$33,MATCH($A76,$W$4:$W$33,0),COLUMN(A$1))</x:f>
        <x:v>0</x:v>
      </x:c>
      <x:c r="C76" s="20">
        <x:f t="array" ref="C76:C76">INDEX($B$4:$O$33,MATCH($A76,$W$4:$W$33,0),COLUMN(B$1))</x:f>
        <x:v>0</x:v>
      </x:c>
      <x:c r="D76" s="20">
        <x:f t="array" ref="D76:D76">INDEX($B$4:$O$33,MATCH($A76,$W$4:$W$33,0),COLUMN(C$1))</x:f>
        <x:v>0</x:v>
      </x:c>
      <x:c r="E76" s="20">
        <x:f t="array" ref="E76:E76">INDEX($B$4:$O$33,MATCH($A76,$W$4:$W$33,0),COLUMN(D$1))</x:f>
        <x:v>0</x:v>
      </x:c>
      <x:c r="F76" s="20">
        <x:f t="array" ref="F76:F76">INDEX($B$4:$O$33,MATCH($A76,$W$4:$W$33,0),COLUMN(E$1))</x:f>
        <x:v>0</x:v>
      </x:c>
      <x:c r="G76" s="21">
        <x:f t="shared" si="15"/>
        <x:v>0</x:v>
      </x:c>
      <x:c r="H76" s="22">
        <x:f t="shared" si="16"/>
        <x:v>0</x:v>
      </x:c>
      <x:c r="I76" s="23" t="str">
        <x:f>IF(B76="","",IFERROR(INDEX('회원명단 및 기준에버'!D:G,MATCH(B76,'회원명단 및 기준에버'!$C:$C,0),CHOOSE(INT((MONTH($N$2)-1)/3)+1,1,2,3,4)),""))</x:f>
        <x:v/>
      </x:c>
      <x:c r="J76" s="5">
        <x:f t="shared" si="19"/>
        <x:v>0</x:v>
      </x:c>
      <x:c r="K76" s="5">
        <x:f t="shared" si="20"/>
        <x:v>0</x:v>
      </x:c>
      <x:c r="L76" s="5">
        <x:f t="shared" si="21"/>
        <x:v>0</x:v>
      </x:c>
      <x:c r="M76" s="5">
        <x:f t="shared" si="17"/>
        <x:v>0</x:v>
      </x:c>
      <x:c r="N76" s="6">
        <x:f t="shared" si="18"/>
        <x:v>0</x:v>
      </x:c>
      <x:c r="O76" s="24">
        <x:f t="shared" si="22"/>
        <x:v>0</x:v>
      </x:c>
    </x:row>
    <x:row r="77" spans="1:15" ht="24.949999999999999" customHeight="1">
      <x:c r="A77" s="18">
        <x:v>17</x:v>
      </x:c>
      <x:c r="B77" s="19">
        <x:f t="array" ref="B77:B77">INDEX($B$4:$O$33,MATCH($A77,$W$4:$W$33,0),COLUMN(A$1))</x:f>
        <x:v>0</x:v>
      </x:c>
      <x:c r="C77" s="20">
        <x:f t="array" ref="C77:C77">INDEX($B$4:$O$33,MATCH($A77,$W$4:$W$33,0),COLUMN(B$1))</x:f>
        <x:v>0</x:v>
      </x:c>
      <x:c r="D77" s="20">
        <x:f t="array" ref="D77:D77">INDEX($B$4:$O$33,MATCH($A77,$W$4:$W$33,0),COLUMN(C$1))</x:f>
        <x:v>0</x:v>
      </x:c>
      <x:c r="E77" s="20">
        <x:f t="array" ref="E77:E77">INDEX($B$4:$O$33,MATCH($A77,$W$4:$W$33,0),COLUMN(D$1))</x:f>
        <x:v>0</x:v>
      </x:c>
      <x:c r="F77" s="20">
        <x:f t="array" ref="F77:F77">INDEX($B$4:$O$33,MATCH($A77,$W$4:$W$33,0),COLUMN(E$1))</x:f>
        <x:v>0</x:v>
      </x:c>
      <x:c r="G77" s="21">
        <x:f t="shared" si="15"/>
        <x:v>0</x:v>
      </x:c>
      <x:c r="H77" s="22">
        <x:f t="shared" si="16"/>
        <x:v>0</x:v>
      </x:c>
      <x:c r="I77" s="23" t="str">
        <x:f>IF(B77="","",IFERROR(INDEX('회원명단 및 기준에버'!D:G,MATCH(B77,'회원명단 및 기준에버'!$C:$C,0),CHOOSE(INT((MONTH($N$2)-1)/3)+1,1,2,3,4)),""))</x:f>
        <x:v/>
      </x:c>
      <x:c r="J77" s="5">
        <x:f t="shared" si="19"/>
        <x:v>0</x:v>
      </x:c>
      <x:c r="K77" s="5">
        <x:f t="shared" si="20"/>
        <x:v>0</x:v>
      </x:c>
      <x:c r="L77" s="5">
        <x:f t="shared" si="21"/>
        <x:v>0</x:v>
      </x:c>
      <x:c r="M77" s="5">
        <x:f t="shared" si="17"/>
        <x:v>0</x:v>
      </x:c>
      <x:c r="N77" s="6">
        <x:f t="shared" si="18"/>
        <x:v>0</x:v>
      </x:c>
      <x:c r="O77" s="24">
        <x:f t="shared" si="22"/>
        <x:v>0</x:v>
      </x:c>
    </x:row>
    <x:row r="78" spans="1:15" ht="24.949999999999999" customHeight="1">
      <x:c r="A78" s="18">
        <x:v>18</x:v>
      </x:c>
      <x:c r="B78" s="19">
        <x:f t="array" ref="B78:B78">INDEX($B$4:$O$33,MATCH($A78,$W$4:$W$33,0),COLUMN(A$1))</x:f>
        <x:v>0</x:v>
      </x:c>
      <x:c r="C78" s="20">
        <x:f t="array" ref="C78:C78">INDEX($B$4:$O$33,MATCH($A78,$W$4:$W$33,0),COLUMN(B$1))</x:f>
        <x:v>0</x:v>
      </x:c>
      <x:c r="D78" s="20">
        <x:f t="array" ref="D78:D78">INDEX($B$4:$O$33,MATCH($A78,$W$4:$W$33,0),COLUMN(C$1))</x:f>
        <x:v>0</x:v>
      </x:c>
      <x:c r="E78" s="20">
        <x:f t="array" ref="E78:E78">INDEX($B$4:$O$33,MATCH($A78,$W$4:$W$33,0),COLUMN(D$1))</x:f>
        <x:v>0</x:v>
      </x:c>
      <x:c r="F78" s="20">
        <x:f t="array" ref="F78:F78">INDEX($B$4:$O$33,MATCH($A78,$W$4:$W$33,0),COLUMN(E$1))</x:f>
        <x:v>0</x:v>
      </x:c>
      <x:c r="G78" s="21">
        <x:f t="shared" si="15"/>
        <x:v>0</x:v>
      </x:c>
      <x:c r="H78" s="22">
        <x:f t="shared" si="16"/>
        <x:v>0</x:v>
      </x:c>
      <x:c r="I78" s="23" t="str">
        <x:f>IF(B78="","",IFERROR(INDEX('회원명단 및 기준에버'!D:G,MATCH(B78,'회원명단 및 기준에버'!$C:$C,0),CHOOSE(INT((MONTH($N$2)-1)/3)+1,1,2,3,4)),""))</x:f>
        <x:v/>
      </x:c>
      <x:c r="J78" s="5">
        <x:f t="shared" si="19"/>
        <x:v>0</x:v>
      </x:c>
      <x:c r="K78" s="5">
        <x:f t="shared" si="20"/>
        <x:v>0</x:v>
      </x:c>
      <x:c r="L78" s="5">
        <x:f t="shared" si="21"/>
        <x:v>0</x:v>
      </x:c>
      <x:c r="M78" s="5">
        <x:f t="shared" si="17"/>
        <x:v>0</x:v>
      </x:c>
      <x:c r="N78" s="6">
        <x:f t="shared" si="18"/>
        <x:v>0</x:v>
      </x:c>
      <x:c r="O78" s="24">
        <x:f t="shared" si="22"/>
        <x:v>0</x:v>
      </x:c>
    </x:row>
    <x:row r="79" spans="1:15" ht="24.949999999999999" customHeight="1">
      <x:c r="A79" s="18">
        <x:v>19</x:v>
      </x:c>
      <x:c r="B79" s="19">
        <x:f t="array" ref="B79:B79">INDEX($B$4:$O$33,MATCH($A79,$W$4:$W$33,0),COLUMN(A$1))</x:f>
        <x:v>0</x:v>
      </x:c>
      <x:c r="C79" s="20">
        <x:f t="array" ref="C79:C79">INDEX($B$4:$O$33,MATCH($A79,$W$4:$W$33,0),COLUMN(B$1))</x:f>
        <x:v>0</x:v>
      </x:c>
      <x:c r="D79" s="20">
        <x:f t="array" ref="D79:D79">INDEX($B$4:$O$33,MATCH($A79,$W$4:$W$33,0),COLUMN(C$1))</x:f>
        <x:v>0</x:v>
      </x:c>
      <x:c r="E79" s="20">
        <x:f t="array" ref="E79:E79">INDEX($B$4:$O$33,MATCH($A79,$W$4:$W$33,0),COLUMN(D$1))</x:f>
        <x:v>0</x:v>
      </x:c>
      <x:c r="F79" s="20">
        <x:f t="array" ref="F79:F79">INDEX($B$4:$O$33,MATCH($A79,$W$4:$W$33,0),COLUMN(E$1))</x:f>
        <x:v>0</x:v>
      </x:c>
      <x:c r="G79" s="21">
        <x:f t="shared" si="15"/>
        <x:v>0</x:v>
      </x:c>
      <x:c r="H79" s="22">
        <x:f t="shared" si="16"/>
        <x:v>0</x:v>
      </x:c>
      <x:c r="I79" s="23" t="str">
        <x:f>IF(B79="","",IFERROR(INDEX('회원명단 및 기준에버'!D:G,MATCH(B79,'회원명단 및 기준에버'!$C:$C,0),CHOOSE(INT((MONTH($N$2)-1)/3)+1,1,2,3,4)),""))</x:f>
        <x:v/>
      </x:c>
      <x:c r="J79" s="5">
        <x:f t="shared" si="19"/>
        <x:v>0</x:v>
      </x:c>
      <x:c r="K79" s="5">
        <x:f t="shared" si="20"/>
        <x:v>0</x:v>
      </x:c>
      <x:c r="L79" s="5">
        <x:f t="shared" si="21"/>
        <x:v>0</x:v>
      </x:c>
      <x:c r="M79" s="5">
        <x:f t="shared" si="17"/>
        <x:v>0</x:v>
      </x:c>
      <x:c r="N79" s="6">
        <x:f t="shared" si="18"/>
        <x:v>0</x:v>
      </x:c>
      <x:c r="O79" s="24">
        <x:f t="shared" si="22"/>
        <x:v>0</x:v>
      </x:c>
    </x:row>
    <x:row r="80" spans="1:15" ht="24.949999999999999" customHeight="1">
      <x:c r="A80" s="18">
        <x:v>20</x:v>
      </x:c>
      <x:c r="B80" s="19">
        <x:f t="array" ref="B80:B80">INDEX($B$4:$O$33,MATCH($A80,$W$4:$W$33,0),COLUMN(A$1))</x:f>
        <x:v>0</x:v>
      </x:c>
      <x:c r="C80" s="20">
        <x:f t="array" ref="C80:C80">INDEX($B$4:$O$33,MATCH($A80,$W$4:$W$33,0),COLUMN(B$1))</x:f>
        <x:v>0</x:v>
      </x:c>
      <x:c r="D80" s="20">
        <x:f t="array" ref="D80:D80">INDEX($B$4:$O$33,MATCH($A80,$W$4:$W$33,0),COLUMN(C$1))</x:f>
        <x:v>0</x:v>
      </x:c>
      <x:c r="E80" s="20">
        <x:f t="array" ref="E80:E80">INDEX($B$4:$O$33,MATCH($A80,$W$4:$W$33,0),COLUMN(D$1))</x:f>
        <x:v>0</x:v>
      </x:c>
      <x:c r="F80" s="20">
        <x:f t="array" ref="F80:F80">INDEX($B$4:$O$33,MATCH($A80,$W$4:$W$33,0),COLUMN(E$1))</x:f>
        <x:v>0</x:v>
      </x:c>
      <x:c r="G80" s="21">
        <x:f t="shared" si="15"/>
        <x:v>0</x:v>
      </x:c>
      <x:c r="H80" s="22">
        <x:f t="shared" si="16"/>
        <x:v>0</x:v>
      </x:c>
      <x:c r="I80" s="23" t="str">
        <x:f>IF(B80="","",IFERROR(INDEX('회원명단 및 기준에버'!D:G,MATCH(B80,'회원명단 및 기준에버'!$C:$C,0),CHOOSE(INT((MONTH($N$2)-1)/3)+1,1,2,3,4)),""))</x:f>
        <x:v/>
      </x:c>
      <x:c r="J80" s="5">
        <x:f t="shared" si="19"/>
        <x:v>0</x:v>
      </x:c>
      <x:c r="K80" s="5">
        <x:f t="shared" si="20"/>
        <x:v>0</x:v>
      </x:c>
      <x:c r="L80" s="5">
        <x:f t="shared" si="21"/>
        <x:v>0</x:v>
      </x:c>
      <x:c r="M80" s="5">
        <x:f t="shared" si="17"/>
        <x:v>0</x:v>
      </x:c>
      <x:c r="N80" s="6">
        <x:f t="shared" si="18"/>
        <x:v>0</x:v>
      </x:c>
      <x:c r="O80" s="24">
        <x:f t="shared" si="22"/>
        <x:v>0</x:v>
      </x:c>
    </x:row>
    <x:row r="81" spans="1:15" ht="24.949999999999999" customHeight="1">
      <x:c r="A81" s="18">
        <x:v>21</x:v>
      </x:c>
      <x:c r="B81" s="19">
        <x:f t="array" ref="B81:B81">INDEX($B$4:$O$33,MATCH($A81,$W$4:$W$33,0),COLUMN(A$1))</x:f>
        <x:v>0</x:v>
      </x:c>
      <x:c r="C81" s="20">
        <x:f t="array" ref="C81:C81">INDEX($B$4:$O$33,MATCH($A81,$W$4:$W$33,0),COLUMN(B$1))</x:f>
        <x:v>0</x:v>
      </x:c>
      <x:c r="D81" s="20">
        <x:f t="array" ref="D81:D81">INDEX($B$4:$O$33,MATCH($A81,$W$4:$W$33,0),COLUMN(C$1))</x:f>
        <x:v>0</x:v>
      </x:c>
      <x:c r="E81" s="20">
        <x:f t="array" ref="E81:E81">INDEX($B$4:$O$33,MATCH($A81,$W$4:$W$33,0),COLUMN(D$1))</x:f>
        <x:v>0</x:v>
      </x:c>
      <x:c r="F81" s="20">
        <x:f t="array" ref="F81:F81">INDEX($B$4:$O$33,MATCH($A81,$W$4:$W$33,0),COLUMN(E$1))</x:f>
        <x:v>0</x:v>
      </x:c>
      <x:c r="G81" s="21">
        <x:f t="shared" si="15"/>
        <x:v>0</x:v>
      </x:c>
      <x:c r="H81" s="22">
        <x:f t="shared" si="16"/>
        <x:v>0</x:v>
      </x:c>
      <x:c r="I81" s="23" t="str">
        <x:f>IF(B81="","",IFERROR(INDEX('회원명단 및 기준에버'!D:G,MATCH(B81,'회원명단 및 기준에버'!$C:$C,0),CHOOSE(INT((MONTH($N$2)-1)/3)+1,1,2,3,4)),""))</x:f>
        <x:v/>
      </x:c>
      <x:c r="J81" s="5">
        <x:f t="shared" si="19"/>
        <x:v>0</x:v>
      </x:c>
      <x:c r="K81" s="5">
        <x:f t="shared" si="20"/>
        <x:v>0</x:v>
      </x:c>
      <x:c r="L81" s="5">
        <x:f t="shared" si="21"/>
        <x:v>0</x:v>
      </x:c>
      <x:c r="M81" s="5">
        <x:f t="shared" si="17"/>
        <x:v>0</x:v>
      </x:c>
      <x:c r="N81" s="6">
        <x:f t="shared" si="18"/>
        <x:v>0</x:v>
      </x:c>
      <x:c r="O81" s="24">
        <x:f t="shared" si="22"/>
        <x:v>0</x:v>
      </x:c>
    </x:row>
    <x:row r="82" spans="1:15" ht="24.949999999999999" customHeight="1">
      <x:c r="A82" s="18">
        <x:v>22</x:v>
      </x:c>
      <x:c r="B82" s="19">
        <x:f t="array" ref="B82:B82">INDEX($B$4:$O$33,MATCH($A82,$W$4:$W$33,0),COLUMN(A$1))</x:f>
        <x:v>0</x:v>
      </x:c>
      <x:c r="C82" s="20">
        <x:f t="array" ref="C82:C82">INDEX($B$4:$O$33,MATCH($A82,$W$4:$W$33,0),COLUMN(B$1))</x:f>
        <x:v>0</x:v>
      </x:c>
      <x:c r="D82" s="20">
        <x:f t="array" ref="D82:D82">INDEX($B$4:$O$33,MATCH($A82,$W$4:$W$33,0),COLUMN(C$1))</x:f>
        <x:v>0</x:v>
      </x:c>
      <x:c r="E82" s="20">
        <x:f t="array" ref="E82:E82">INDEX($B$4:$O$33,MATCH($A82,$W$4:$W$33,0),COLUMN(D$1))</x:f>
        <x:v>0</x:v>
      </x:c>
      <x:c r="F82" s="20">
        <x:f t="array" ref="F82:F82">INDEX($B$4:$O$33,MATCH($A82,$W$4:$W$33,0),COLUMN(E$1))</x:f>
        <x:v>0</x:v>
      </x:c>
      <x:c r="G82" s="21">
        <x:f t="shared" si="15"/>
        <x:v>0</x:v>
      </x:c>
      <x:c r="H82" s="22">
        <x:f t="shared" si="16"/>
        <x:v>0</x:v>
      </x:c>
      <x:c r="I82" s="23" t="str">
        <x:f>IF(B82="","",IFERROR(INDEX('회원명단 및 기준에버'!D:G,MATCH(B82,'회원명단 및 기준에버'!$C:$C,0),CHOOSE(INT((MONTH($N$2)-1)/3)+1,1,2,3,4)),""))</x:f>
        <x:v/>
      </x:c>
      <x:c r="J82" s="5">
        <x:f t="shared" si="19"/>
        <x:v>0</x:v>
      </x:c>
      <x:c r="K82" s="5">
        <x:f t="shared" si="20"/>
        <x:v>0</x:v>
      </x:c>
      <x:c r="L82" s="5">
        <x:f t="shared" si="21"/>
        <x:v>0</x:v>
      </x:c>
      <x:c r="M82" s="5">
        <x:f t="shared" si="17"/>
        <x:v>0</x:v>
      </x:c>
      <x:c r="N82" s="6">
        <x:f t="shared" si="18"/>
        <x:v>0</x:v>
      </x:c>
      <x:c r="O82" s="24">
        <x:f t="shared" si="22"/>
        <x:v>0</x:v>
      </x:c>
    </x:row>
    <x:row r="83" spans="1:15" ht="24.949999999999999" customHeight="1">
      <x:c r="A83" s="18">
        <x:v>23</x:v>
      </x:c>
      <x:c r="B83" s="19">
        <x:f t="array" ref="B83:B83">INDEX($B$4:$O$33,MATCH($A83,$W$4:$W$33,0),COLUMN(A$1))</x:f>
        <x:v>0</x:v>
      </x:c>
      <x:c r="C83" s="20">
        <x:f t="array" ref="C83:C83">INDEX($B$4:$O$33,MATCH($A83,$W$4:$W$33,0),COLUMN(B$1))</x:f>
        <x:v>0</x:v>
      </x:c>
      <x:c r="D83" s="20">
        <x:f t="array" ref="D83:D83">INDEX($B$4:$O$33,MATCH($A83,$W$4:$W$33,0),COLUMN(C$1))</x:f>
        <x:v>0</x:v>
      </x:c>
      <x:c r="E83" s="20">
        <x:f t="array" ref="E83:E83">INDEX($B$4:$O$33,MATCH($A83,$W$4:$W$33,0),COLUMN(D$1))</x:f>
        <x:v>0</x:v>
      </x:c>
      <x:c r="F83" s="20">
        <x:f t="array" ref="F83:F83">INDEX($B$4:$O$33,MATCH($A83,$W$4:$W$33,0),COLUMN(E$1))</x:f>
        <x:v>0</x:v>
      </x:c>
      <x:c r="G83" s="21">
        <x:f t="shared" si="15"/>
        <x:v>0</x:v>
      </x:c>
      <x:c r="H83" s="22">
        <x:f t="shared" si="16"/>
        <x:v>0</x:v>
      </x:c>
      <x:c r="I83" s="23" t="str">
        <x:f>IF(B83="","",IFERROR(INDEX('회원명단 및 기준에버'!D:G,MATCH(B83,'회원명단 및 기준에버'!$C:$C,0),CHOOSE(INT((MONTH($N$2)-1)/3)+1,1,2,3,4)),""))</x:f>
        <x:v/>
      </x:c>
      <x:c r="J83" s="5">
        <x:f t="shared" si="19"/>
        <x:v>0</x:v>
      </x:c>
      <x:c r="K83" s="5">
        <x:f t="shared" si="20"/>
        <x:v>0</x:v>
      </x:c>
      <x:c r="L83" s="5">
        <x:f t="shared" si="21"/>
        <x:v>0</x:v>
      </x:c>
      <x:c r="M83" s="5">
        <x:f t="shared" si="17"/>
        <x:v>0</x:v>
      </x:c>
      <x:c r="N83" s="6">
        <x:f t="shared" si="18"/>
        <x:v>0</x:v>
      </x:c>
      <x:c r="O83" s="24">
        <x:f t="shared" si="22"/>
        <x:v>0</x:v>
      </x:c>
    </x:row>
    <x:row r="84" spans="1:15" ht="24.949999999999999" customHeight="1">
      <x:c r="A84" s="18">
        <x:v>24</x:v>
      </x:c>
      <x:c r="B84" s="19">
        <x:f t="array" ref="B84:B84">INDEX($B$4:$O$33,MATCH($A84,$W$4:$W$33,0),COLUMN(A$1))</x:f>
        <x:v>0</x:v>
      </x:c>
      <x:c r="C84" s="20">
        <x:f t="array" ref="C84:C84">INDEX($B$4:$O$33,MATCH($A84,$W$4:$W$33,0),COLUMN(B$1))</x:f>
        <x:v>0</x:v>
      </x:c>
      <x:c r="D84" s="20">
        <x:f t="array" ref="D84:D84">INDEX($B$4:$O$33,MATCH($A84,$W$4:$W$33,0),COLUMN(C$1))</x:f>
        <x:v>0</x:v>
      </x:c>
      <x:c r="E84" s="20">
        <x:f t="array" ref="E84:E84">INDEX($B$4:$O$33,MATCH($A84,$W$4:$W$33,0),COLUMN(D$1))</x:f>
        <x:v>0</x:v>
      </x:c>
      <x:c r="F84" s="20">
        <x:f t="array" ref="F84:F84">INDEX($B$4:$O$33,MATCH($A84,$W$4:$W$33,0),COLUMN(E$1))</x:f>
        <x:v>0</x:v>
      </x:c>
      <x:c r="G84" s="21">
        <x:f t="shared" si="15"/>
        <x:v>0</x:v>
      </x:c>
      <x:c r="H84" s="22">
        <x:f t="shared" si="16"/>
        <x:v>0</x:v>
      </x:c>
      <x:c r="I84" s="23" t="str">
        <x:f>IF(B84="","",IFERROR(INDEX('회원명단 및 기준에버'!D:G,MATCH(B84,'회원명단 및 기준에버'!$C:$C,0),CHOOSE(INT((MONTH($N$2)-1)/3)+1,1,2,3,4)),""))</x:f>
        <x:v/>
      </x:c>
      <x:c r="J84" s="5">
        <x:f t="shared" si="19"/>
        <x:v>0</x:v>
      </x:c>
      <x:c r="K84" s="5">
        <x:f t="shared" si="20"/>
        <x:v>0</x:v>
      </x:c>
      <x:c r="L84" s="5">
        <x:f t="shared" si="21"/>
        <x:v>0</x:v>
      </x:c>
      <x:c r="M84" s="5">
        <x:f t="shared" si="17"/>
        <x:v>0</x:v>
      </x:c>
      <x:c r="N84" s="6">
        <x:f t="shared" si="18"/>
        <x:v>0</x:v>
      </x:c>
      <x:c r="O84" s="24">
        <x:f t="shared" si="22"/>
        <x:v>0</x:v>
      </x:c>
    </x:row>
    <x:row r="85" spans="1:15" ht="24.949999999999999" customHeight="1">
      <x:c r="A85" s="18">
        <x:v>25</x:v>
      </x:c>
      <x:c r="B85" s="19">
        <x:f t="array" ref="B85:B85">INDEX($B$4:$O$33,MATCH($A85,$W$4:$W$33,0),COLUMN(A$1))</x:f>
        <x:v>0</x:v>
      </x:c>
      <x:c r="C85" s="20">
        <x:f t="array" ref="C85:C85">INDEX($B$4:$O$33,MATCH($A85,$W$4:$W$33,0),COLUMN(B$1))</x:f>
        <x:v>0</x:v>
      </x:c>
      <x:c r="D85" s="20">
        <x:f t="array" ref="D85:D85">INDEX($B$4:$O$33,MATCH($A85,$W$4:$W$33,0),COLUMN(C$1))</x:f>
        <x:v>0</x:v>
      </x:c>
      <x:c r="E85" s="20">
        <x:f t="array" ref="E85:E85">INDEX($B$4:$O$33,MATCH($A85,$W$4:$W$33,0),COLUMN(D$1))</x:f>
        <x:v>0</x:v>
      </x:c>
      <x:c r="F85" s="20">
        <x:f t="array" ref="F85:F85">INDEX($B$4:$O$33,MATCH($A85,$W$4:$W$33,0),COLUMN(E$1))</x:f>
        <x:v>0</x:v>
      </x:c>
      <x:c r="G85" s="21">
        <x:f t="shared" si="15"/>
        <x:v>0</x:v>
      </x:c>
      <x:c r="H85" s="22">
        <x:f t="shared" si="16"/>
        <x:v>0</x:v>
      </x:c>
      <x:c r="I85" s="23" t="str">
        <x:f>IF(B85="","",IFERROR(INDEX('회원명단 및 기준에버'!D:G,MATCH(B85,'회원명단 및 기준에버'!$C:$C,0),CHOOSE(INT((MONTH($N$2)-1)/3)+1,1,2,3,4)),""))</x:f>
        <x:v/>
      </x:c>
      <x:c r="J85" s="5">
        <x:f t="shared" si="19"/>
        <x:v>0</x:v>
      </x:c>
      <x:c r="K85" s="5">
        <x:f t="shared" si="20"/>
        <x:v>0</x:v>
      </x:c>
      <x:c r="L85" s="5">
        <x:f t="shared" si="21"/>
        <x:v>0</x:v>
      </x:c>
      <x:c r="M85" s="5">
        <x:f t="shared" si="17"/>
        <x:v>0</x:v>
      </x:c>
      <x:c r="N85" s="6">
        <x:f t="shared" si="18"/>
        <x:v>0</x:v>
      </x:c>
      <x:c r="O85" s="24">
        <x:f t="shared" si="22"/>
        <x:v>0</x:v>
      </x:c>
    </x:row>
    <x:row r="86" spans="1:15" ht="24.949999999999999" customHeight="1">
      <x:c r="A86" s="18">
        <x:v>26</x:v>
      </x:c>
      <x:c r="B86" s="19">
        <x:f t="array" ref="B86:B86">INDEX($B$4:$O$33,MATCH($A86,$W$4:$W$33,0),COLUMN(A$1))</x:f>
        <x:v>0</x:v>
      </x:c>
      <x:c r="C86" s="20">
        <x:f t="array" ref="C86:C86">INDEX($B$4:$O$33,MATCH($A86,$W$4:$W$33,0),COLUMN(B$1))</x:f>
        <x:v>0</x:v>
      </x:c>
      <x:c r="D86" s="20">
        <x:f t="array" ref="D86:D86">INDEX($B$4:$O$33,MATCH($A86,$W$4:$W$33,0),COLUMN(C$1))</x:f>
        <x:v>0</x:v>
      </x:c>
      <x:c r="E86" s="20">
        <x:f t="array" ref="E86:E86">INDEX($B$4:$O$33,MATCH($A86,$W$4:$W$33,0),COLUMN(D$1))</x:f>
        <x:v>0</x:v>
      </x:c>
      <x:c r="F86" s="20">
        <x:f t="array" ref="F86:F86">INDEX($B$4:$O$33,MATCH($A86,$W$4:$W$33,0),COLUMN(E$1))</x:f>
        <x:v>0</x:v>
      </x:c>
      <x:c r="G86" s="21">
        <x:f t="shared" si="15"/>
        <x:v>0</x:v>
      </x:c>
      <x:c r="H86" s="22">
        <x:f t="shared" si="16"/>
        <x:v>0</x:v>
      </x:c>
      <x:c r="I86" s="23" t="str">
        <x:f>IF(B86="","",IFERROR(INDEX('회원명단 및 기준에버'!D:G,MATCH(B86,'회원명단 및 기준에버'!$C:$C,0),CHOOSE(INT((MONTH($N$2)-1)/3)+1,1,2,3,4)),""))</x:f>
        <x:v/>
      </x:c>
      <x:c r="J86" s="5">
        <x:f t="shared" si="19"/>
        <x:v>0</x:v>
      </x:c>
      <x:c r="K86" s="5">
        <x:f t="shared" si="20"/>
        <x:v>0</x:v>
      </x:c>
      <x:c r="L86" s="5">
        <x:f t="shared" si="21"/>
        <x:v>0</x:v>
      </x:c>
      <x:c r="M86" s="5">
        <x:f t="shared" si="17"/>
        <x:v>0</x:v>
      </x:c>
      <x:c r="N86" s="6">
        <x:f t="shared" si="18"/>
        <x:v>0</x:v>
      </x:c>
      <x:c r="O86" s="24">
        <x:f t="shared" si="22"/>
        <x:v>0</x:v>
      </x:c>
    </x:row>
    <x:row r="87" spans="1:15" ht="24.949999999999999" customHeight="1">
      <x:c r="A87" s="18">
        <x:v>27</x:v>
      </x:c>
      <x:c r="B87" s="19">
        <x:f t="array" ref="B87:B87">INDEX($B$4:$O$33,MATCH($A87,$W$4:$W$33,0),COLUMN(A$1))</x:f>
        <x:v>0</x:v>
      </x:c>
      <x:c r="C87" s="20">
        <x:f t="array" ref="C87:C87">INDEX($B$4:$O$33,MATCH($A87,$W$4:$W$33,0),COLUMN(B$1))</x:f>
        <x:v>0</x:v>
      </x:c>
      <x:c r="D87" s="20">
        <x:f t="array" ref="D87:D87">INDEX($B$4:$O$33,MATCH($A87,$W$4:$W$33,0),COLUMN(C$1))</x:f>
        <x:v>0</x:v>
      </x:c>
      <x:c r="E87" s="20">
        <x:f t="array" ref="E87:E87">INDEX($B$4:$O$33,MATCH($A87,$W$4:$W$33,0),COLUMN(D$1))</x:f>
        <x:v>0</x:v>
      </x:c>
      <x:c r="F87" s="20">
        <x:f t="array" ref="F87:F87">INDEX($B$4:$O$33,MATCH($A87,$W$4:$W$33,0),COLUMN(E$1))</x:f>
        <x:v>0</x:v>
      </x:c>
      <x:c r="G87" s="21">
        <x:f t="shared" si="15"/>
        <x:v>0</x:v>
      </x:c>
      <x:c r="H87" s="22">
        <x:f t="shared" si="16"/>
        <x:v>0</x:v>
      </x:c>
      <x:c r="I87" s="23" t="str">
        <x:f>IF(B87="","",IFERROR(INDEX('회원명단 및 기준에버'!D:G,MATCH(B87,'회원명단 및 기준에버'!$C:$C,0),CHOOSE(INT((MONTH($N$2)-1)/3)+1,1,2,3,4)),""))</x:f>
        <x:v/>
      </x:c>
      <x:c r="J87" s="5">
        <x:f t="shared" si="19"/>
        <x:v>0</x:v>
      </x:c>
      <x:c r="K87" s="5">
        <x:f t="shared" si="20"/>
        <x:v>0</x:v>
      </x:c>
      <x:c r="L87" s="5">
        <x:f t="shared" si="21"/>
        <x:v>0</x:v>
      </x:c>
      <x:c r="M87" s="5">
        <x:f t="shared" si="17"/>
        <x:v>0</x:v>
      </x:c>
      <x:c r="N87" s="6">
        <x:f t="shared" si="18"/>
        <x:v>0</x:v>
      </x:c>
      <x:c r="O87" s="24">
        <x:f t="shared" si="22"/>
        <x:v>0</x:v>
      </x:c>
    </x:row>
    <x:row r="88" spans="1:15" ht="24.949999999999999" customHeight="1">
      <x:c r="A88" s="18">
        <x:v>28</x:v>
      </x:c>
      <x:c r="B88" s="19">
        <x:f t="array" ref="B88:B88">INDEX($B$4:$O$33,MATCH($A88,$W$4:$W$33,0),COLUMN(A$1))</x:f>
        <x:v>0</x:v>
      </x:c>
      <x:c r="C88" s="20">
        <x:f t="array" ref="C88:C88">INDEX($B$4:$O$33,MATCH($A88,$W$4:$W$33,0),COLUMN(B$1))</x:f>
        <x:v>0</x:v>
      </x:c>
      <x:c r="D88" s="20">
        <x:f t="array" ref="D88:D88">INDEX($B$4:$O$33,MATCH($A88,$W$4:$W$33,0),COLUMN(C$1))</x:f>
        <x:v>0</x:v>
      </x:c>
      <x:c r="E88" s="20">
        <x:f t="array" ref="E88:E88">INDEX($B$4:$O$33,MATCH($A88,$W$4:$W$33,0),COLUMN(D$1))</x:f>
        <x:v>0</x:v>
      </x:c>
      <x:c r="F88" s="20">
        <x:f t="array" ref="F88:F88">INDEX($B$4:$O$33,MATCH($A88,$W$4:$W$33,0),COLUMN(E$1))</x:f>
        <x:v>0</x:v>
      </x:c>
      <x:c r="G88" s="21">
        <x:f t="shared" si="15"/>
        <x:v>0</x:v>
      </x:c>
      <x:c r="H88" s="22">
        <x:f t="shared" si="16"/>
        <x:v>0</x:v>
      </x:c>
      <x:c r="I88" s="23" t="str">
        <x:f>IF(B88="","",IFERROR(INDEX('회원명단 및 기준에버'!D:G,MATCH(B88,'회원명단 및 기준에버'!$C:$C,0),CHOOSE(INT((MONTH($N$2)-1)/3)+1,1,2,3,4)),""))</x:f>
        <x:v/>
      </x:c>
      <x:c r="J88" s="5">
        <x:f t="shared" si="19"/>
        <x:v>0</x:v>
      </x:c>
      <x:c r="K88" s="5">
        <x:f t="shared" si="20"/>
        <x:v>0</x:v>
      </x:c>
      <x:c r="L88" s="5">
        <x:f t="shared" si="21"/>
        <x:v>0</x:v>
      </x:c>
      <x:c r="M88" s="5">
        <x:f t="shared" si="17"/>
        <x:v>0</x:v>
      </x:c>
      <x:c r="N88" s="6">
        <x:f t="shared" si="18"/>
        <x:v>0</x:v>
      </x:c>
      <x:c r="O88" s="24">
        <x:f t="shared" si="22"/>
        <x:v>0</x:v>
      </x:c>
    </x:row>
    <x:row r="89" spans="1:15" ht="24.949999999999999" customHeight="1">
      <x:c r="A89" s="18">
        <x:v>29</x:v>
      </x:c>
      <x:c r="B89" s="19">
        <x:f t="array" ref="B89:B89">INDEX($B$4:$O$33,MATCH($A89,$W$4:$W$33,0),COLUMN(A$1))</x:f>
        <x:v>0</x:v>
      </x:c>
      <x:c r="C89" s="20">
        <x:f t="array" ref="C89:C89">INDEX($B$4:$O$33,MATCH($A89,$W$4:$W$33,0),COLUMN(B$1))</x:f>
        <x:v>0</x:v>
      </x:c>
      <x:c r="D89" s="20">
        <x:f t="array" ref="D89:D89">INDEX($B$4:$O$33,MATCH($A89,$W$4:$W$33,0),COLUMN(C$1))</x:f>
        <x:v>0</x:v>
      </x:c>
      <x:c r="E89" s="20">
        <x:f t="array" ref="E89:E89">INDEX($B$4:$O$33,MATCH($A89,$W$4:$W$33,0),COLUMN(D$1))</x:f>
        <x:v>0</x:v>
      </x:c>
      <x:c r="F89" s="20">
        <x:f t="array" ref="F89:F89">INDEX($B$4:$O$33,MATCH($A89,$W$4:$W$33,0),COLUMN(E$1))</x:f>
        <x:v>0</x:v>
      </x:c>
      <x:c r="G89" s="21">
        <x:f t="shared" si="15"/>
        <x:v>0</x:v>
      </x:c>
      <x:c r="H89" s="22">
        <x:f t="shared" si="16"/>
        <x:v>0</x:v>
      </x:c>
      <x:c r="I89" s="23" t="str">
        <x:f>IF(B89="","",IFERROR(INDEX('회원명단 및 기준에버'!D:G,MATCH(B89,'회원명단 및 기준에버'!$C:$C,0),CHOOSE(INT((MONTH($N$2)-1)/3)+1,1,2,3,4)),""))</x:f>
        <x:v/>
      </x:c>
      <x:c r="J89" s="5">
        <x:f t="shared" si="19"/>
        <x:v>0</x:v>
      </x:c>
      <x:c r="K89" s="5">
        <x:f t="shared" si="20"/>
        <x:v>0</x:v>
      </x:c>
      <x:c r="L89" s="5">
        <x:f t="shared" si="21"/>
        <x:v>0</x:v>
      </x:c>
      <x:c r="M89" s="5">
        <x:f t="shared" si="17"/>
        <x:v>0</x:v>
      </x:c>
      <x:c r="N89" s="6">
        <x:f t="shared" si="18"/>
        <x:v>0</x:v>
      </x:c>
      <x:c r="O89" s="24">
        <x:f t="shared" si="22"/>
        <x:v>0</x:v>
      </x:c>
    </x:row>
    <x:row r="90" spans="1:15" ht="24.949999999999999" customHeight="1">
      <x:c r="A90" s="18">
        <x:v>30</x:v>
      </x:c>
      <x:c r="B90" s="19">
        <x:f t="array" ref="B90:B90">INDEX($B$4:$O$33,MATCH($A90,$W$4:$W$33,0),COLUMN(A$1))</x:f>
        <x:v>0</x:v>
      </x:c>
      <x:c r="C90" s="20">
        <x:f t="array" ref="C90:C90">INDEX($B$4:$O$33,MATCH($A90,$W$4:$W$33,0),COLUMN(B$1))</x:f>
        <x:v>0</x:v>
      </x:c>
      <x:c r="D90" s="20">
        <x:f t="array" ref="D90:D90">INDEX($B$4:$O$33,MATCH($A90,$W$4:$W$33,0),COLUMN(C$1))</x:f>
        <x:v>0</x:v>
      </x:c>
      <x:c r="E90" s="20">
        <x:f t="array" ref="E90:E90">INDEX($B$4:$O$33,MATCH($A90,$W$4:$W$33,0),COLUMN(D$1))</x:f>
        <x:v>0</x:v>
      </x:c>
      <x:c r="F90" s="20">
        <x:f t="array" ref="F90:F90">INDEX($B$4:$O$33,MATCH($A90,$W$4:$W$33,0),COLUMN(E$1))</x:f>
        <x:v>0</x:v>
      </x:c>
      <x:c r="G90" s="21">
        <x:f t="shared" si="15"/>
        <x:v>0</x:v>
      </x:c>
      <x:c r="H90" s="22">
        <x:f t="shared" si="16"/>
        <x:v>0</x:v>
      </x:c>
      <x:c r="I90" s="23" t="str">
        <x:f>IF(B90="","",IFERROR(INDEX('회원명단 및 기준에버'!D:G,MATCH(B90,'회원명단 및 기준에버'!$C:$C,0),CHOOSE(INT((MONTH($N$2)-1)/3)+1,1,2,3,4)),""))</x:f>
        <x:v/>
      </x:c>
      <x:c r="J90" s="5">
        <x:f t="shared" si="19"/>
        <x:v>0</x:v>
      </x:c>
      <x:c r="K90" s="5">
        <x:f t="shared" si="20"/>
        <x:v>0</x:v>
      </x:c>
      <x:c r="L90" s="5">
        <x:f t="shared" si="21"/>
        <x:v>0</x:v>
      </x:c>
      <x:c r="M90" s="5">
        <x:f t="shared" si="17"/>
        <x:v>0</x:v>
      </x:c>
      <x:c r="N90" s="6">
        <x:f t="shared" si="18"/>
        <x:v>0</x:v>
      </x:c>
      <x:c r="O90" s="24">
        <x:f t="shared" si="22"/>
        <x:v>0</x:v>
      </x:c>
    </x:row>
    <x:row r="91" spans="2:15" ht="24.949999999999999" customHeight="1">
      <x:c r="B91" s="120" t="s">
        <x:v>21</x:v>
      </x:c>
      <x:c r="C91" s="121"/>
      <x:c r="D91" s="121"/>
      <x:c r="E91" s="121"/>
      <x:c r="F91" s="120"/>
      <x:c r="G91" s="121"/>
      <x:c r="H91" s="121"/>
      <x:c r="I91" s="121"/>
      <x:c r="J91" s="121"/>
      <x:c r="K91" s="121"/>
      <x:c r="L91" s="121"/>
      <x:c r="M91" s="120"/>
      <x:c r="N91" s="121"/>
      <x:c r="O91" s="122"/>
    </x:row>
    <x:row r="92" spans="2:15" ht="24.949999999999999" customHeight="1">
      <x:c r="B92" s="13">
        <x:f t="shared" ref="B92:G96" si="23">IF(B35="","",B35)</x:f>
        <x:v>0</x:v>
      </x:c>
      <x:c r="C92" s="49">
        <x:f t="shared" si="23"/>
        <x:v>0</x:v>
      </x:c>
      <x:c r="D92" s="49">
        <x:f t="shared" si="23"/>
        <x:v>0</x:v>
      </x:c>
      <x:c r="E92" s="49">
        <x:f t="shared" si="23"/>
        <x:v>0</x:v>
      </x:c>
      <x:c r="F92" s="49">
        <x:f t="shared" si="23"/>
        <x:v>0</x:v>
      </x:c>
      <x:c r="G92" s="123">
        <x:f t="shared" si="23"/>
        <x:v>0</x:v>
      </x:c>
      <x:c r="H92" s="115"/>
      <x:c r="I92" s="50">
        <x:f t="shared" ref="I92:N96" si="24">IF(I35="","",I35)</x:f>
        <x:v>0</x:v>
      </x:c>
      <x:c r="J92" s="49">
        <x:f t="shared" si="24"/>
        <x:v>0</x:v>
      </x:c>
      <x:c r="K92" s="49">
        <x:f t="shared" si="24"/>
        <x:v>0</x:v>
      </x:c>
      <x:c r="L92" s="49">
        <x:f t="shared" si="24"/>
        <x:v>0</x:v>
      </x:c>
      <x:c r="M92" s="49">
        <x:f t="shared" si="24"/>
        <x:v>0</x:v>
      </x:c>
      <x:c r="N92" s="129">
        <x:f t="shared" si="24"/>
        <x:v>0</x:v>
      </x:c>
      <x:c r="O92" s="126"/>
    </x:row>
    <x:row r="93" spans="2:15" ht="24.949999999999999" customHeight="1">
      <x:c r="B93" s="18">
        <x:f t="shared" si="23"/>
        <x:v>0</x:v>
      </x:c>
      <x:c r="C93" s="5">
        <x:f t="shared" si="23"/>
        <x:v>0</x:v>
      </x:c>
      <x:c r="D93" s="5">
        <x:f t="shared" si="23"/>
        <x:v>0</x:v>
      </x:c>
      <x:c r="E93" s="5">
        <x:f t="shared" si="23"/>
        <x:v>0</x:v>
      </x:c>
      <x:c r="F93" s="5">
        <x:f t="shared" si="23"/>
        <x:v>0</x:v>
      </x:c>
      <x:c r="G93" s="124" t="str">
        <x:f t="shared" si="23"/>
        <x:v/>
      </x:c>
      <x:c r="H93" s="116"/>
      <x:c r="I93" s="18">
        <x:f t="shared" si="24"/>
        <x:v>0</x:v>
      </x:c>
      <x:c r="J93" s="5">
        <x:f t="shared" si="24"/>
        <x:v>0</x:v>
      </x:c>
      <x:c r="K93" s="5">
        <x:f t="shared" si="24"/>
        <x:v>0</x:v>
      </x:c>
      <x:c r="L93" s="5">
        <x:f t="shared" si="24"/>
        <x:v>0</x:v>
      </x:c>
      <x:c r="M93" s="5">
        <x:f t="shared" si="24"/>
        <x:v>0</x:v>
      </x:c>
      <x:c r="N93" s="130" t="str">
        <x:f t="shared" si="24"/>
        <x:v/>
      </x:c>
      <x:c r="O93" s="127"/>
    </x:row>
    <x:row r="94" spans="2:15" ht="24.949999999999999" customHeight="1">
      <x:c r="B94" s="18">
        <x:f t="shared" si="23"/>
        <x:v>0</x:v>
      </x:c>
      <x:c r="C94" s="5">
        <x:f t="shared" si="23"/>
        <x:v>0</x:v>
      </x:c>
      <x:c r="D94" s="5">
        <x:f t="shared" si="23"/>
        <x:v>0</x:v>
      </x:c>
      <x:c r="E94" s="5">
        <x:f t="shared" si="23"/>
        <x:v>0</x:v>
      </x:c>
      <x:c r="F94" s="5">
        <x:f t="shared" si="23"/>
        <x:v>0</x:v>
      </x:c>
      <x:c r="G94" s="124" t="str">
        <x:f t="shared" si="23"/>
        <x:v/>
      </x:c>
      <x:c r="H94" s="116"/>
      <x:c r="I94" s="18">
        <x:f t="shared" si="24"/>
        <x:v>0</x:v>
      </x:c>
      <x:c r="J94" s="5">
        <x:f t="shared" si="24"/>
        <x:v>0</x:v>
      </x:c>
      <x:c r="K94" s="5">
        <x:f t="shared" si="24"/>
        <x:v>0</x:v>
      </x:c>
      <x:c r="L94" s="5">
        <x:f t="shared" si="24"/>
        <x:v>0</x:v>
      </x:c>
      <x:c r="M94" s="5">
        <x:f t="shared" si="24"/>
        <x:v>0</x:v>
      </x:c>
      <x:c r="N94" s="130" t="str">
        <x:f t="shared" si="24"/>
        <x:v/>
      </x:c>
      <x:c r="O94" s="127"/>
    </x:row>
    <x:row r="95" spans="2:15" ht="24.949999999999999" customHeight="1">
      <x:c r="B95" s="18">
        <x:f t="shared" si="23"/>
        <x:v>0</x:v>
      </x:c>
      <x:c r="C95" s="5">
        <x:f t="shared" si="23"/>
        <x:v>0</x:v>
      </x:c>
      <x:c r="D95" s="5">
        <x:f t="shared" si="23"/>
        <x:v>0</x:v>
      </x:c>
      <x:c r="E95" s="5">
        <x:f t="shared" si="23"/>
        <x:v>0</x:v>
      </x:c>
      <x:c r="F95" s="5">
        <x:f t="shared" si="23"/>
        <x:v>0</x:v>
      </x:c>
      <x:c r="G95" s="124" t="str">
        <x:f t="shared" si="23"/>
        <x:v/>
      </x:c>
      <x:c r="H95" s="116"/>
      <x:c r="I95" s="18">
        <x:f t="shared" si="24"/>
        <x:v>0</x:v>
      </x:c>
      <x:c r="J95" s="5">
        <x:f t="shared" si="24"/>
        <x:v>0</x:v>
      </x:c>
      <x:c r="K95" s="5">
        <x:f t="shared" si="24"/>
        <x:v>0</x:v>
      </x:c>
      <x:c r="L95" s="5">
        <x:f t="shared" si="24"/>
        <x:v>0</x:v>
      </x:c>
      <x:c r="M95" s="5">
        <x:f t="shared" si="24"/>
        <x:v>0</x:v>
      </x:c>
      <x:c r="N95" s="130" t="str">
        <x:f t="shared" si="24"/>
        <x:v/>
      </x:c>
      <x:c r="O95" s="127"/>
    </x:row>
    <x:row r="96" spans="2:15" ht="24.949999999999999" customHeight="1">
      <x:c r="B96" s="18">
        <x:f t="shared" si="23"/>
        <x:v>0</x:v>
      </x:c>
      <x:c r="C96" s="5">
        <x:f t="shared" si="23"/>
        <x:v>0</x:v>
      </x:c>
      <x:c r="D96" s="5">
        <x:f t="shared" si="23"/>
        <x:v>0</x:v>
      </x:c>
      <x:c r="E96" s="5">
        <x:f t="shared" si="23"/>
        <x:v>0</x:v>
      </x:c>
      <x:c r="F96" s="5">
        <x:f t="shared" si="23"/>
        <x:v>0</x:v>
      </x:c>
      <x:c r="G96" s="124" t="str">
        <x:f t="shared" si="23"/>
        <x:v/>
      </x:c>
      <x:c r="H96" s="116"/>
      <x:c r="I96" s="18">
        <x:f t="shared" si="24"/>
        <x:v>0</x:v>
      </x:c>
      <x:c r="J96" s="5">
        <x:f t="shared" si="24"/>
        <x:v>0</x:v>
      </x:c>
      <x:c r="K96" s="5">
        <x:f t="shared" si="24"/>
        <x:v>0</x:v>
      </x:c>
      <x:c r="L96" s="5">
        <x:f t="shared" si="24"/>
        <x:v>0</x:v>
      </x:c>
      <x:c r="M96" s="5">
        <x:f t="shared" si="24"/>
        <x:v>0</x:v>
      </x:c>
      <x:c r="N96" s="130" t="str">
        <x:f t="shared" si="24"/>
        <x:v/>
      </x:c>
      <x:c r="O96" s="127"/>
    </x:row>
    <x:row r="97" spans="2:15" ht="24.949999999999999" customHeight="1">
      <x:c r="B97" s="30" t="str">
        <x:f t="shared" ref="B97:G97" si="25">IF(B40="","",B40)</x:f>
        <x:v/>
      </x:c>
      <x:c r="C97" s="51">
        <x:f t="shared" si="25"/>
        <x:v>0</x:v>
      </x:c>
      <x:c r="D97" s="51">
        <x:f t="shared" si="25"/>
        <x:v>0</x:v>
      </x:c>
      <x:c r="E97" s="51">
        <x:f t="shared" si="25"/>
        <x:v>0</x:v>
      </x:c>
      <x:c r="F97" s="51">
        <x:f t="shared" si="25"/>
        <x:v>0</x:v>
      </x:c>
      <x:c r="G97" s="125" t="str">
        <x:f t="shared" si="25"/>
        <x:v/>
      </x:c>
      <x:c r="H97" s="117"/>
      <x:c r="I97" s="30" t="str">
        <x:f t="shared" ref="I97:N97" si="26">IF(I40="","",I40)</x:f>
        <x:v/>
      </x:c>
      <x:c r="J97" s="51">
        <x:f t="shared" si="26"/>
        <x:v>0</x:v>
      </x:c>
      <x:c r="K97" s="51">
        <x:f t="shared" si="26"/>
        <x:v>0</x:v>
      </x:c>
      <x:c r="L97" s="51">
        <x:f t="shared" si="26"/>
        <x:v>0</x:v>
      </x:c>
      <x:c r="M97" s="51">
        <x:f t="shared" si="26"/>
        <x:v>0</x:v>
      </x:c>
      <x:c r="N97" s="131" t="str">
        <x:f t="shared" si="26"/>
        <x:v/>
      </x:c>
      <x:c r="O97" s="128"/>
    </x:row>
    <x:row r="98" spans="2:15" ht="9.9499999999999993" customHeight="1"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</x:row>
    <x:row r="99" spans="2:15" ht="24.949999999999999" customHeight="1">
      <x:c r="B99" s="13">
        <x:f t="shared" ref="B99:O103" si="27">IF(B42="","",B42)</x:f>
        <x:v>0</x:v>
      </x:c>
      <x:c r="C99" s="49">
        <x:f t="shared" si="27"/>
        <x:v>0</x:v>
      </x:c>
      <x:c r="D99" s="49">
        <x:f t="shared" si="27"/>
        <x:v>0</x:v>
      </x:c>
      <x:c r="E99" s="49">
        <x:f t="shared" si="27"/>
        <x:v>0</x:v>
      </x:c>
      <x:c r="F99" s="49">
        <x:f t="shared" si="27"/>
        <x:v>0</x:v>
      </x:c>
      <x:c r="G99" s="129">
        <x:f t="shared" si="27"/>
        <x:v>0</x:v>
      </x:c>
      <x:c r="H99" s="126" t="str">
        <x:f t="shared" si="27"/>
        <x:v/>
      </x:c>
      <x:c r="I99" s="50">
        <x:f t="shared" si="27"/>
        <x:v>0</x:v>
      </x:c>
      <x:c r="J99" s="49">
        <x:f t="shared" si="27"/>
        <x:v>0</x:v>
      </x:c>
      <x:c r="K99" s="49">
        <x:f t="shared" si="27"/>
        <x:v>0</x:v>
      </x:c>
      <x:c r="L99" s="49">
        <x:f t="shared" si="27"/>
        <x:v>0</x:v>
      </x:c>
      <x:c r="M99" s="49">
        <x:f t="shared" si="27"/>
        <x:v>0</x:v>
      </x:c>
      <x:c r="N99" s="129">
        <x:f t="shared" si="27"/>
        <x:v>0</x:v>
      </x:c>
      <x:c r="O99" s="126" t="str">
        <x:f t="shared" si="27"/>
        <x:v/>
      </x:c>
    </x:row>
    <x:row r="100" spans="2:15" ht="24.949999999999999" customHeight="1">
      <x:c r="B100" s="18">
        <x:f t="shared" si="27"/>
        <x:v>0</x:v>
      </x:c>
      <x:c r="C100" s="5">
        <x:f t="shared" si="27"/>
        <x:v>0</x:v>
      </x:c>
      <x:c r="D100" s="5">
        <x:f t="shared" si="27"/>
        <x:v>0</x:v>
      </x:c>
      <x:c r="E100" s="5">
        <x:f t="shared" si="27"/>
        <x:v>0</x:v>
      </x:c>
      <x:c r="F100" s="5">
        <x:f t="shared" si="27"/>
        <x:v>0</x:v>
      </x:c>
      <x:c r="G100" s="130" t="str">
        <x:f t="shared" si="27"/>
        <x:v/>
      </x:c>
      <x:c r="H100" s="127" t="str">
        <x:f t="shared" si="27"/>
        <x:v/>
      </x:c>
      <x:c r="I100" s="18">
        <x:f t="shared" si="27"/>
        <x:v>0</x:v>
      </x:c>
      <x:c r="J100" s="5">
        <x:f t="shared" si="27"/>
        <x:v>0</x:v>
      </x:c>
      <x:c r="K100" s="5">
        <x:f t="shared" si="27"/>
        <x:v>0</x:v>
      </x:c>
      <x:c r="L100" s="5">
        <x:f t="shared" si="27"/>
        <x:v>0</x:v>
      </x:c>
      <x:c r="M100" s="5">
        <x:f t="shared" si="27"/>
        <x:v>0</x:v>
      </x:c>
      <x:c r="N100" s="130" t="str">
        <x:f t="shared" si="27"/>
        <x:v/>
      </x:c>
      <x:c r="O100" s="127" t="str">
        <x:f t="shared" si="27"/>
        <x:v/>
      </x:c>
    </x:row>
    <x:row r="101" spans="2:15" ht="24.949999999999999" customHeight="1">
      <x:c r="B101" s="18">
        <x:f t="shared" si="27"/>
        <x:v>0</x:v>
      </x:c>
      <x:c r="C101" s="5">
        <x:f t="shared" si="27"/>
        <x:v>0</x:v>
      </x:c>
      <x:c r="D101" s="5">
        <x:f t="shared" si="27"/>
        <x:v>0</x:v>
      </x:c>
      <x:c r="E101" s="5">
        <x:f t="shared" si="27"/>
        <x:v>0</x:v>
      </x:c>
      <x:c r="F101" s="5">
        <x:f t="shared" si="27"/>
        <x:v>0</x:v>
      </x:c>
      <x:c r="G101" s="130" t="str">
        <x:f t="shared" si="27"/>
        <x:v/>
      </x:c>
      <x:c r="H101" s="127" t="str">
        <x:f t="shared" si="27"/>
        <x:v/>
      </x:c>
      <x:c r="I101" s="18">
        <x:f t="shared" si="27"/>
        <x:v>0</x:v>
      </x:c>
      <x:c r="J101" s="5">
        <x:f t="shared" si="27"/>
        <x:v>0</x:v>
      </x:c>
      <x:c r="K101" s="5">
        <x:f t="shared" si="27"/>
        <x:v>0</x:v>
      </x:c>
      <x:c r="L101" s="5">
        <x:f t="shared" si="27"/>
        <x:v>0</x:v>
      </x:c>
      <x:c r="M101" s="5">
        <x:f t="shared" si="27"/>
        <x:v>0</x:v>
      </x:c>
      <x:c r="N101" s="130" t="str">
        <x:f t="shared" si="27"/>
        <x:v/>
      </x:c>
      <x:c r="O101" s="127" t="str">
        <x:f t="shared" si="27"/>
        <x:v/>
      </x:c>
    </x:row>
    <x:row r="102" spans="2:15" ht="24.949999999999999" customHeight="1">
      <x:c r="B102" s="18">
        <x:f t="shared" si="27"/>
        <x:v>0</x:v>
      </x:c>
      <x:c r="C102" s="5">
        <x:f t="shared" si="27"/>
        <x:v>0</x:v>
      </x:c>
      <x:c r="D102" s="5">
        <x:f t="shared" si="27"/>
        <x:v>0</x:v>
      </x:c>
      <x:c r="E102" s="5">
        <x:f t="shared" si="27"/>
        <x:v>0</x:v>
      </x:c>
      <x:c r="F102" s="5">
        <x:f t="shared" si="27"/>
        <x:v>0</x:v>
      </x:c>
      <x:c r="G102" s="130" t="str">
        <x:f t="shared" si="27"/>
        <x:v/>
      </x:c>
      <x:c r="H102" s="127" t="str">
        <x:f t="shared" si="27"/>
        <x:v/>
      </x:c>
      <x:c r="I102" s="18">
        <x:f t="shared" si="27"/>
        <x:v>0</x:v>
      </x:c>
      <x:c r="J102" s="5">
        <x:f t="shared" si="27"/>
        <x:v>0</x:v>
      </x:c>
      <x:c r="K102" s="5">
        <x:f t="shared" si="27"/>
        <x:v>0</x:v>
      </x:c>
      <x:c r="L102" s="5">
        <x:f t="shared" si="27"/>
        <x:v>0</x:v>
      </x:c>
      <x:c r="M102" s="5">
        <x:f t="shared" si="27"/>
        <x:v>0</x:v>
      </x:c>
      <x:c r="N102" s="130" t="str">
        <x:f t="shared" si="27"/>
        <x:v/>
      </x:c>
      <x:c r="O102" s="127" t="str">
        <x:f t="shared" si="27"/>
        <x:v/>
      </x:c>
    </x:row>
    <x:row r="103" spans="2:15" ht="24.949999999999999" customHeight="1">
      <x:c r="B103" s="18">
        <x:f t="shared" si="27"/>
        <x:v>0</x:v>
      </x:c>
      <x:c r="C103" s="5">
        <x:f t="shared" si="27"/>
        <x:v>0</x:v>
      </x:c>
      <x:c r="D103" s="5">
        <x:f t="shared" si="27"/>
        <x:v>0</x:v>
      </x:c>
      <x:c r="E103" s="5">
        <x:f t="shared" si="27"/>
        <x:v>0</x:v>
      </x:c>
      <x:c r="F103" s="5">
        <x:f t="shared" si="27"/>
        <x:v>0</x:v>
      </x:c>
      <x:c r="G103" s="130" t="str">
        <x:f t="shared" si="27"/>
        <x:v/>
      </x:c>
      <x:c r="H103" s="127" t="str">
        <x:f t="shared" si="27"/>
        <x:v/>
      </x:c>
      <x:c r="I103" s="18">
        <x:f t="shared" si="27"/>
        <x:v>0</x:v>
      </x:c>
      <x:c r="J103" s="5">
        <x:f t="shared" si="27"/>
        <x:v>0</x:v>
      </x:c>
      <x:c r="K103" s="5">
        <x:f t="shared" si="27"/>
        <x:v>0</x:v>
      </x:c>
      <x:c r="L103" s="5">
        <x:f t="shared" si="27"/>
        <x:v>0</x:v>
      </x:c>
      <x:c r="M103" s="5">
        <x:f t="shared" si="27"/>
        <x:v>0</x:v>
      </x:c>
      <x:c r="N103" s="130" t="str">
        <x:f t="shared" si="27"/>
        <x:v/>
      </x:c>
      <x:c r="O103" s="127" t="str">
        <x:f t="shared" si="27"/>
        <x:v/>
      </x:c>
    </x:row>
    <x:row r="104" spans="2:15" ht="24.949999999999999" customHeight="1">
      <x:c r="B104" s="30" t="str">
        <x:f t="shared" ref="B104:O104" si="28">IF(B47="","",B47)</x:f>
        <x:v/>
      </x:c>
      <x:c r="C104" s="51">
        <x:f t="shared" si="28"/>
        <x:v>0</x:v>
      </x:c>
      <x:c r="D104" s="51">
        <x:f t="shared" si="28"/>
        <x:v>0</x:v>
      </x:c>
      <x:c r="E104" s="51">
        <x:f t="shared" si="28"/>
        <x:v>0</x:v>
      </x:c>
      <x:c r="F104" s="51">
        <x:f t="shared" si="28"/>
        <x:v>0</x:v>
      </x:c>
      <x:c r="G104" s="131" t="str">
        <x:f t="shared" si="28"/>
        <x:v/>
      </x:c>
      <x:c r="H104" s="128" t="str">
        <x:f t="shared" si="28"/>
        <x:v/>
      </x:c>
      <x:c r="I104" s="30" t="str">
        <x:f t="shared" si="28"/>
        <x:v/>
      </x:c>
      <x:c r="J104" s="51">
        <x:f t="shared" si="28"/>
        <x:v>0</x:v>
      </x:c>
      <x:c r="K104" s="51">
        <x:f t="shared" si="28"/>
        <x:v>0</x:v>
      </x:c>
      <x:c r="L104" s="51">
        <x:f t="shared" si="28"/>
        <x:v>0</x:v>
      </x:c>
      <x:c r="M104" s="51">
        <x:f t="shared" si="28"/>
        <x:v>0</x:v>
      </x:c>
      <x:c r="N104" s="131" t="str">
        <x:f t="shared" si="28"/>
        <x:v/>
      </x:c>
      <x:c r="O104" s="128" t="str">
        <x:f t="shared" si="28"/>
        <x:v/>
      </x:c>
    </x:row>
    <x:row r="105" spans="10:13" ht="9.9499999999999993" customHeight="1">
      <x:c r="J105" s="52"/>
      <x:c r="K105" s="52"/>
      <x:c r="L105" s="52"/>
      <x:c r="M105" s="52"/>
    </x:row>
    <x:row r="106" spans="2:15" ht="24.949999999999999" customHeight="1">
      <x:c r="B106" s="13">
        <x:f t="shared" ref="B106:H110" si="29">IF(B49="","",B49)</x:f>
        <x:v>0</x:v>
      </x:c>
      <x:c r="C106" s="49">
        <x:f t="shared" si="29"/>
        <x:v>0</x:v>
      </x:c>
      <x:c r="D106" s="49">
        <x:f t="shared" si="29"/>
        <x:v>0</x:v>
      </x:c>
      <x:c r="E106" s="49">
        <x:f t="shared" si="29"/>
        <x:v>0</x:v>
      </x:c>
      <x:c r="F106" s="49">
        <x:f t="shared" si="29"/>
        <x:v>0</x:v>
      </x:c>
      <x:c r="G106" s="123">
        <x:f t="shared" si="29"/>
        <x:v>0</x:v>
      </x:c>
      <x:c r="H106" s="115" t="str">
        <x:f t="shared" si="29"/>
        <x:v/>
      </x:c>
      <x:c r="I106" s="11"/>
      <x:c r="J106" s="37"/>
      <x:c r="K106" s="37"/>
      <x:c r="L106" s="37"/>
      <x:c r="M106" s="37"/>
      <x:c r="N106" s="118"/>
      <x:c r="O106" s="119"/>
    </x:row>
    <x:row r="107" spans="2:15" ht="24.949999999999999" customHeight="1">
      <x:c r="B107" s="18">
        <x:f t="shared" si="29"/>
        <x:v>0</x:v>
      </x:c>
      <x:c r="C107" s="5">
        <x:f t="shared" si="29"/>
        <x:v>0</x:v>
      </x:c>
      <x:c r="D107" s="5">
        <x:f t="shared" si="29"/>
        <x:v>0</x:v>
      </x:c>
      <x:c r="E107" s="5">
        <x:f t="shared" si="29"/>
        <x:v>0</x:v>
      </x:c>
      <x:c r="F107" s="5">
        <x:f t="shared" si="29"/>
        <x:v>0</x:v>
      </x:c>
      <x:c r="G107" s="124" t="str">
        <x:f t="shared" si="29"/>
        <x:v/>
      </x:c>
      <x:c r="H107" s="116" t="str">
        <x:f t="shared" si="29"/>
        <x:v/>
      </x:c>
      <x:c r="I107" s="11"/>
      <x:c r="J107" s="37"/>
      <x:c r="K107" s="37"/>
      <x:c r="L107" s="37"/>
      <x:c r="M107" s="37"/>
      <x:c r="N107" s="118"/>
      <x:c r="O107" s="119"/>
    </x:row>
    <x:row r="108" spans="2:15" ht="24.949999999999999" customHeight="1">
      <x:c r="B108" s="18">
        <x:f t="shared" si="29"/>
        <x:v>0</x:v>
      </x:c>
      <x:c r="C108" s="5">
        <x:f t="shared" si="29"/>
        <x:v>0</x:v>
      </x:c>
      <x:c r="D108" s="5">
        <x:f t="shared" si="29"/>
        <x:v>0</x:v>
      </x:c>
      <x:c r="E108" s="5">
        <x:f t="shared" si="29"/>
        <x:v>0</x:v>
      </x:c>
      <x:c r="F108" s="5">
        <x:f t="shared" si="29"/>
        <x:v>0</x:v>
      </x:c>
      <x:c r="G108" s="124" t="str">
        <x:f t="shared" si="29"/>
        <x:v/>
      </x:c>
      <x:c r="H108" s="116" t="str">
        <x:f t="shared" si="29"/>
        <x:v/>
      </x:c>
      <x:c r="I108" s="11"/>
      <x:c r="J108" s="37"/>
      <x:c r="K108" s="37"/>
      <x:c r="L108" s="37"/>
      <x:c r="M108" s="37"/>
      <x:c r="N108" s="118"/>
      <x:c r="O108" s="119"/>
    </x:row>
    <x:row r="109" spans="2:15" ht="24.949999999999999" customHeight="1">
      <x:c r="B109" s="18">
        <x:f t="shared" si="29"/>
        <x:v>0</x:v>
      </x:c>
      <x:c r="C109" s="5">
        <x:f t="shared" si="29"/>
        <x:v>0</x:v>
      </x:c>
      <x:c r="D109" s="5">
        <x:f t="shared" si="29"/>
        <x:v>0</x:v>
      </x:c>
      <x:c r="E109" s="5">
        <x:f t="shared" si="29"/>
        <x:v>0</x:v>
      </x:c>
      <x:c r="F109" s="5">
        <x:f t="shared" si="29"/>
        <x:v>0</x:v>
      </x:c>
      <x:c r="G109" s="124" t="str">
        <x:f t="shared" si="29"/>
        <x:v/>
      </x:c>
      <x:c r="H109" s="116" t="str">
        <x:f t="shared" si="29"/>
        <x:v/>
      </x:c>
      <x:c r="I109" s="11"/>
      <x:c r="J109" s="37"/>
      <x:c r="K109" s="37"/>
      <x:c r="L109" s="37"/>
      <x:c r="M109" s="37"/>
      <x:c r="N109" s="118"/>
      <x:c r="O109" s="119"/>
    </x:row>
    <x:row r="110" spans="2:15" ht="24.949999999999999" customHeight="1">
      <x:c r="B110" s="18">
        <x:f t="shared" si="29"/>
        <x:v>0</x:v>
      </x:c>
      <x:c r="C110" s="5">
        <x:f t="shared" si="29"/>
        <x:v>0</x:v>
      </x:c>
      <x:c r="D110" s="5">
        <x:f t="shared" si="29"/>
        <x:v>0</x:v>
      </x:c>
      <x:c r="E110" s="5">
        <x:f t="shared" si="29"/>
        <x:v>0</x:v>
      </x:c>
      <x:c r="F110" s="5">
        <x:f t="shared" si="29"/>
        <x:v>0</x:v>
      </x:c>
      <x:c r="G110" s="124" t="str">
        <x:f t="shared" si="29"/>
        <x:v/>
      </x:c>
      <x:c r="H110" s="116" t="str">
        <x:f t="shared" si="29"/>
        <x:v/>
      </x:c>
      <x:c r="I110" s="11"/>
      <x:c r="J110" s="37"/>
      <x:c r="K110" s="37"/>
      <x:c r="L110" s="37"/>
      <x:c r="M110" s="37"/>
      <x:c r="N110" s="118"/>
      <x:c r="O110" s="119"/>
    </x:row>
    <x:row r="111" spans="2:15" ht="24.949999999999999" customHeight="1">
      <x:c r="B111" s="30" t="str">
        <x:f t="shared" ref="B111:H111" si="30">IF(B54="","",B54)</x:f>
        <x:v/>
      </x:c>
      <x:c r="C111" s="51">
        <x:f t="shared" si="30"/>
        <x:v>0</x:v>
      </x:c>
      <x:c r="D111" s="51">
        <x:f t="shared" si="30"/>
        <x:v>0</x:v>
      </x:c>
      <x:c r="E111" s="51">
        <x:f t="shared" si="30"/>
        <x:v>0</x:v>
      </x:c>
      <x:c r="F111" s="51">
        <x:f t="shared" si="30"/>
        <x:v>0</x:v>
      </x:c>
      <x:c r="G111" s="125" t="str">
        <x:f t="shared" si="30"/>
        <x:v/>
      </x:c>
      <x:c r="H111" s="117" t="str">
        <x:f t="shared" si="30"/>
        <x:v/>
      </x:c>
      <x:c r="I111" s="11"/>
      <x:c r="J111" s="38"/>
      <x:c r="K111" s="38"/>
      <x:c r="L111" s="38"/>
      <x:c r="M111" s="38"/>
      <x:c r="N111" s="118"/>
      <x:c r="O111" s="119"/>
    </x:row>
    <x:row r="112" ht="24.949999999999999" customHeight="1"/>
    <x:row r="113" ht="24.949999999999999" customHeight="1"/>
  </x:sheetData>
  <x:mergeCells count="28">
    <x:mergeCell ref="G106:G111"/>
    <x:mergeCell ref="H106:H111"/>
    <x:mergeCell ref="N106:N111"/>
    <x:mergeCell ref="O106:O111"/>
    <x:mergeCell ref="G92:G97"/>
    <x:mergeCell ref="H92:H97"/>
    <x:mergeCell ref="N92:N97"/>
    <x:mergeCell ref="O92:O97"/>
    <x:mergeCell ref="G99:G104"/>
    <x:mergeCell ref="H99:H104"/>
    <x:mergeCell ref="N99:N104"/>
    <x:mergeCell ref="O99:O104"/>
    <x:mergeCell ref="A58:O58"/>
    <x:mergeCell ref="N59:O59"/>
    <x:mergeCell ref="B91:O91"/>
    <x:mergeCell ref="G49:G54"/>
    <x:mergeCell ref="A1:O1"/>
    <x:mergeCell ref="N2:O2"/>
    <x:mergeCell ref="B34:O34"/>
    <x:mergeCell ref="H42:H47"/>
    <x:mergeCell ref="O42:O47"/>
    <x:mergeCell ref="G35:G40"/>
    <x:mergeCell ref="H35:H40"/>
    <x:mergeCell ref="N35:N40"/>
    <x:mergeCell ref="O35:O40"/>
    <x:mergeCell ref="G42:G47"/>
    <x:mergeCell ref="N42:N47"/>
    <x:mergeCell ref="H49:H54"/>
  </x:mergeCells>
  <x:conditionalFormatting sqref="C4:E33">
    <x:cfRule type="cellIs" dxfId="61" priority="20" operator="between">
      <x:formula>200</x:formula>
      <x:formula>200</x:formula>
    </x:cfRule>
  </x:conditionalFormatting>
  <x:conditionalFormatting sqref="C4:F33">
    <x:cfRule type="cellIs" dxfId="60" priority="4" operator="between">
      <x:formula>200</x:formula>
      <x:formula>300</x:formula>
    </x:cfRule>
  </x:conditionalFormatting>
  <x:conditionalFormatting sqref="C61:F90">
    <x:cfRule type="cellIs" dxfId="58" priority="6" operator="between">
      <x:formula>200</x:formula>
      <x:formula>200</x:formula>
    </x:cfRule>
    <x:cfRule type="cellIs" dxfId="59" priority="5" operator="between">
      <x:formula>200</x:formula>
      <x:formula>300</x:formula>
    </x:cfRule>
  </x:conditionalFormatting>
  <x:conditionalFormatting sqref="G61:G90">
    <x:cfRule type="cellIs" dxfId="56" priority="16" operator="greaterThan">
      <x:formula>599</x:formula>
    </x:cfRule>
    <x:cfRule type="cellIs" dxfId="57" priority="11" operator="between">
      <x:formula>600</x:formula>
      <x:formula>900</x:formula>
    </x:cfRule>
  </x:conditionalFormatting>
  <x:conditionalFormatting sqref="H4:H33">
    <x:cfRule type="cellIs" dxfId="55" priority="26" operator="greaterThan">
      <x:formula>199.9</x:formula>
    </x:cfRule>
  </x:conditionalFormatting>
  <x:conditionalFormatting sqref="H61:H90">
    <x:cfRule type="cellIs" dxfId="54" priority="14" operator="greaterThan">
      <x:formula>199.9</x:formula>
    </x:cfRule>
  </x:conditionalFormatting>
  <x:conditionalFormatting sqref="H4:I33">
    <x:cfRule type="cellIs" dxfId="53" priority="17" operator="between">
      <x:formula>200</x:formula>
      <x:formula>300</x:formula>
    </x:cfRule>
  </x:conditionalFormatting>
  <x:conditionalFormatting sqref="H61:I90">
    <x:cfRule type="cellIs" dxfId="52" priority="10" operator="between">
      <x:formula>200</x:formula>
      <x:formula>300</x:formula>
    </x:cfRule>
  </x:conditionalFormatting>
  <x:conditionalFormatting sqref="I4:I33">
    <x:cfRule type="cellIs" dxfId="51" priority="27" operator="greaterThan">
      <x:formula>199</x:formula>
    </x:cfRule>
  </x:conditionalFormatting>
  <x:conditionalFormatting sqref="I61:I90">
    <x:cfRule type="cellIs" dxfId="50" priority="15" operator="greaterThan">
      <x:formula>199</x:formula>
    </x:cfRule>
  </x:conditionalFormatting>
  <x:conditionalFormatting sqref="G4:G33">
    <x:cfRule type="cellIs" dxfId="49" priority="1" operator="between">
      <x:formula>800</x:formula>
      <x:formula>1600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A1:X92"/>
  <x:sheetViews>
    <x:sheetView topLeftCell="A1" zoomScale="90" zoomScaleNormal="90" zoomScaleSheetLayoutView="110" workbookViewId="0">
      <x:selection activeCell="K12" activeCellId="0" sqref="K12:K12"/>
    </x:sheetView>
  </x:sheetViews>
  <x:sheetFormatPr defaultColWidth="9" defaultRowHeight="16.399999999999999"/>
  <x:cols>
    <x:col min="1" max="1" width="4.625" style="3" customWidth="1"/>
    <x:col min="2" max="2" width="14.625" style="3" customWidth="1"/>
    <x:col min="3" max="8" width="11.625" style="3" customWidth="1"/>
    <x:col min="9" max="9" width="14.625" style="3" customWidth="1"/>
    <x:col min="10" max="15" width="11.625" style="3" customWidth="1"/>
    <x:col min="16" max="16" width="9.875" style="3" bestFit="1" customWidth="1"/>
    <x:col min="17" max="17" width="9.375" style="3" customWidth="1"/>
    <x:col min="19" max="19" width="10.375" style="3" customWidth="1"/>
    <x:col min="21" max="21" width="12.125" style="3" customWidth="1"/>
    <x:col min="23" max="23" width="16.375" style="3" customWidth="1"/>
    <x:col min="24" max="24" width="9" style="3" bestFit="1" customWidth="1"/>
  </x:cols>
  <x:sheetData>
    <x:row r="1" spans="1:15" ht="60" customHeight="1">
      <x:c r="A1" s="112" t="s">
        <x:v>59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</x:row>
    <x:row r="2" spans="1:24" ht="22.5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4" t="s">
        <x:v>48</x:v>
      </x:c>
      <x:c r="M2" s="34"/>
      <x:c r="N2" s="113">
        <x:v>46113</x:v>
      </x:c>
      <x:c r="O2" s="114"/>
      <x:c r="U2" s="35" t="s">
        <x:v>18</x:v>
      </x:c>
      <x:c r="V2" s="35">
        <x:v>0</x:v>
      </x:c>
      <x:c r="W2" s="35" t="s">
        <x:v>0</x:v>
      </x:c>
      <x:c r="X2" s="35">
        <x:v>0</x:v>
      </x:c>
    </x:row>
    <x:row r="3" spans="1:24" ht="24.949999999999999" customHeight="1">
      <x:c r="A3" s="13"/>
      <x:c r="B3" s="14" t="s">
        <x:v>14</x:v>
      </x:c>
      <x:c r="C3" s="14" t="s">
        <x:v>44</x:v>
      </x:c>
      <x:c r="D3" s="14" t="s">
        <x:v>55</x:v>
      </x:c>
      <x:c r="E3" s="14" t="s">
        <x:v>54</x:v>
      </x:c>
      <x:c r="F3" s="14" t="s">
        <x:v>53</x:v>
      </x:c>
      <x:c r="G3" s="14" t="s">
        <x:v>52</x:v>
      </x:c>
      <x:c r="H3" s="14" t="s">
        <x:v>47</x:v>
      </x:c>
      <x:c r="I3" s="15" t="s">
        <x:v>41</x:v>
      </x:c>
      <x:c r="J3" s="14" t="s">
        <x:v>44</x:v>
      </x:c>
      <x:c r="K3" s="14" t="s">
        <x:v>55</x:v>
      </x:c>
      <x:c r="L3" s="14" t="s">
        <x:v>54</x:v>
      </x:c>
      <x:c r="M3" s="14" t="s">
        <x:v>53</x:v>
      </x:c>
      <x:c r="N3" s="16" t="s">
        <x:v>52</x:v>
      </x:c>
      <x:c r="O3" s="17" t="s">
        <x:v>56</x:v>
      </x:c>
      <x:c r="U3" s="36" t="s">
        <x:v>58</x:v>
      </x:c>
      <x:c r="V3" s="36"/>
      <x:c r="W3" s="36"/>
      <x:c r="X3" s="36"/>
    </x:row>
    <x:row r="4" spans="1:24" ht="24.949999999999999" customHeight="1">
      <x:c r="A4" s="18">
        <x:v>1</x:v>
      </x:c>
      <x:c r="B4" s="19"/>
      <x:c r="C4" s="20"/>
      <x:c r="D4" s="20"/>
      <x:c r="E4" s="20"/>
      <x:c r="F4" s="20"/>
      <x:c r="G4" s="21">
        <x:f>SUM(C4:F4)</x:f>
        <x:v>0</x:v>
      </x:c>
      <x:c r="H4" s="22">
        <x:f>G4/4</x:f>
        <x:v>0</x:v>
      </x:c>
      <x:c r="I4" s="23" t="str">
        <x:f>IF(B4="","",IFERROR(INDEX('회원명단 및 기준에버'!D:G,MATCH(B4,'회원명단 및 기준에버'!$C:$C,0),CHOOSE(INT((MONTH($N$2)-1)/3)+1,1,2,3,4)),""))</x:f>
        <x:v/>
      </x:c>
      <x:c r="J4" s="5">
        <x:f>IFERROR(C4+-I4,0)</x:f>
        <x:v>0</x:v>
      </x:c>
      <x:c r="K4" s="5">
        <x:f>IFERROR(D4+-I4,0)</x:f>
        <x:v>0</x:v>
      </x:c>
      <x:c r="L4" s="5">
        <x:f>IFERROR(E4+-I4,0)</x:f>
        <x:v>0</x:v>
      </x:c>
      <x:c r="M4" s="5">
        <x:f>IFERROR(F4+-I4,0)</x:f>
        <x:v>0</x:v>
      </x:c>
      <x:c r="N4" s="6">
        <x:f>SUM(J4:M4)</x:f>
        <x:v>0</x:v>
      </x:c>
      <x:c r="O4" s="24">
        <x:f>IFERROR(H4+-I4,0)</x:f>
        <x:v>0</x:v>
      </x:c>
      <x:c r="P4" s="25"/>
      <x:c r="U4" s="59">
        <x:f t="shared" ref="U4:U27" si="0">MAX(C4:F4)-MIN(C4:F4)</x:f>
        <x:v>0</x:v>
      </x:c>
      <x:c r="V4" s="60">
        <x:f>IF($X$2=0,(G4*1000000+U4*1000+A4),(O4*1000000+U4*1000+A4))</x:f>
        <x:v>1</x:v>
      </x:c>
      <x:c r="W4" s="60">
        <x:f t="shared" ref="W4:W27" si="1">_xlfn.RANK.EQ(V4,$V$4:$V$27,0)</x:f>
        <x:v>24</x:v>
      </x:c>
      <x:c r="X4" s="61"/>
    </x:row>
    <x:row r="5" spans="1:24" ht="24.949999999999999" customHeight="1">
      <x:c r="A5" s="18">
        <x:v>2</x:v>
      </x:c>
      <x:c r="B5" s="19"/>
      <x:c r="C5" s="20"/>
      <x:c r="D5" s="20"/>
      <x:c r="E5" s="20"/>
      <x:c r="F5" s="20"/>
      <x:c r="G5" s="21">
        <x:f>SUM(C5:F5)</x:f>
        <x:v>0</x:v>
      </x:c>
      <x:c r="H5" s="22">
        <x:f t="shared" ref="H5:H27" si="2">G5/4</x:f>
        <x:v>0</x:v>
      </x:c>
      <x:c r="I5" s="23" t="str">
        <x:f>IF(B5="","",IFERROR(INDEX('회원명단 및 기준에버'!D:G,MATCH(B5,'회원명단 및 기준에버'!$C:$C,0),CHOOSE(INT((MONTH($N$2)-1)/3)+1,1,2,3,4)),""))</x:f>
        <x:v/>
      </x:c>
      <x:c r="J5" s="5">
        <x:f>IFERROR(C5+-I5,0)</x:f>
        <x:v>0</x:v>
      </x:c>
      <x:c r="K5" s="5">
        <x:f>IFERROR(D5+-I5,0)</x:f>
        <x:v>0</x:v>
      </x:c>
      <x:c r="L5" s="5">
        <x:f>IFERROR(E5+-I5,0)</x:f>
        <x:v>0</x:v>
      </x:c>
      <x:c r="M5" s="5">
        <x:f t="shared" ref="M5:M27" si="3">IFERROR(F5+-I5,0)</x:f>
        <x:v>0</x:v>
      </x:c>
      <x:c r="N5" s="6">
        <x:f t="shared" ref="N5:N27" si="4">SUM(J5:M5)</x:f>
        <x:v>0</x:v>
      </x:c>
      <x:c r="O5" s="24">
        <x:f>IFERROR(H5+-I5,0)</x:f>
        <x:v>0</x:v>
      </x:c>
      <x:c r="P5" s="25"/>
      <x:c r="U5" s="62">
        <x:f t="shared" si="0"/>
        <x:v>0</x:v>
      </x:c>
      <x:c r="V5" s="57">
        <x:f>IF($X$2=0,(G5*1000000+U5*1000+A5),(O5*1000000+U5*1000+A5))</x:f>
        <x:v>2</x:v>
      </x:c>
      <x:c r="W5" s="57">
        <x:f t="shared" si="1"/>
        <x:v>23</x:v>
      </x:c>
      <x:c r="X5" s="63"/>
    </x:row>
    <x:row r="6" spans="1:24" ht="24.949999999999999" customHeight="1">
      <x:c r="A6" s="18">
        <x:v>3</x:v>
      </x:c>
      <x:c r="B6" s="19"/>
      <x:c r="C6" s="20"/>
      <x:c r="D6" s="20"/>
      <x:c r="E6" s="20"/>
      <x:c r="F6" s="20"/>
      <x:c r="G6" s="21">
        <x:f>SUM(C6:F6)</x:f>
        <x:v>0</x:v>
      </x:c>
      <x:c r="H6" s="22">
        <x:f t="shared" si="2"/>
        <x:v>0</x:v>
      </x:c>
      <x:c r="I6" s="23" t="str">
        <x:f>IF(B6="","",IFERROR(INDEX('회원명단 및 기준에버'!D:G,MATCH(B6,'회원명단 및 기준에버'!$C:$C,0),CHOOSE(INT((MONTH($N$2)-1)/3)+1,1,2,3,4)),""))</x:f>
        <x:v/>
      </x:c>
      <x:c r="J6" s="5">
        <x:f t="shared" ref="J6:J27" si="5">IFERROR(C6+-I6,0)</x:f>
        <x:v>0</x:v>
      </x:c>
      <x:c r="K6" s="5">
        <x:f t="shared" ref="K6:K27" si="6">IFERROR(D6+-I6,0)</x:f>
        <x:v>0</x:v>
      </x:c>
      <x:c r="L6" s="5">
        <x:f t="shared" ref="L6:L27" si="7">IFERROR(E6+-I6,0)</x:f>
        <x:v>0</x:v>
      </x:c>
      <x:c r="M6" s="5">
        <x:f t="shared" si="3"/>
        <x:v>0</x:v>
      </x:c>
      <x:c r="N6" s="6">
        <x:f t="shared" si="4"/>
        <x:v>0</x:v>
      </x:c>
      <x:c r="O6" s="24">
        <x:f t="shared" ref="O6:O27" si="8">IFERROR(H6+-I6,0)</x:f>
        <x:v>0</x:v>
      </x:c>
      <x:c r="U6" s="62">
        <x:f t="shared" si="0"/>
        <x:v>0</x:v>
      </x:c>
      <x:c r="V6" s="57">
        <x:f t="shared" ref="V6:V27" si="9">IF($X$2=0,(G6*1000000+U6*1000+A6),(O6*1000000+U6*1000+A6))</x:f>
        <x:v>3</x:v>
      </x:c>
      <x:c r="W6" s="57">
        <x:f t="shared" si="1"/>
        <x:v>22</x:v>
      </x:c>
      <x:c r="X6" s="63"/>
    </x:row>
    <x:row r="7" spans="1:24" ht="24.949999999999999" customHeight="1">
      <x:c r="A7" s="18">
        <x:v>4</x:v>
      </x:c>
      <x:c r="B7" s="19"/>
      <x:c r="C7" s="20"/>
      <x:c r="D7" s="20"/>
      <x:c r="E7" s="20"/>
      <x:c r="F7" s="20"/>
      <x:c r="G7" s="21">
        <x:f>SUM(C7:F7)</x:f>
        <x:v>0</x:v>
      </x:c>
      <x:c r="H7" s="22">
        <x:f t="shared" si="2"/>
        <x:v>0</x:v>
      </x:c>
      <x:c r="I7" s="23" t="str">
        <x:f>IF(B7="","",IFERROR(INDEX('회원명단 및 기준에버'!D:G,MATCH(B7,'회원명단 및 기준에버'!$C:$C,0),CHOOSE(INT((MONTH($N$2)-1)/3)+1,1,2,3,4)),""))</x:f>
        <x:v/>
      </x:c>
      <x:c r="J7" s="5">
        <x:f t="shared" si="5"/>
        <x:v>0</x:v>
      </x:c>
      <x:c r="K7" s="5">
        <x:f t="shared" si="6"/>
        <x:v>0</x:v>
      </x:c>
      <x:c r="L7" s="5">
        <x:f t="shared" si="7"/>
        <x:v>0</x:v>
      </x:c>
      <x:c r="M7" s="5">
        <x:f t="shared" si="3"/>
        <x:v>0</x:v>
      </x:c>
      <x:c r="N7" s="6">
        <x:f t="shared" si="4"/>
        <x:v>0</x:v>
      </x:c>
      <x:c r="O7" s="24">
        <x:f t="shared" si="8"/>
        <x:v>0</x:v>
      </x:c>
      <x:c r="U7" s="62">
        <x:f t="shared" si="0"/>
        <x:v>0</x:v>
      </x:c>
      <x:c r="V7" s="57">
        <x:f t="shared" si="9"/>
        <x:v>4</x:v>
      </x:c>
      <x:c r="W7" s="57">
        <x:f t="shared" si="1"/>
        <x:v>21</x:v>
      </x:c>
      <x:c r="X7" s="63"/>
    </x:row>
    <x:row r="8" spans="1:24" ht="24.949999999999999" customHeight="1">
      <x:c r="A8" s="18">
        <x:v>5</x:v>
      </x:c>
      <x:c r="B8" s="19"/>
      <x:c r="C8" s="20"/>
      <x:c r="D8" s="20"/>
      <x:c r="E8" s="20"/>
      <x:c r="F8" s="20"/>
      <x:c r="G8" s="21">
        <x:f t="shared" ref="G8:G27" si="10">SUM(C8:E8)</x:f>
        <x:v>0</x:v>
      </x:c>
      <x:c r="H8" s="22">
        <x:f t="shared" si="2"/>
        <x:v>0</x:v>
      </x:c>
      <x:c r="I8" s="23" t="str">
        <x:f>IF(B8="","",IFERROR(INDEX('회원명단 및 기준에버'!D:G,MATCH(B8,'회원명단 및 기준에버'!$C:$C,0),CHOOSE(INT((MONTH($N$2)-1)/3)+1,1,2,3,4)),""))</x:f>
        <x:v/>
      </x:c>
      <x:c r="J8" s="5">
        <x:f t="shared" si="5"/>
        <x:v>0</x:v>
      </x:c>
      <x:c r="K8" s="5">
        <x:f t="shared" si="6"/>
        <x:v>0</x:v>
      </x:c>
      <x:c r="L8" s="5">
        <x:f t="shared" si="7"/>
        <x:v>0</x:v>
      </x:c>
      <x:c r="M8" s="5">
        <x:f t="shared" si="3"/>
        <x:v>0</x:v>
      </x:c>
      <x:c r="N8" s="6">
        <x:f t="shared" si="4"/>
        <x:v>0</x:v>
      </x:c>
      <x:c r="O8" s="24">
        <x:f t="shared" si="8"/>
        <x:v>0</x:v>
      </x:c>
      <x:c r="U8" s="62">
        <x:f t="shared" si="0"/>
        <x:v>0</x:v>
      </x:c>
      <x:c r="V8" s="57">
        <x:f t="shared" si="9"/>
        <x:v>5</x:v>
      </x:c>
      <x:c r="W8" s="57">
        <x:f t="shared" si="1"/>
        <x:v>20</x:v>
      </x:c>
      <x:c r="X8" s="63"/>
    </x:row>
    <x:row r="9" spans="1:24" ht="24.949999999999999" customHeight="1">
      <x:c r="A9" s="18">
        <x:v>6</x:v>
      </x:c>
      <x:c r="B9" s="19"/>
      <x:c r="C9" s="20"/>
      <x:c r="D9" s="20"/>
      <x:c r="E9" s="20"/>
      <x:c r="F9" s="20"/>
      <x:c r="G9" s="21">
        <x:f t="shared" si="10"/>
        <x:v>0</x:v>
      </x:c>
      <x:c r="H9" s="22">
        <x:f t="shared" si="2"/>
        <x:v>0</x:v>
      </x:c>
      <x:c r="I9" s="23" t="str">
        <x:f>IF(B9="","",IFERROR(INDEX('회원명단 및 기준에버'!D:G,MATCH(B9,'회원명단 및 기준에버'!$C:$C,0),CHOOSE(INT((MONTH($N$2)-1)/3)+1,1,2,3,4)),""))</x:f>
        <x:v/>
      </x:c>
      <x:c r="J9" s="5">
        <x:f t="shared" si="5"/>
        <x:v>0</x:v>
      </x:c>
      <x:c r="K9" s="5">
        <x:f t="shared" si="6"/>
        <x:v>0</x:v>
      </x:c>
      <x:c r="L9" s="5">
        <x:f t="shared" si="7"/>
        <x:v>0</x:v>
      </x:c>
      <x:c r="M9" s="5">
        <x:f t="shared" si="3"/>
        <x:v>0</x:v>
      </x:c>
      <x:c r="N9" s="6">
        <x:f t="shared" si="4"/>
        <x:v>0</x:v>
      </x:c>
      <x:c r="O9" s="24">
        <x:f t="shared" si="8"/>
        <x:v>0</x:v>
      </x:c>
      <x:c r="U9" s="62">
        <x:f t="shared" si="0"/>
        <x:v>0</x:v>
      </x:c>
      <x:c r="V9" s="57">
        <x:f t="shared" si="9"/>
        <x:v>6</x:v>
      </x:c>
      <x:c r="W9" s="57">
        <x:f t="shared" si="1"/>
        <x:v>19</x:v>
      </x:c>
      <x:c r="X9" s="63"/>
    </x:row>
    <x:row r="10" spans="1:24" ht="24.949999999999999" customHeight="1">
      <x:c r="A10" s="18">
        <x:v>7</x:v>
      </x:c>
      <x:c r="B10" s="19"/>
      <x:c r="C10" s="20"/>
      <x:c r="D10" s="20"/>
      <x:c r="E10" s="20"/>
      <x:c r="F10" s="20"/>
      <x:c r="G10" s="21">
        <x:f t="shared" si="10"/>
        <x:v>0</x:v>
      </x:c>
      <x:c r="H10" s="22">
        <x:f t="shared" si="2"/>
        <x:v>0</x:v>
      </x:c>
      <x:c r="I10" s="23" t="str">
        <x:f>IF(B10="","",IFERROR(INDEX('회원명단 및 기준에버'!D:G,MATCH(B10,'회원명단 및 기준에버'!$C:$C,0),CHOOSE(INT((MONTH($N$2)-1)/3)+1,1,2,3,4)),""))</x:f>
        <x:v/>
      </x:c>
      <x:c r="J10" s="5">
        <x:f t="shared" si="5"/>
        <x:v>0</x:v>
      </x:c>
      <x:c r="K10" s="5">
        <x:f t="shared" si="6"/>
        <x:v>0</x:v>
      </x:c>
      <x:c r="L10" s="5">
        <x:f t="shared" si="7"/>
        <x:v>0</x:v>
      </x:c>
      <x:c r="M10" s="5">
        <x:f t="shared" si="3"/>
        <x:v>0</x:v>
      </x:c>
      <x:c r="N10" s="6">
        <x:f t="shared" si="4"/>
        <x:v>0</x:v>
      </x:c>
      <x:c r="O10" s="24">
        <x:f t="shared" si="8"/>
        <x:v>0</x:v>
      </x:c>
      <x:c r="U10" s="62">
        <x:f t="shared" si="0"/>
        <x:v>0</x:v>
      </x:c>
      <x:c r="V10" s="57">
        <x:f t="shared" si="9"/>
        <x:v>7</x:v>
      </x:c>
      <x:c r="W10" s="57">
        <x:f t="shared" si="1"/>
        <x:v>18</x:v>
      </x:c>
      <x:c r="X10" s="63"/>
    </x:row>
    <x:row r="11" spans="1:24" ht="24.949999999999999" customHeight="1">
      <x:c r="A11" s="18">
        <x:v>8</x:v>
      </x:c>
      <x:c r="B11" s="19"/>
      <x:c r="C11" s="20"/>
      <x:c r="D11" s="20"/>
      <x:c r="E11" s="20"/>
      <x:c r="F11" s="20"/>
      <x:c r="G11" s="21">
        <x:f t="shared" si="10"/>
        <x:v>0</x:v>
      </x:c>
      <x:c r="H11" s="22">
        <x:f t="shared" si="2"/>
        <x:v>0</x:v>
      </x:c>
      <x:c r="I11" s="23" t="str">
        <x:f>IF(B11="","",IFERROR(INDEX('회원명단 및 기준에버'!D:G,MATCH(B11,'회원명단 및 기준에버'!$C:$C,0),CHOOSE(INT((MONTH($N$2)-1)/3)+1,1,2,3,4)),""))</x:f>
        <x:v/>
      </x:c>
      <x:c r="J11" s="5">
        <x:f t="shared" si="5"/>
        <x:v>0</x:v>
      </x:c>
      <x:c r="K11" s="5">
        <x:f t="shared" si="6"/>
        <x:v>0</x:v>
      </x:c>
      <x:c r="L11" s="5">
        <x:f t="shared" si="7"/>
        <x:v>0</x:v>
      </x:c>
      <x:c r="M11" s="5">
        <x:f t="shared" si="3"/>
        <x:v>0</x:v>
      </x:c>
      <x:c r="N11" s="6">
        <x:f t="shared" si="4"/>
        <x:v>0</x:v>
      </x:c>
      <x:c r="O11" s="24">
        <x:f t="shared" si="8"/>
        <x:v>0</x:v>
      </x:c>
      <x:c r="U11" s="62">
        <x:f t="shared" si="0"/>
        <x:v>0</x:v>
      </x:c>
      <x:c r="V11" s="57">
        <x:f t="shared" si="9"/>
        <x:v>8</x:v>
      </x:c>
      <x:c r="W11" s="57">
        <x:f t="shared" si="1"/>
        <x:v>17</x:v>
      </x:c>
      <x:c r="X11" s="63"/>
    </x:row>
    <x:row r="12" spans="1:24" ht="24.949999999999999" customHeight="1">
      <x:c r="A12" s="18">
        <x:v>9</x:v>
      </x:c>
      <x:c r="B12" s="19"/>
      <x:c r="C12" s="20"/>
      <x:c r="D12" s="20"/>
      <x:c r="E12" s="20"/>
      <x:c r="F12" s="20"/>
      <x:c r="G12" s="21">
        <x:f t="shared" si="10"/>
        <x:v>0</x:v>
      </x:c>
      <x:c r="H12" s="22">
        <x:f t="shared" si="2"/>
        <x:v>0</x:v>
      </x:c>
      <x:c r="I12" s="23" t="str">
        <x:f>IF(B12="","",IFERROR(INDEX('회원명단 및 기준에버'!D:G,MATCH(B12,'회원명단 및 기준에버'!$C:$C,0),CHOOSE(INT((MONTH($N$2)-1)/3)+1,1,2,3,4)),""))</x:f>
        <x:v/>
      </x:c>
      <x:c r="J12" s="5">
        <x:f t="shared" si="5"/>
        <x:v>0</x:v>
      </x:c>
      <x:c r="K12" s="5">
        <x:f t="shared" si="6"/>
        <x:v>0</x:v>
      </x:c>
      <x:c r="L12" s="5">
        <x:f t="shared" si="7"/>
        <x:v>0</x:v>
      </x:c>
      <x:c r="M12" s="5">
        <x:f t="shared" si="3"/>
        <x:v>0</x:v>
      </x:c>
      <x:c r="N12" s="6">
        <x:f t="shared" si="4"/>
        <x:v>0</x:v>
      </x:c>
      <x:c r="O12" s="24">
        <x:f t="shared" si="8"/>
        <x:v>0</x:v>
      </x:c>
      <x:c r="U12" s="62">
        <x:f t="shared" si="0"/>
        <x:v>0</x:v>
      </x:c>
      <x:c r="V12" s="57">
        <x:f t="shared" si="9"/>
        <x:v>9</x:v>
      </x:c>
      <x:c r="W12" s="57">
        <x:f t="shared" si="1"/>
        <x:v>16</x:v>
      </x:c>
      <x:c r="X12" s="63"/>
    </x:row>
    <x:row r="13" spans="1:24" ht="24.949999999999999" customHeight="1">
      <x:c r="A13" s="18">
        <x:v>10</x:v>
      </x:c>
      <x:c r="B13" s="19"/>
      <x:c r="C13" s="20"/>
      <x:c r="D13" s="20"/>
      <x:c r="E13" s="20"/>
      <x:c r="F13" s="20"/>
      <x:c r="G13" s="21">
        <x:f t="shared" si="10"/>
        <x:v>0</x:v>
      </x:c>
      <x:c r="H13" s="22">
        <x:f t="shared" si="2"/>
        <x:v>0</x:v>
      </x:c>
      <x:c r="I13" s="23" t="str">
        <x:f>IF(B13="","",IFERROR(INDEX('회원명단 및 기준에버'!D:G,MATCH(B13,'회원명단 및 기준에버'!$C:$C,0),CHOOSE(INT((MONTH($N$2)-1)/3)+1,1,2,3,4)),""))</x:f>
        <x:v/>
      </x:c>
      <x:c r="J13" s="5">
        <x:f t="shared" si="5"/>
        <x:v>0</x:v>
      </x:c>
      <x:c r="K13" s="5">
        <x:f t="shared" si="6"/>
        <x:v>0</x:v>
      </x:c>
      <x:c r="L13" s="5">
        <x:f t="shared" si="7"/>
        <x:v>0</x:v>
      </x:c>
      <x:c r="M13" s="5">
        <x:f t="shared" si="3"/>
        <x:v>0</x:v>
      </x:c>
      <x:c r="N13" s="6">
        <x:f t="shared" si="4"/>
        <x:v>0</x:v>
      </x:c>
      <x:c r="O13" s="24">
        <x:f t="shared" si="8"/>
        <x:v>0</x:v>
      </x:c>
      <x:c r="U13" s="62">
        <x:f t="shared" si="0"/>
        <x:v>0</x:v>
      </x:c>
      <x:c r="V13" s="57">
        <x:f t="shared" si="9"/>
        <x:v>10</x:v>
      </x:c>
      <x:c r="W13" s="57">
        <x:f t="shared" si="1"/>
        <x:v>15</x:v>
      </x:c>
      <x:c r="X13" s="63"/>
    </x:row>
    <x:row r="14" spans="1:24" ht="24.949999999999999" customHeight="1">
      <x:c r="A14" s="18">
        <x:v>11</x:v>
      </x:c>
      <x:c r="B14" s="19"/>
      <x:c r="C14" s="20"/>
      <x:c r="D14" s="20"/>
      <x:c r="E14" s="20"/>
      <x:c r="F14" s="20"/>
      <x:c r="G14" s="21">
        <x:f t="shared" si="10"/>
        <x:v>0</x:v>
      </x:c>
      <x:c r="H14" s="22">
        <x:f t="shared" si="2"/>
        <x:v>0</x:v>
      </x:c>
      <x:c r="I14" s="23" t="str">
        <x:f>IF(B14="","",IFERROR(INDEX('회원명단 및 기준에버'!D:G,MATCH(B14,'회원명단 및 기준에버'!$C:$C,0),CHOOSE(INT((MONTH($N$2)-1)/3)+1,1,2,3,4)),""))</x:f>
        <x:v/>
      </x:c>
      <x:c r="J14" s="5">
        <x:f t="shared" si="5"/>
        <x:v>0</x:v>
      </x:c>
      <x:c r="K14" s="5">
        <x:f t="shared" si="6"/>
        <x:v>0</x:v>
      </x:c>
      <x:c r="L14" s="5">
        <x:f t="shared" si="7"/>
        <x:v>0</x:v>
      </x:c>
      <x:c r="M14" s="5">
        <x:f t="shared" si="3"/>
        <x:v>0</x:v>
      </x:c>
      <x:c r="N14" s="6">
        <x:f t="shared" si="4"/>
        <x:v>0</x:v>
      </x:c>
      <x:c r="O14" s="24">
        <x:f t="shared" si="8"/>
        <x:v>0</x:v>
      </x:c>
      <x:c r="U14" s="62">
        <x:f t="shared" si="0"/>
        <x:v>0</x:v>
      </x:c>
      <x:c r="V14" s="57">
        <x:f t="shared" si="9"/>
        <x:v>11</x:v>
      </x:c>
      <x:c r="W14" s="57">
        <x:f t="shared" si="1"/>
        <x:v>14</x:v>
      </x:c>
      <x:c r="X14" s="63"/>
    </x:row>
    <x:row r="15" spans="1:24" ht="24.949999999999999" customHeight="1">
      <x:c r="A15" s="18">
        <x:v>12</x:v>
      </x:c>
      <x:c r="B15" s="19"/>
      <x:c r="C15" s="20"/>
      <x:c r="D15" s="20"/>
      <x:c r="E15" s="20"/>
      <x:c r="F15" s="20"/>
      <x:c r="G15" s="21">
        <x:f t="shared" si="10"/>
        <x:v>0</x:v>
      </x:c>
      <x:c r="H15" s="22">
        <x:f t="shared" si="2"/>
        <x:v>0</x:v>
      </x:c>
      <x:c r="I15" s="23" t="str">
        <x:f>IF(B15="","",IFERROR(INDEX('회원명단 및 기준에버'!D:G,MATCH(B15,'회원명단 및 기준에버'!$C:$C,0),CHOOSE(INT((MONTH($N$2)-1)/3)+1,1,2,3,4)),""))</x:f>
        <x:v/>
      </x:c>
      <x:c r="J15" s="5">
        <x:f t="shared" si="5"/>
        <x:v>0</x:v>
      </x:c>
      <x:c r="K15" s="5">
        <x:f t="shared" si="6"/>
        <x:v>0</x:v>
      </x:c>
      <x:c r="L15" s="5">
        <x:f t="shared" si="7"/>
        <x:v>0</x:v>
      </x:c>
      <x:c r="M15" s="5">
        <x:f t="shared" si="3"/>
        <x:v>0</x:v>
      </x:c>
      <x:c r="N15" s="6">
        <x:f t="shared" si="4"/>
        <x:v>0</x:v>
      </x:c>
      <x:c r="O15" s="24">
        <x:f t="shared" si="8"/>
        <x:v>0</x:v>
      </x:c>
      <x:c r="U15" s="62">
        <x:f t="shared" si="0"/>
        <x:v>0</x:v>
      </x:c>
      <x:c r="V15" s="57">
        <x:f t="shared" si="9"/>
        <x:v>12</x:v>
      </x:c>
      <x:c r="W15" s="57">
        <x:f t="shared" si="1"/>
        <x:v>13</x:v>
      </x:c>
      <x:c r="X15" s="63"/>
    </x:row>
    <x:row r="16" spans="1:24" ht="24.949999999999999" customHeight="1">
      <x:c r="A16" s="18">
        <x:v>13</x:v>
      </x:c>
      <x:c r="B16" s="19"/>
      <x:c r="C16" s="20"/>
      <x:c r="D16" s="20"/>
      <x:c r="E16" s="20"/>
      <x:c r="F16" s="20"/>
      <x:c r="G16" s="21">
        <x:f t="shared" si="10"/>
        <x:v>0</x:v>
      </x:c>
      <x:c r="H16" s="22">
        <x:f t="shared" si="2"/>
        <x:v>0</x:v>
      </x:c>
      <x:c r="I16" s="23" t="str">
        <x:f>IF(B16="","",IFERROR(INDEX('회원명단 및 기준에버'!D:G,MATCH(B16,'회원명단 및 기준에버'!$C:$C,0),CHOOSE(INT((MONTH($N$2)-1)/3)+1,1,2,3,4)),""))</x:f>
        <x:v/>
      </x:c>
      <x:c r="J16" s="5">
        <x:f t="shared" si="5"/>
        <x:v>0</x:v>
      </x:c>
      <x:c r="K16" s="5">
        <x:f t="shared" si="6"/>
        <x:v>0</x:v>
      </x:c>
      <x:c r="L16" s="5">
        <x:f t="shared" si="7"/>
        <x:v>0</x:v>
      </x:c>
      <x:c r="M16" s="5">
        <x:f t="shared" si="3"/>
        <x:v>0</x:v>
      </x:c>
      <x:c r="N16" s="6">
        <x:f t="shared" si="4"/>
        <x:v>0</x:v>
      </x:c>
      <x:c r="O16" s="24">
        <x:f t="shared" si="8"/>
        <x:v>0</x:v>
      </x:c>
      <x:c r="U16" s="62">
        <x:f t="shared" si="0"/>
        <x:v>0</x:v>
      </x:c>
      <x:c r="V16" s="57">
        <x:f t="shared" si="9"/>
        <x:v>13</x:v>
      </x:c>
      <x:c r="W16" s="57">
        <x:f t="shared" si="1"/>
        <x:v>12</x:v>
      </x:c>
      <x:c r="X16" s="63"/>
    </x:row>
    <x:row r="17" spans="1:24" ht="24.949999999999999" customHeight="1">
      <x:c r="A17" s="18">
        <x:v>14</x:v>
      </x:c>
      <x:c r="B17" s="19"/>
      <x:c r="C17" s="20"/>
      <x:c r="D17" s="20"/>
      <x:c r="E17" s="20"/>
      <x:c r="F17" s="20"/>
      <x:c r="G17" s="21">
        <x:f t="shared" si="10"/>
        <x:v>0</x:v>
      </x:c>
      <x:c r="H17" s="22">
        <x:f t="shared" si="2"/>
        <x:v>0</x:v>
      </x:c>
      <x:c r="I17" s="23" t="str">
        <x:f>IF(B17="","",IFERROR(INDEX('회원명단 및 기준에버'!D:G,MATCH(B17,'회원명단 및 기준에버'!$C:$C,0),CHOOSE(INT((MONTH($N$2)-1)/3)+1,1,2,3,4)),""))</x:f>
        <x:v/>
      </x:c>
      <x:c r="J17" s="5">
        <x:f t="shared" si="5"/>
        <x:v>0</x:v>
      </x:c>
      <x:c r="K17" s="5">
        <x:f t="shared" si="6"/>
        <x:v>0</x:v>
      </x:c>
      <x:c r="L17" s="5">
        <x:f t="shared" si="7"/>
        <x:v>0</x:v>
      </x:c>
      <x:c r="M17" s="5">
        <x:f t="shared" si="3"/>
        <x:v>0</x:v>
      </x:c>
      <x:c r="N17" s="6">
        <x:f t="shared" si="4"/>
        <x:v>0</x:v>
      </x:c>
      <x:c r="O17" s="24">
        <x:f t="shared" si="8"/>
        <x:v>0</x:v>
      </x:c>
      <x:c r="U17" s="62">
        <x:f t="shared" si="0"/>
        <x:v>0</x:v>
      </x:c>
      <x:c r="V17" s="57">
        <x:f t="shared" si="9"/>
        <x:v>14</x:v>
      </x:c>
      <x:c r="W17" s="57">
        <x:f t="shared" si="1"/>
        <x:v>11</x:v>
      </x:c>
      <x:c r="X17" s="63"/>
    </x:row>
    <x:row r="18" spans="1:24" ht="24.949999999999999" customHeight="1">
      <x:c r="A18" s="18">
        <x:v>15</x:v>
      </x:c>
      <x:c r="B18" s="19"/>
      <x:c r="C18" s="20"/>
      <x:c r="D18" s="20"/>
      <x:c r="E18" s="20"/>
      <x:c r="F18" s="20"/>
      <x:c r="G18" s="21">
        <x:f t="shared" si="10"/>
        <x:v>0</x:v>
      </x:c>
      <x:c r="H18" s="22">
        <x:f t="shared" si="2"/>
        <x:v>0</x:v>
      </x:c>
      <x:c r="I18" s="23" t="str">
        <x:f>IF(B18="","",IFERROR(INDEX('회원명단 및 기준에버'!D:G,MATCH(B18,'회원명단 및 기준에버'!$C:$C,0),CHOOSE(INT((MONTH($N$2)-1)/3)+1,1,2,3,4)),""))</x:f>
        <x:v/>
      </x:c>
      <x:c r="J18" s="5">
        <x:f t="shared" si="5"/>
        <x:v>0</x:v>
      </x:c>
      <x:c r="K18" s="5">
        <x:f t="shared" si="6"/>
        <x:v>0</x:v>
      </x:c>
      <x:c r="L18" s="5">
        <x:f t="shared" si="7"/>
        <x:v>0</x:v>
      </x:c>
      <x:c r="M18" s="5">
        <x:f t="shared" si="3"/>
        <x:v>0</x:v>
      </x:c>
      <x:c r="N18" s="6">
        <x:f t="shared" si="4"/>
        <x:v>0</x:v>
      </x:c>
      <x:c r="O18" s="24">
        <x:f t="shared" si="8"/>
        <x:v>0</x:v>
      </x:c>
      <x:c r="U18" s="62">
        <x:f t="shared" si="0"/>
        <x:v>0</x:v>
      </x:c>
      <x:c r="V18" s="57">
        <x:f t="shared" si="9"/>
        <x:v>15</x:v>
      </x:c>
      <x:c r="W18" s="57">
        <x:f t="shared" si="1"/>
        <x:v>10</x:v>
      </x:c>
      <x:c r="X18" s="63"/>
    </x:row>
    <x:row r="19" spans="1:24" ht="24.949999999999999" customHeight="1">
      <x:c r="A19" s="18">
        <x:v>16</x:v>
      </x:c>
      <x:c r="B19" s="19"/>
      <x:c r="C19" s="20"/>
      <x:c r="D19" s="20"/>
      <x:c r="E19" s="20"/>
      <x:c r="F19" s="20"/>
      <x:c r="G19" s="21">
        <x:f t="shared" si="10"/>
        <x:v>0</x:v>
      </x:c>
      <x:c r="H19" s="22">
        <x:f t="shared" si="2"/>
        <x:v>0</x:v>
      </x:c>
      <x:c r="I19" s="23" t="str">
        <x:f>IF(B19="","",IFERROR(INDEX('회원명단 및 기준에버'!D:G,MATCH(B19,'회원명단 및 기준에버'!$C:$C,0),CHOOSE(INT((MONTH($N$2)-1)/3)+1,1,2,3,4)),""))</x:f>
        <x:v/>
      </x:c>
      <x:c r="J19" s="5">
        <x:f t="shared" si="5"/>
        <x:v>0</x:v>
      </x:c>
      <x:c r="K19" s="5">
        <x:f t="shared" si="6"/>
        <x:v>0</x:v>
      </x:c>
      <x:c r="L19" s="5">
        <x:f t="shared" si="7"/>
        <x:v>0</x:v>
      </x:c>
      <x:c r="M19" s="5">
        <x:f t="shared" si="3"/>
        <x:v>0</x:v>
      </x:c>
      <x:c r="N19" s="6">
        <x:f t="shared" si="4"/>
        <x:v>0</x:v>
      </x:c>
      <x:c r="O19" s="24">
        <x:f t="shared" si="8"/>
        <x:v>0</x:v>
      </x:c>
      <x:c r="U19" s="62">
        <x:f t="shared" si="0"/>
        <x:v>0</x:v>
      </x:c>
      <x:c r="V19" s="57">
        <x:f t="shared" si="9"/>
        <x:v>16</x:v>
      </x:c>
      <x:c r="W19" s="57">
        <x:f t="shared" si="1"/>
        <x:v>9</x:v>
      </x:c>
      <x:c r="X19" s="63"/>
    </x:row>
    <x:row r="20" spans="1:24" ht="24.949999999999999" customHeight="1">
      <x:c r="A20" s="18">
        <x:v>17</x:v>
      </x:c>
      <x:c r="B20" s="19"/>
      <x:c r="C20" s="20"/>
      <x:c r="D20" s="20"/>
      <x:c r="E20" s="20"/>
      <x:c r="F20" s="20"/>
      <x:c r="G20" s="21">
        <x:f t="shared" si="10"/>
        <x:v>0</x:v>
      </x:c>
      <x:c r="H20" s="22">
        <x:f t="shared" si="2"/>
        <x:v>0</x:v>
      </x:c>
      <x:c r="I20" s="23" t="str">
        <x:f>IF(B20="","",IFERROR(INDEX('회원명단 및 기준에버'!D:G,MATCH(B20,'회원명단 및 기준에버'!$C:$C,0),CHOOSE(INT((MONTH($N$2)-1)/3)+1,1,2,3,4)),""))</x:f>
        <x:v/>
      </x:c>
      <x:c r="J20" s="5">
        <x:f t="shared" si="5"/>
        <x:v>0</x:v>
      </x:c>
      <x:c r="K20" s="5">
        <x:f t="shared" si="6"/>
        <x:v>0</x:v>
      </x:c>
      <x:c r="L20" s="5">
        <x:f t="shared" si="7"/>
        <x:v>0</x:v>
      </x:c>
      <x:c r="M20" s="5">
        <x:f t="shared" si="3"/>
        <x:v>0</x:v>
      </x:c>
      <x:c r="N20" s="6">
        <x:f t="shared" si="4"/>
        <x:v>0</x:v>
      </x:c>
      <x:c r="O20" s="24">
        <x:f t="shared" si="8"/>
        <x:v>0</x:v>
      </x:c>
      <x:c r="U20" s="62">
        <x:f t="shared" si="0"/>
        <x:v>0</x:v>
      </x:c>
      <x:c r="V20" s="57">
        <x:f t="shared" si="9"/>
        <x:v>17</x:v>
      </x:c>
      <x:c r="W20" s="57">
        <x:f t="shared" si="1"/>
        <x:v>8</x:v>
      </x:c>
      <x:c r="X20" s="63"/>
    </x:row>
    <x:row r="21" spans="1:24" ht="24.949999999999999" customHeight="1">
      <x:c r="A21" s="18">
        <x:v>18</x:v>
      </x:c>
      <x:c r="B21" s="19"/>
      <x:c r="C21" s="20"/>
      <x:c r="D21" s="20"/>
      <x:c r="E21" s="20"/>
      <x:c r="F21" s="20"/>
      <x:c r="G21" s="21">
        <x:f t="shared" si="10"/>
        <x:v>0</x:v>
      </x:c>
      <x:c r="H21" s="22">
        <x:f t="shared" si="2"/>
        <x:v>0</x:v>
      </x:c>
      <x:c r="I21" s="23" t="str">
        <x:f>IF(B21="","",IFERROR(INDEX('회원명단 및 기준에버'!D:G,MATCH(B21,'회원명단 및 기준에버'!$C:$C,0),CHOOSE(INT((MONTH($N$2)-1)/3)+1,1,2,3,4)),""))</x:f>
        <x:v/>
      </x:c>
      <x:c r="J21" s="5">
        <x:f t="shared" si="5"/>
        <x:v>0</x:v>
      </x:c>
      <x:c r="K21" s="5">
        <x:f t="shared" si="6"/>
        <x:v>0</x:v>
      </x:c>
      <x:c r="L21" s="5">
        <x:f t="shared" si="7"/>
        <x:v>0</x:v>
      </x:c>
      <x:c r="M21" s="5">
        <x:f t="shared" si="3"/>
        <x:v>0</x:v>
      </x:c>
      <x:c r="N21" s="6">
        <x:f t="shared" si="4"/>
        <x:v>0</x:v>
      </x:c>
      <x:c r="O21" s="24">
        <x:f t="shared" si="8"/>
        <x:v>0</x:v>
      </x:c>
      <x:c r="U21" s="62">
        <x:f t="shared" si="0"/>
        <x:v>0</x:v>
      </x:c>
      <x:c r="V21" s="57">
        <x:f t="shared" si="9"/>
        <x:v>18</x:v>
      </x:c>
      <x:c r="W21" s="57">
        <x:f t="shared" si="1"/>
        <x:v>7</x:v>
      </x:c>
      <x:c r="X21" s="63"/>
    </x:row>
    <x:row r="22" spans="1:24" ht="24.949999999999999" customHeight="1">
      <x:c r="A22" s="18">
        <x:v>19</x:v>
      </x:c>
      <x:c r="B22" s="19"/>
      <x:c r="C22" s="20"/>
      <x:c r="D22" s="20"/>
      <x:c r="E22" s="20"/>
      <x:c r="F22" s="20"/>
      <x:c r="G22" s="21">
        <x:f t="shared" si="10"/>
        <x:v>0</x:v>
      </x:c>
      <x:c r="H22" s="22">
        <x:f t="shared" si="2"/>
        <x:v>0</x:v>
      </x:c>
      <x:c r="I22" s="23" t="str">
        <x:f>IF(B22="","",IFERROR(INDEX('회원명단 및 기준에버'!D:G,MATCH(B22,'회원명단 및 기준에버'!$C:$C,0),CHOOSE(INT((MONTH($N$2)-1)/3)+1,1,2,3,4)),""))</x:f>
        <x:v/>
      </x:c>
      <x:c r="J22" s="5">
        <x:f t="shared" si="5"/>
        <x:v>0</x:v>
      </x:c>
      <x:c r="K22" s="5">
        <x:f t="shared" si="6"/>
        <x:v>0</x:v>
      </x:c>
      <x:c r="L22" s="5">
        <x:f t="shared" si="7"/>
        <x:v>0</x:v>
      </x:c>
      <x:c r="M22" s="5">
        <x:f t="shared" si="3"/>
        <x:v>0</x:v>
      </x:c>
      <x:c r="N22" s="6">
        <x:f t="shared" si="4"/>
        <x:v>0</x:v>
      </x:c>
      <x:c r="O22" s="24">
        <x:f t="shared" si="8"/>
        <x:v>0</x:v>
      </x:c>
      <x:c r="U22" s="62">
        <x:f t="shared" si="0"/>
        <x:v>0</x:v>
      </x:c>
      <x:c r="V22" s="57">
        <x:f t="shared" si="9"/>
        <x:v>19</x:v>
      </x:c>
      <x:c r="W22" s="57">
        <x:f t="shared" si="1"/>
        <x:v>6</x:v>
      </x:c>
      <x:c r="X22" s="63"/>
    </x:row>
    <x:row r="23" spans="1:24" ht="24.949999999999999" customHeight="1">
      <x:c r="A23" s="18">
        <x:v>20</x:v>
      </x:c>
      <x:c r="B23" s="19"/>
      <x:c r="C23" s="20"/>
      <x:c r="D23" s="20"/>
      <x:c r="E23" s="20"/>
      <x:c r="F23" s="20"/>
      <x:c r="G23" s="21">
        <x:f t="shared" si="10"/>
        <x:v>0</x:v>
      </x:c>
      <x:c r="H23" s="22">
        <x:f t="shared" si="2"/>
        <x:v>0</x:v>
      </x:c>
      <x:c r="I23" s="23" t="str">
        <x:f>IF(B23="","",IFERROR(INDEX('회원명단 및 기준에버'!D:G,MATCH(B23,'회원명단 및 기준에버'!$C:$C,0),CHOOSE(INT((MONTH($N$2)-1)/3)+1,1,2,3,4)),""))</x:f>
        <x:v/>
      </x:c>
      <x:c r="J23" s="5">
        <x:f t="shared" si="5"/>
        <x:v>0</x:v>
      </x:c>
      <x:c r="K23" s="5">
        <x:f t="shared" si="6"/>
        <x:v>0</x:v>
      </x:c>
      <x:c r="L23" s="5">
        <x:f t="shared" si="7"/>
        <x:v>0</x:v>
      </x:c>
      <x:c r="M23" s="5">
        <x:f t="shared" si="3"/>
        <x:v>0</x:v>
      </x:c>
      <x:c r="N23" s="6">
        <x:f t="shared" si="4"/>
        <x:v>0</x:v>
      </x:c>
      <x:c r="O23" s="24">
        <x:f t="shared" si="8"/>
        <x:v>0</x:v>
      </x:c>
      <x:c r="U23" s="62">
        <x:f t="shared" si="0"/>
        <x:v>0</x:v>
      </x:c>
      <x:c r="V23" s="57">
        <x:f t="shared" si="9"/>
        <x:v>20</x:v>
      </x:c>
      <x:c r="W23" s="57">
        <x:f t="shared" si="1"/>
        <x:v>5</x:v>
      </x:c>
      <x:c r="X23" s="63"/>
    </x:row>
    <x:row r="24" spans="1:24" ht="24.949999999999999" customHeight="1">
      <x:c r="A24" s="18">
        <x:v>21</x:v>
      </x:c>
      <x:c r="B24" s="19"/>
      <x:c r="C24" s="20"/>
      <x:c r="D24" s="20"/>
      <x:c r="E24" s="20"/>
      <x:c r="F24" s="20"/>
      <x:c r="G24" s="21">
        <x:f t="shared" si="10"/>
        <x:v>0</x:v>
      </x:c>
      <x:c r="H24" s="22">
        <x:f t="shared" si="2"/>
        <x:v>0</x:v>
      </x:c>
      <x:c r="I24" s="23" t="str">
        <x:f>IF(B24="","",IFERROR(INDEX('회원명단 및 기준에버'!D:G,MATCH(B24,'회원명단 및 기준에버'!$C:$C,0),CHOOSE(INT((MONTH($N$2)-1)/3)+1,1,2,3,4)),""))</x:f>
        <x:v/>
      </x:c>
      <x:c r="J24" s="5">
        <x:f t="shared" si="5"/>
        <x:v>0</x:v>
      </x:c>
      <x:c r="K24" s="5">
        <x:f t="shared" si="6"/>
        <x:v>0</x:v>
      </x:c>
      <x:c r="L24" s="5">
        <x:f t="shared" si="7"/>
        <x:v>0</x:v>
      </x:c>
      <x:c r="M24" s="5">
        <x:f t="shared" si="3"/>
        <x:v>0</x:v>
      </x:c>
      <x:c r="N24" s="6">
        <x:f t="shared" si="4"/>
        <x:v>0</x:v>
      </x:c>
      <x:c r="O24" s="24">
        <x:f t="shared" si="8"/>
        <x:v>0</x:v>
      </x:c>
      <x:c r="U24" s="62">
        <x:f t="shared" si="0"/>
        <x:v>0</x:v>
      </x:c>
      <x:c r="V24" s="57">
        <x:f t="shared" si="9"/>
        <x:v>21</x:v>
      </x:c>
      <x:c r="W24" s="57">
        <x:f t="shared" si="1"/>
        <x:v>4</x:v>
      </x:c>
      <x:c r="X24" s="63"/>
    </x:row>
    <x:row r="25" spans="1:24" ht="24.949999999999999" customHeight="1">
      <x:c r="A25" s="18">
        <x:v>22</x:v>
      </x:c>
      <x:c r="B25" s="19"/>
      <x:c r="C25" s="20"/>
      <x:c r="D25" s="20"/>
      <x:c r="E25" s="20"/>
      <x:c r="F25" s="20"/>
      <x:c r="G25" s="21">
        <x:f t="shared" si="10"/>
        <x:v>0</x:v>
      </x:c>
      <x:c r="H25" s="22">
        <x:f t="shared" si="2"/>
        <x:v>0</x:v>
      </x:c>
      <x:c r="I25" s="23" t="str">
        <x:f>IF(B25="","",IFERROR(INDEX('회원명단 및 기준에버'!D:G,MATCH(B25,'회원명단 및 기준에버'!$C:$C,0),CHOOSE(INT((MONTH($N$2)-1)/3)+1,1,2,3,4)),""))</x:f>
        <x:v/>
      </x:c>
      <x:c r="J25" s="5">
        <x:f t="shared" si="5"/>
        <x:v>0</x:v>
      </x:c>
      <x:c r="K25" s="5">
        <x:f t="shared" si="6"/>
        <x:v>0</x:v>
      </x:c>
      <x:c r="L25" s="5">
        <x:f t="shared" si="7"/>
        <x:v>0</x:v>
      </x:c>
      <x:c r="M25" s="5">
        <x:f t="shared" si="3"/>
        <x:v>0</x:v>
      </x:c>
      <x:c r="N25" s="6">
        <x:f t="shared" si="4"/>
        <x:v>0</x:v>
      </x:c>
      <x:c r="O25" s="24">
        <x:f t="shared" si="8"/>
        <x:v>0</x:v>
      </x:c>
      <x:c r="U25" s="62">
        <x:f t="shared" si="0"/>
        <x:v>0</x:v>
      </x:c>
      <x:c r="V25" s="57">
        <x:f t="shared" si="9"/>
        <x:v>22</x:v>
      </x:c>
      <x:c r="W25" s="57">
        <x:f t="shared" si="1"/>
        <x:v>3</x:v>
      </x:c>
      <x:c r="X25" s="63"/>
    </x:row>
    <x:row r="26" spans="1:24" ht="24.949999999999999" customHeight="1">
      <x:c r="A26" s="18">
        <x:v>23</x:v>
      </x:c>
      <x:c r="B26" s="19"/>
      <x:c r="C26" s="20"/>
      <x:c r="D26" s="20"/>
      <x:c r="E26" s="20"/>
      <x:c r="F26" s="20"/>
      <x:c r="G26" s="21">
        <x:f t="shared" si="10"/>
        <x:v>0</x:v>
      </x:c>
      <x:c r="H26" s="22">
        <x:f t="shared" si="2"/>
        <x:v>0</x:v>
      </x:c>
      <x:c r="I26" s="23" t="str">
        <x:f>IF(B26="","",IFERROR(INDEX('회원명단 및 기준에버'!D:G,MATCH(B26,'회원명단 및 기준에버'!$C:$C,0),CHOOSE(INT((MONTH($N$2)-1)/3)+1,1,2,3,4)),""))</x:f>
        <x:v/>
      </x:c>
      <x:c r="J26" s="5">
        <x:f t="shared" si="5"/>
        <x:v>0</x:v>
      </x:c>
      <x:c r="K26" s="5">
        <x:f t="shared" si="6"/>
        <x:v>0</x:v>
      </x:c>
      <x:c r="L26" s="5">
        <x:f t="shared" si="7"/>
        <x:v>0</x:v>
      </x:c>
      <x:c r="M26" s="5">
        <x:f t="shared" si="3"/>
        <x:v>0</x:v>
      </x:c>
      <x:c r="N26" s="6">
        <x:f t="shared" si="4"/>
        <x:v>0</x:v>
      </x:c>
      <x:c r="O26" s="24">
        <x:f t="shared" si="8"/>
        <x:v>0</x:v>
      </x:c>
      <x:c r="U26" s="62">
        <x:f t="shared" si="0"/>
        <x:v>0</x:v>
      </x:c>
      <x:c r="V26" s="57">
        <x:f t="shared" si="9"/>
        <x:v>23</x:v>
      </x:c>
      <x:c r="W26" s="57">
        <x:f t="shared" si="1"/>
        <x:v>2</x:v>
      </x:c>
      <x:c r="X26" s="63"/>
    </x:row>
    <x:row r="27" spans="1:24" ht="24.949999999999999" customHeight="1">
      <x:c r="A27" s="18">
        <x:v>24</x:v>
      </x:c>
      <x:c r="B27" s="19"/>
      <x:c r="C27" s="20"/>
      <x:c r="D27" s="20"/>
      <x:c r="E27" s="20"/>
      <x:c r="F27" s="20"/>
      <x:c r="G27" s="21">
        <x:f t="shared" si="10"/>
        <x:v>0</x:v>
      </x:c>
      <x:c r="H27" s="22">
        <x:f t="shared" si="2"/>
        <x:v>0</x:v>
      </x:c>
      <x:c r="I27" s="23" t="str">
        <x:f>IF(B27="","",IFERROR(INDEX('회원명단 및 기준에버'!D:G,MATCH(B27,'회원명단 및 기준에버'!$C:$C,0),CHOOSE(INT((MONTH($N$2)-1)/3)+1,1,2,3,4)),""))</x:f>
        <x:v/>
      </x:c>
      <x:c r="J27" s="5">
        <x:f t="shared" si="5"/>
        <x:v>0</x:v>
      </x:c>
      <x:c r="K27" s="5">
        <x:f t="shared" si="6"/>
        <x:v>0</x:v>
      </x:c>
      <x:c r="L27" s="5">
        <x:f t="shared" si="7"/>
        <x:v>0</x:v>
      </x:c>
      <x:c r="M27" s="5">
        <x:f t="shared" si="3"/>
        <x:v>0</x:v>
      </x:c>
      <x:c r="N27" s="6">
        <x:f t="shared" si="4"/>
        <x:v>0</x:v>
      </x:c>
      <x:c r="O27" s="24">
        <x:f t="shared" si="8"/>
        <x:v>0</x:v>
      </x:c>
      <x:c r="U27" s="62">
        <x:f t="shared" si="0"/>
        <x:v>0</x:v>
      </x:c>
      <x:c r="V27" s="57">
        <x:f t="shared" si="9"/>
        <x:v>24</x:v>
      </x:c>
      <x:c r="W27" s="57">
        <x:f t="shared" si="1"/>
        <x:v>1</x:v>
      </x:c>
      <x:c r="X27" s="63"/>
    </x:row>
    <x:row r="28" spans="1:15" s="11" customFormat="1" ht="23.100000000000001" customHeight="1">
      <x:c r="A28" s="12"/>
      <x:c r="B28" s="120" t="s">
        <x:v>21</x:v>
      </x:c>
      <x:c r="C28" s="121"/>
      <x:c r="D28" s="121"/>
      <x:c r="E28" s="121"/>
      <x:c r="F28" s="120"/>
      <x:c r="G28" s="121"/>
      <x:c r="H28" s="121"/>
      <x:c r="I28" s="121"/>
      <x:c r="J28" s="121"/>
      <x:c r="K28" s="121"/>
      <x:c r="L28" s="121"/>
      <x:c r="M28" s="120"/>
      <x:c r="N28" s="121"/>
      <x:c r="O28" s="122"/>
    </x:row>
    <x:row r="29" spans="2:15" s="11" customFormat="1" ht="24.949999999999999" customHeight="1">
      <x:c r="B29" s="26">
        <x:f>$B4</x:f>
        <x:v>0</x:v>
      </x:c>
      <x:c r="C29" s="27">
        <x:f>IF($V$2=0,$C4,$J4)</x:f>
        <x:v>0</x:v>
      </x:c>
      <x:c r="D29" s="27">
        <x:f>IF($V$2=0,$D4,$K4)</x:f>
        <x:v>0</x:v>
      </x:c>
      <x:c r="E29" s="27">
        <x:f>IF($V$2=0,$E4,$L4)</x:f>
        <x:v>0</x:v>
      </x:c>
      <x:c r="F29" s="27">
        <x:f>IF($V$2=0,$F4,$M4)</x:f>
        <x:v>0</x:v>
      </x:c>
      <x:c r="G29" s="123">
        <x:f>E33+D33+C33+F33</x:f>
        <x:v>0</x:v>
      </x:c>
      <x:c r="H29" s="115"/>
      <x:c r="I29" s="28">
        <x:f>$B8</x:f>
        <x:v>0</x:v>
      </x:c>
      <x:c r="J29" s="27">
        <x:f>IF($V$2=0,$C8,$J8)</x:f>
        <x:v>0</x:v>
      </x:c>
      <x:c r="K29" s="27">
        <x:f>IF($V$2=0,$D8,$K8)</x:f>
        <x:v>0</x:v>
      </x:c>
      <x:c r="L29" s="27">
        <x:f>IF($V$2=0,$E8,$L8)</x:f>
        <x:v>0</x:v>
      </x:c>
      <x:c r="M29" s="27">
        <x:f>IF($V$2=0,$F8,$M8)</x:f>
        <x:v>0</x:v>
      </x:c>
      <x:c r="N29" s="123">
        <x:f>L33+K33+J33+M33</x:f>
        <x:v>0</x:v>
      </x:c>
      <x:c r="O29" s="126"/>
    </x:row>
    <x:row r="30" spans="2:15" s="11" customFormat="1" ht="24.949999999999999" customHeight="1">
      <x:c r="B30" s="29">
        <x:f>$B5</x:f>
        <x:v>0</x:v>
      </x:c>
      <x:c r="C30" s="4">
        <x:f>IF($V$2=0,$C5,$J5)</x:f>
        <x:v>0</x:v>
      </x:c>
      <x:c r="D30" s="4">
        <x:f>IF($V$2=0,$D5,$K5)</x:f>
        <x:v>0</x:v>
      </x:c>
      <x:c r="E30" s="4">
        <x:f>IF($V$2=0,$E5,$L5)</x:f>
        <x:v>0</x:v>
      </x:c>
      <x:c r="F30" s="4">
        <x:f>IF($V$2=0,$F5,$M5)</x:f>
        <x:v>0</x:v>
      </x:c>
      <x:c r="G30" s="124"/>
      <x:c r="H30" s="116"/>
      <x:c r="I30" s="29">
        <x:f>$B9</x:f>
        <x:v>0</x:v>
      </x:c>
      <x:c r="J30" s="4">
        <x:f>IF($V$2=0,$C9,$J9)</x:f>
        <x:v>0</x:v>
      </x:c>
      <x:c r="K30" s="4">
        <x:f>IF($V$2=0,$D9,$K9)</x:f>
        <x:v>0</x:v>
      </x:c>
      <x:c r="L30" s="4">
        <x:f>IF($V$2=0,$E9,$L9)</x:f>
        <x:v>0</x:v>
      </x:c>
      <x:c r="M30" s="48">
        <x:f>IF($V$2=0,$F9,$M9)</x:f>
        <x:v>0</x:v>
      </x:c>
      <x:c r="N30" s="124"/>
      <x:c r="O30" s="127"/>
    </x:row>
    <x:row r="31" spans="2:15" s="11" customFormat="1" ht="24.949999999999999" customHeight="1">
      <x:c r="B31" s="29">
        <x:f t="shared" ref="B31:B32" si="11">$B6</x:f>
        <x:v>0</x:v>
      </x:c>
      <x:c r="C31" s="4">
        <x:f>IF($V$2=0,$C6,$J6)</x:f>
        <x:v>0</x:v>
      </x:c>
      <x:c r="D31" s="4">
        <x:f>IF($V$2=0,$D6,$K6)</x:f>
        <x:v>0</x:v>
      </x:c>
      <x:c r="E31" s="4">
        <x:f>IF($V$2=0,$E6,$L6)</x:f>
        <x:v>0</x:v>
      </x:c>
      <x:c r="F31" s="4">
        <x:f>IF($V$2=0,$F6,$M6)</x:f>
        <x:v>0</x:v>
      </x:c>
      <x:c r="G31" s="124"/>
      <x:c r="H31" s="116"/>
      <x:c r="I31" s="29">
        <x:f t="shared" ref="I31:I32" si="12">$B10</x:f>
        <x:v>0</x:v>
      </x:c>
      <x:c r="J31" s="4">
        <x:f>IF($V$2=0,$C10,$J10)</x:f>
        <x:v>0</x:v>
      </x:c>
      <x:c r="K31" s="4">
        <x:f>IF($V$2=0,$D10,$K10)</x:f>
        <x:v>0</x:v>
      </x:c>
      <x:c r="L31" s="4">
        <x:f>IF($V$2=0,$E10,$L10)</x:f>
        <x:v>0</x:v>
      </x:c>
      <x:c r="M31" s="48">
        <x:f>IF($V$2=0,$F10,$M10)</x:f>
        <x:v>0</x:v>
      </x:c>
      <x:c r="N31" s="124"/>
      <x:c r="O31" s="127"/>
    </x:row>
    <x:row r="32" spans="2:15" s="11" customFormat="1" ht="24.949999999999999" customHeight="1">
      <x:c r="B32" s="29">
        <x:f t="shared" si="11"/>
        <x:v>0</x:v>
      </x:c>
      <x:c r="C32" s="4">
        <x:f>IF($V$2=0,$C7,$J7)</x:f>
        <x:v>0</x:v>
      </x:c>
      <x:c r="D32" s="4">
        <x:f>IF($V$2=0,$D7,$K7)</x:f>
        <x:v>0</x:v>
      </x:c>
      <x:c r="E32" s="4">
        <x:f>IF($V$2=0,$E7,$L7)</x:f>
        <x:v>0</x:v>
      </x:c>
      <x:c r="F32" s="4">
        <x:f>IF($V$2=0,$F7,$M7)</x:f>
        <x:v>0</x:v>
      </x:c>
      <x:c r="G32" s="124"/>
      <x:c r="H32" s="116"/>
      <x:c r="I32" s="29">
        <x:f t="shared" si="12"/>
        <x:v>0</x:v>
      </x:c>
      <x:c r="J32" s="4">
        <x:f>IF($V$2=0,$C11,$J11)</x:f>
        <x:v>0</x:v>
      </x:c>
      <x:c r="K32" s="4">
        <x:f>IF($V$2=0,$D11,$K11)</x:f>
        <x:v>0</x:v>
      </x:c>
      <x:c r="L32" s="4">
        <x:f>IF($V$2=0,$E11,$L11)</x:f>
        <x:v>0</x:v>
      </x:c>
      <x:c r="M32" s="48">
        <x:f>IF($V$2=0,$F11,$M11)</x:f>
        <x:v>0</x:v>
      </x:c>
      <x:c r="N32" s="124"/>
      <x:c r="O32" s="127"/>
    </x:row>
    <x:row r="33" spans="2:15" s="11" customFormat="1" ht="24.949999999999999" customHeight="1">
      <x:c r="B33" s="30"/>
      <x:c r="C33" s="31">
        <x:f>SUM(C29:C32)</x:f>
        <x:v>0</x:v>
      </x:c>
      <x:c r="D33" s="31">
        <x:f>SUM(D29:D32)</x:f>
        <x:v>0</x:v>
      </x:c>
      <x:c r="E33" s="31">
        <x:f>SUM(E29:E32)</x:f>
        <x:v>0</x:v>
      </x:c>
      <x:c r="F33" s="31">
        <x:f>SUM(F29:F32)</x:f>
        <x:v>0</x:v>
      </x:c>
      <x:c r="G33" s="125"/>
      <x:c r="H33" s="117"/>
      <x:c r="I33" s="30"/>
      <x:c r="J33" s="31">
        <x:f>SUM(J29:J32)</x:f>
        <x:v>0</x:v>
      </x:c>
      <x:c r="K33" s="31">
        <x:f>SUM(K29:K32)</x:f>
        <x:v>0</x:v>
      </x:c>
      <x:c r="L33" s="31">
        <x:f>SUM(L29:L32)</x:f>
        <x:v>0</x:v>
      </x:c>
      <x:c r="M33" s="31">
        <x:f>SUM(M29:M32)</x:f>
        <x:v>0</x:v>
      </x:c>
      <x:c r="N33" s="125"/>
      <x:c r="O33" s="128"/>
    </x:row>
    <x:row r="34" s="11" customFormat="1" ht="11.1" customHeight="1"/>
    <x:row r="35" spans="2:15" s="11" customFormat="1" ht="24.949999999999999" customHeight="1">
      <x:c r="B35" s="26">
        <x:f>$B12</x:f>
        <x:v>0</x:v>
      </x:c>
      <x:c r="C35" s="27">
        <x:f>IF($V$2=0,$C12,$J12)</x:f>
        <x:v>0</x:v>
      </x:c>
      <x:c r="D35" s="27">
        <x:f>IF($V$2=0,$D12,$K12)</x:f>
        <x:v>0</x:v>
      </x:c>
      <x:c r="E35" s="27">
        <x:f>IF($V$2=0,$E12,$L12)</x:f>
        <x:v>0</x:v>
      </x:c>
      <x:c r="F35" s="27">
        <x:f>IF($V$2=0,$F12,$M12)</x:f>
        <x:v>0</x:v>
      </x:c>
      <x:c r="G35" s="123">
        <x:f>E39+D39+C39+F39</x:f>
        <x:v>0</x:v>
      </x:c>
      <x:c r="H35" s="115"/>
      <x:c r="I35" s="28">
        <x:f>$B16</x:f>
        <x:v>0</x:v>
      </x:c>
      <x:c r="J35" s="27">
        <x:f>IF($V$2=0,$C16,$J16)</x:f>
        <x:v>0</x:v>
      </x:c>
      <x:c r="K35" s="27">
        <x:f>IF($V$2=0,$D16,$K16)</x:f>
        <x:v>0</x:v>
      </x:c>
      <x:c r="L35" s="27">
        <x:f>IF($V$2=0,$E16,$L16)</x:f>
        <x:v>0</x:v>
      </x:c>
      <x:c r="M35" s="47">
        <x:f>IF($V$2=0,$F16,$M16)</x:f>
        <x:v>0</x:v>
      </x:c>
      <x:c r="N35" s="123">
        <x:f>L39+K39+J39+M39</x:f>
        <x:v>0</x:v>
      </x:c>
      <x:c r="O35" s="126"/>
    </x:row>
    <x:row r="36" spans="2:15" s="12" customFormat="1" ht="24.949999999999999" customHeight="1">
      <x:c r="B36" s="29">
        <x:f>$B13</x:f>
        <x:v>0</x:v>
      </x:c>
      <x:c r="C36" s="4">
        <x:f>IF($V$2=0,$C13,$J13)</x:f>
        <x:v>0</x:v>
      </x:c>
      <x:c r="D36" s="4">
        <x:f>IF($V$2=0,$D13,$K13)</x:f>
        <x:v>0</x:v>
      </x:c>
      <x:c r="E36" s="4">
        <x:f>IF($V$2=0,$E13,$L13)</x:f>
        <x:v>0</x:v>
      </x:c>
      <x:c r="F36" s="4">
        <x:f>IF($V$2=0,$F13,$M13)</x:f>
        <x:v>0</x:v>
      </x:c>
      <x:c r="G36" s="124"/>
      <x:c r="H36" s="116"/>
      <x:c r="I36" s="29">
        <x:f>$B17</x:f>
        <x:v>0</x:v>
      </x:c>
      <x:c r="J36" s="4">
        <x:f>IF($V$2=0,$C17,$J17)</x:f>
        <x:v>0</x:v>
      </x:c>
      <x:c r="K36" s="4">
        <x:f>IF($V$2=0,$D17,$K17)</x:f>
        <x:v>0</x:v>
      </x:c>
      <x:c r="L36" s="4">
        <x:f>IF($V$2=0,$E17,$L17)</x:f>
        <x:v>0</x:v>
      </x:c>
      <x:c r="M36" s="4">
        <x:f>IF($V$2=0,$F17,$M17)</x:f>
        <x:v>0</x:v>
      </x:c>
      <x:c r="N36" s="124"/>
      <x:c r="O36" s="127"/>
    </x:row>
    <x:row r="37" spans="2:15" s="12" customFormat="1" ht="24.949999999999999" customHeight="1">
      <x:c r="B37" s="29">
        <x:f t="shared" ref="B37:B38" si="13">$B14</x:f>
        <x:v>0</x:v>
      </x:c>
      <x:c r="C37" s="4">
        <x:f>IF($V$2=0,$C14,$J14)</x:f>
        <x:v>0</x:v>
      </x:c>
      <x:c r="D37" s="4">
        <x:f>IF($V$2=0,$D14,$K14)</x:f>
        <x:v>0</x:v>
      </x:c>
      <x:c r="E37" s="4">
        <x:f>IF($V$2=0,$E14,$L14)</x:f>
        <x:v>0</x:v>
      </x:c>
      <x:c r="F37" s="4">
        <x:f>IF($V$2=0,$F14,$M14)</x:f>
        <x:v>0</x:v>
      </x:c>
      <x:c r="G37" s="124"/>
      <x:c r="H37" s="116"/>
      <x:c r="I37" s="29">
        <x:f t="shared" ref="I37:I38" si="14">$B18</x:f>
        <x:v>0</x:v>
      </x:c>
      <x:c r="J37" s="4">
        <x:f>IF($V$2=0,$C18,$J18)</x:f>
        <x:v>0</x:v>
      </x:c>
      <x:c r="K37" s="4">
        <x:f>IF($V$2=0,$D18,$K18)</x:f>
        <x:v>0</x:v>
      </x:c>
      <x:c r="L37" s="4">
        <x:f>IF($V$2=0,$E18,$L18)</x:f>
        <x:v>0</x:v>
      </x:c>
      <x:c r="M37" s="4">
        <x:f>IF($V$2=0,$F18,$M18)</x:f>
        <x:v>0</x:v>
      </x:c>
      <x:c r="N37" s="124"/>
      <x:c r="O37" s="127"/>
    </x:row>
    <x:row r="38" spans="2:15" s="12" customFormat="1" ht="24.949999999999999" customHeight="1">
      <x:c r="B38" s="29">
        <x:f t="shared" si="13"/>
        <x:v>0</x:v>
      </x:c>
      <x:c r="C38" s="4">
        <x:f>IF($V$2=0,$C15,$J15)</x:f>
        <x:v>0</x:v>
      </x:c>
      <x:c r="D38" s="4">
        <x:f>IF($V$2=0,$D15,$K15)</x:f>
        <x:v>0</x:v>
      </x:c>
      <x:c r="E38" s="4">
        <x:f>IF($V$2=0,$E15,$L15)</x:f>
        <x:v>0</x:v>
      </x:c>
      <x:c r="F38" s="4">
        <x:f>IF($V$2=0,$F15,$M15)</x:f>
        <x:v>0</x:v>
      </x:c>
      <x:c r="G38" s="124"/>
      <x:c r="H38" s="116"/>
      <x:c r="I38" s="29">
        <x:f t="shared" si="14"/>
        <x:v>0</x:v>
      </x:c>
      <x:c r="J38" s="4">
        <x:f>IF($V$2=0,$C19,$J19)</x:f>
        <x:v>0</x:v>
      </x:c>
      <x:c r="K38" s="4">
        <x:f>IF($V$2=0,$D19,$K19)</x:f>
        <x:v>0</x:v>
      </x:c>
      <x:c r="L38" s="4">
        <x:f>IF($V$2=0,$E19,$L19)</x:f>
        <x:v>0</x:v>
      </x:c>
      <x:c r="M38" s="4">
        <x:f>IF($V$2=0,$F19,$M19)</x:f>
        <x:v>0</x:v>
      </x:c>
      <x:c r="N38" s="124"/>
      <x:c r="O38" s="127"/>
    </x:row>
    <x:row r="39" spans="2:15" s="12" customFormat="1" ht="24.949999999999999" customHeight="1">
      <x:c r="B39" s="30"/>
      <x:c r="C39" s="31">
        <x:f>SUM(C35:C38)</x:f>
        <x:v>0</x:v>
      </x:c>
      <x:c r="D39" s="31">
        <x:f>SUM(D35:D38)</x:f>
        <x:v>0</x:v>
      </x:c>
      <x:c r="E39" s="31">
        <x:f>SUM(E35:E38)</x:f>
        <x:v>0</x:v>
      </x:c>
      <x:c r="F39" s="31">
        <x:f>SUM(F35:F38)</x:f>
        <x:v>0</x:v>
      </x:c>
      <x:c r="G39" s="125"/>
      <x:c r="H39" s="117"/>
      <x:c r="I39" s="30"/>
      <x:c r="J39" s="31">
        <x:f>SUM(J35:J38)</x:f>
        <x:v>0</x:v>
      </x:c>
      <x:c r="K39" s="31">
        <x:f>SUM(K35:K38)</x:f>
        <x:v>0</x:v>
      </x:c>
      <x:c r="L39" s="31">
        <x:f>SUM(L35:L38)</x:f>
        <x:v>0</x:v>
      </x:c>
      <x:c r="M39" s="31">
        <x:f>SUM(M35:M38)</x:f>
        <x:v>0</x:v>
      </x:c>
      <x:c r="N39" s="125"/>
      <x:c r="O39" s="128"/>
    </x:row>
    <x:row r="40" ht="11.1" customHeight="1"/>
    <x:row r="41" spans="2:15" ht="24.949999999999999" customHeight="1">
      <x:c r="B41" s="26">
        <x:f>$B20</x:f>
        <x:v>0</x:v>
      </x:c>
      <x:c r="C41" s="27">
        <x:f>IF($V$2=0,$C20,$J20)</x:f>
        <x:v>0</x:v>
      </x:c>
      <x:c r="D41" s="27">
        <x:f>IF($V$2=0,$D20,$K20)</x:f>
        <x:v>0</x:v>
      </x:c>
      <x:c r="E41" s="27">
        <x:f>IF($V$2=0,$E20,$L20)</x:f>
        <x:v>0</x:v>
      </x:c>
      <x:c r="F41" s="27">
        <x:f>IF($V$2=0,$F20,$M20)</x:f>
        <x:v>0</x:v>
      </x:c>
      <x:c r="G41" s="123">
        <x:f>E45+D45+C45+F45</x:f>
        <x:v>0</x:v>
      </x:c>
      <x:c r="H41" s="115"/>
      <x:c r="I41" s="28">
        <x:f>$B24</x:f>
        <x:v>0</x:v>
      </x:c>
      <x:c r="J41" s="27">
        <x:f>IF($V$2=0,$C24,$J24)</x:f>
        <x:v>0</x:v>
      </x:c>
      <x:c r="K41" s="27">
        <x:f>IF($V$2=0,$D24,$K24)</x:f>
        <x:v>0</x:v>
      </x:c>
      <x:c r="L41" s="27">
        <x:f>IF($V$2=0,$E24,$L24)</x:f>
        <x:v>0</x:v>
      </x:c>
      <x:c r="M41" s="47">
        <x:f>IF($V$2=0,$F24,$M24)</x:f>
        <x:v>0</x:v>
      </x:c>
      <x:c r="N41" s="123">
        <x:f>L45+K45+J45+M45</x:f>
        <x:v>0</x:v>
      </x:c>
      <x:c r="O41" s="126"/>
    </x:row>
    <x:row r="42" spans="2:15" ht="24.949999999999999" customHeight="1">
      <x:c r="B42" s="29">
        <x:f>$B21</x:f>
        <x:v>0</x:v>
      </x:c>
      <x:c r="C42" s="4">
        <x:f>IF($V$2=0,$C21,$J21)</x:f>
        <x:v>0</x:v>
      </x:c>
      <x:c r="D42" s="4">
        <x:f>IF($V$2=0,$D21,$K21)</x:f>
        <x:v>0</x:v>
      </x:c>
      <x:c r="E42" s="4">
        <x:f>IF($V$2=0,$E21,$L21)</x:f>
        <x:v>0</x:v>
      </x:c>
      <x:c r="F42" s="4">
        <x:f>IF($V$2=0,$F21,$M21)</x:f>
        <x:v>0</x:v>
      </x:c>
      <x:c r="G42" s="124"/>
      <x:c r="H42" s="116"/>
      <x:c r="I42" s="29">
        <x:f>$B25</x:f>
        <x:v>0</x:v>
      </x:c>
      <x:c r="J42" s="4">
        <x:f>IF($V$2=0,$C25,$J25)</x:f>
        <x:v>0</x:v>
      </x:c>
      <x:c r="K42" s="4">
        <x:f>IF($V$2=0,$D25,$K25)</x:f>
        <x:v>0</x:v>
      </x:c>
      <x:c r="L42" s="4">
        <x:f>IF($V$2=0,$E25,$L25)</x:f>
        <x:v>0</x:v>
      </x:c>
      <x:c r="M42" s="4">
        <x:f>IF($V$2=0,$F25,$M25)</x:f>
        <x:v>0</x:v>
      </x:c>
      <x:c r="N42" s="124"/>
      <x:c r="O42" s="127"/>
    </x:row>
    <x:row r="43" spans="2:15" ht="24.949999999999999" customHeight="1">
      <x:c r="B43" s="29">
        <x:f t="shared" ref="B43:B44" si="15">$B22</x:f>
        <x:v>0</x:v>
      </x:c>
      <x:c r="C43" s="4">
        <x:f>IF($V$2=0,$C22,$J22)</x:f>
        <x:v>0</x:v>
      </x:c>
      <x:c r="D43" s="4">
        <x:f>IF($V$2=0,$D22,$K22)</x:f>
        <x:v>0</x:v>
      </x:c>
      <x:c r="E43" s="4">
        <x:f>IF($V$2=0,$E22,$L22)</x:f>
        <x:v>0</x:v>
      </x:c>
      <x:c r="F43" s="4">
        <x:f>IF($V$2=0,$F22,$M22)</x:f>
        <x:v>0</x:v>
      </x:c>
      <x:c r="G43" s="124"/>
      <x:c r="H43" s="116"/>
      <x:c r="I43" s="29">
        <x:f t="shared" ref="I43:I44" si="16">$B26</x:f>
        <x:v>0</x:v>
      </x:c>
      <x:c r="J43" s="4">
        <x:f>IF($V$2=0,$C26,$J26)</x:f>
        <x:v>0</x:v>
      </x:c>
      <x:c r="K43" s="4">
        <x:f>IF($V$2=0,$D26,$K26)</x:f>
        <x:v>0</x:v>
      </x:c>
      <x:c r="L43" s="4">
        <x:f>IF($V$2=0,$E26,$L26)</x:f>
        <x:v>0</x:v>
      </x:c>
      <x:c r="M43" s="4">
        <x:f>IF($V$2=0,$F26,$M26)</x:f>
        <x:v>0</x:v>
      </x:c>
      <x:c r="N43" s="124"/>
      <x:c r="O43" s="127"/>
    </x:row>
    <x:row r="44" spans="2:15" ht="24.949999999999999" customHeight="1">
      <x:c r="B44" s="29">
        <x:f t="shared" si="15"/>
        <x:v>0</x:v>
      </x:c>
      <x:c r="C44" s="4">
        <x:f>IF($V$2=0,$C23,$J23)</x:f>
        <x:v>0</x:v>
      </x:c>
      <x:c r="D44" s="4">
        <x:f>IF($V$2=0,$D23,$K23)</x:f>
        <x:v>0</x:v>
      </x:c>
      <x:c r="E44" s="4">
        <x:f>IF($V$2=0,$E23,$L23)</x:f>
        <x:v>0</x:v>
      </x:c>
      <x:c r="F44" s="4">
        <x:f>IF($V$2=0,$F23,$M23)</x:f>
        <x:v>0</x:v>
      </x:c>
      <x:c r="G44" s="124"/>
      <x:c r="H44" s="116"/>
      <x:c r="I44" s="29">
        <x:f t="shared" si="16"/>
        <x:v>0</x:v>
      </x:c>
      <x:c r="J44" s="4">
        <x:f>IF($V$2=0,$C27,$J27)</x:f>
        <x:v>0</x:v>
      </x:c>
      <x:c r="K44" s="4">
        <x:f>IF($V$2=0,$D27,$K27)</x:f>
        <x:v>0</x:v>
      </x:c>
      <x:c r="L44" s="4">
        <x:f>IF($V$2=0,$E27,$L27)</x:f>
        <x:v>0</x:v>
      </x:c>
      <x:c r="M44" s="4">
        <x:f>IF($V$2=0,$F27,$M27)</x:f>
        <x:v>0</x:v>
      </x:c>
      <x:c r="N44" s="124"/>
      <x:c r="O44" s="127"/>
    </x:row>
    <x:row r="45" spans="2:15" ht="24.949999999999999" customHeight="1">
      <x:c r="B45" s="30"/>
      <x:c r="C45" s="31">
        <x:f>SUM(C41:C44)</x:f>
        <x:v>0</x:v>
      </x:c>
      <x:c r="D45" s="31">
        <x:f>SUM(D41:D44)</x:f>
        <x:v>0</x:v>
      </x:c>
      <x:c r="E45" s="31">
        <x:f>SUM(E41:E44)</x:f>
        <x:v>0</x:v>
      </x:c>
      <x:c r="F45" s="31">
        <x:f>SUM(F41:F44)</x:f>
        <x:v>0</x:v>
      </x:c>
      <x:c r="G45" s="125"/>
      <x:c r="H45" s="117"/>
      <x:c r="I45" s="30"/>
      <x:c r="J45" s="31">
        <x:f>SUM(J41:J44)</x:f>
        <x:v>0</x:v>
      </x:c>
      <x:c r="K45" s="31">
        <x:f>SUM(K41:K44)</x:f>
        <x:v>0</x:v>
      </x:c>
      <x:c r="L45" s="31">
        <x:f>SUM(L41:L44)</x:f>
        <x:v>0</x:v>
      </x:c>
      <x:c r="M45" s="31">
        <x:f>SUM(M41:M44)</x:f>
        <x:v>0</x:v>
      </x:c>
      <x:c r="N45" s="125"/>
      <x:c r="O45" s="128"/>
    </x:row>
    <x:row r="48" spans="1:15" ht="60" customHeight="1">
      <x:c r="A48" s="112" t="str">
        <x:f>A1</x:f>
        <x:v>2026 아르케 존 00회 정기 번개 점수</x:v>
      </x:c>
      <x:c r="B48" s="112"/>
      <x:c r="C48" s="112"/>
      <x:c r="D48" s="112"/>
      <x:c r="E48" s="112"/>
      <x:c r="F48" s="112"/>
      <x:c r="G48" s="112"/>
      <x:c r="H48" s="112"/>
      <x:c r="I48" s="112"/>
      <x:c r="J48" s="112"/>
      <x:c r="K48" s="112"/>
      <x:c r="L48" s="112"/>
      <x:c r="M48" s="112"/>
      <x:c r="N48" s="112"/>
      <x:c r="O48" s="112"/>
    </x:row>
    <x:row r="49" spans="1:15" ht="23.69999999999999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4" t="s">
        <x:v>48</x:v>
      </x:c>
      <x:c r="M49" s="34"/>
      <x:c r="N49" s="113">
        <x:f>N2</x:f>
        <x:v>46113</x:v>
      </x:c>
      <x:c r="O49" s="114"/>
    </x:row>
    <x:row r="50" spans="1:15" ht="24.949999999999999" customHeight="1">
      <x:c r="A50" s="13"/>
      <x:c r="B50" s="14" t="s">
        <x:v>14</x:v>
      </x:c>
      <x:c r="C50" s="14" t="s">
        <x:v>44</x:v>
      </x:c>
      <x:c r="D50" s="14" t="s">
        <x:v>55</x:v>
      </x:c>
      <x:c r="E50" s="14" t="s">
        <x:v>54</x:v>
      </x:c>
      <x:c r="F50" s="14" t="s">
        <x:v>53</x:v>
      </x:c>
      <x:c r="G50" s="14" t="s">
        <x:v>52</x:v>
      </x:c>
      <x:c r="H50" s="14" t="s">
        <x:v>47</x:v>
      </x:c>
      <x:c r="I50" s="15" t="s">
        <x:v>41</x:v>
      </x:c>
      <x:c r="J50" s="14" t="s">
        <x:v>44</x:v>
      </x:c>
      <x:c r="K50" s="14" t="s">
        <x:v>55</x:v>
      </x:c>
      <x:c r="L50" s="14" t="s">
        <x:v>54</x:v>
      </x:c>
      <x:c r="M50" s="14" t="s">
        <x:v>53</x:v>
      </x:c>
      <x:c r="N50" s="16" t="s">
        <x:v>52</x:v>
      </x:c>
      <x:c r="O50" s="17" t="s">
        <x:v>56</x:v>
      </x:c>
    </x:row>
    <x:row r="51" spans="1:15" ht="24.949999999999999" customHeight="1">
      <x:c r="A51" s="18">
        <x:v>1</x:v>
      </x:c>
      <x:c r="B51" s="19">
        <x:f t="array" ref="B51:B51">INDEX($B$4:$O$27,MATCH($A51,$W$4:$W$27,0),COLUMN(A$1))</x:f>
        <x:v>0</x:v>
      </x:c>
      <x:c r="C51" s="19">
        <x:f t="array" ref="C51:C51">INDEX($B$4:$O$27,MATCH($A51,$W$4:$W$27,0),COLUMN(B$1))</x:f>
        <x:v>0</x:v>
      </x:c>
      <x:c r="D51" s="19">
        <x:f t="array" ref="D51:D51">INDEX($B$4:$O$27,MATCH($A51,$W$4:$W$27,0),COLUMN(C$1))</x:f>
        <x:v>0</x:v>
      </x:c>
      <x:c r="E51" s="19">
        <x:f t="array" ref="E51:E51">INDEX($B$4:$O$27,MATCH($A51,$W$4:$W$27,0),COLUMN(D$1))</x:f>
        <x:v>0</x:v>
      </x:c>
      <x:c r="F51" s="19">
        <x:f t="array" ref="F51:F51">INDEX($B$4:$O$27,MATCH($A51,$W$4:$W$27,0),COLUMN(E$1))</x:f>
        <x:v>0</x:v>
      </x:c>
      <x:c r="G51" s="21">
        <x:f>SUM(C51:F51)</x:f>
        <x:v>0</x:v>
      </x:c>
      <x:c r="H51" s="22">
        <x:f>G51/4</x:f>
        <x:v>0</x:v>
      </x:c>
      <x:c r="I51" s="23" t="str">
        <x:f>IF(B51="","",IFERROR(INDEX('회원명단 및 기준에버'!D:G,MATCH(B51,'회원명단 및 기준에버'!$C:$C,0),CHOOSE(INT((MONTH($N$2)-1)/3)+1,1,2,3,4)),""))</x:f>
        <x:v/>
      </x:c>
      <x:c r="J51" s="5">
        <x:f>IFERROR(C51+-I51,0)</x:f>
        <x:v>0</x:v>
      </x:c>
      <x:c r="K51" s="5">
        <x:f>IFERROR(D51+-I51,0)</x:f>
        <x:v>0</x:v>
      </x:c>
      <x:c r="L51" s="5">
        <x:f>IFERROR(E51+-I51,0)</x:f>
        <x:v>0</x:v>
      </x:c>
      <x:c r="M51" s="5">
        <x:f>IFERROR(F51+-I51,0)</x:f>
        <x:v>0</x:v>
      </x:c>
      <x:c r="N51" s="6">
        <x:f>SUM(J51:M51)</x:f>
        <x:v>0</x:v>
      </x:c>
      <x:c r="O51" s="24">
        <x:f>IFERROR(H51+-I51,0)</x:f>
        <x:v>0</x:v>
      </x:c>
    </x:row>
    <x:row r="52" spans="1:15" ht="24.949999999999999" customHeight="1">
      <x:c r="A52" s="18">
        <x:v>2</x:v>
      </x:c>
      <x:c r="B52" s="19">
        <x:f t="array" ref="B52:B52">INDEX($B$4:$O$27,MATCH($A52,$W$4:$W$27,0),COLUMN(A$1))</x:f>
        <x:v>0</x:v>
      </x:c>
      <x:c r="C52" s="19">
        <x:f t="array" ref="C52:C52">INDEX($B$4:$O$27,MATCH($A52,$W$4:$W$27,0),COLUMN(B$1))</x:f>
        <x:v>0</x:v>
      </x:c>
      <x:c r="D52" s="19">
        <x:f t="array" ref="D52:D52">INDEX($B$4:$O$27,MATCH($A52,$W$4:$W$27,0),COLUMN(C$1))</x:f>
        <x:v>0</x:v>
      </x:c>
      <x:c r="E52" s="19">
        <x:f t="array" ref="E52:E52">INDEX($B$4:$O$27,MATCH($A52,$W$4:$W$27,0),COLUMN(D$1))</x:f>
        <x:v>0</x:v>
      </x:c>
      <x:c r="F52" s="19">
        <x:f t="array" ref="F52:F52">INDEX($B$4:$O$27,MATCH($A52,$W$4:$W$27,0),COLUMN(E$1))</x:f>
        <x:v>0</x:v>
      </x:c>
      <x:c r="G52" s="21">
        <x:f>SUM(C52:F52)</x:f>
        <x:v>0</x:v>
      </x:c>
      <x:c r="H52" s="22">
        <x:f t="shared" ref="H52:H74" si="17">G52/4</x:f>
        <x:v>0</x:v>
      </x:c>
      <x:c r="I52" s="23" t="str">
        <x:f>IF(B52="","",IFERROR(INDEX('회원명단 및 기준에버'!D:G,MATCH(B52,'회원명단 및 기준에버'!$C:$C,0),CHOOSE(INT((MONTH($N$2)-1)/3)+1,1,2,3,4)),""))</x:f>
        <x:v/>
      </x:c>
      <x:c r="J52" s="5">
        <x:f>IFERROR(C52+-I52,0)</x:f>
        <x:v>0</x:v>
      </x:c>
      <x:c r="K52" s="5">
        <x:f>IFERROR(D52+-I52,0)</x:f>
        <x:v>0</x:v>
      </x:c>
      <x:c r="L52" s="5">
        <x:f>IFERROR(E52+-I52,0)</x:f>
        <x:v>0</x:v>
      </x:c>
      <x:c r="M52" s="5">
        <x:f t="shared" ref="M52:M74" si="18">IFERROR(F52+-I52,0)</x:f>
        <x:v>0</x:v>
      </x:c>
      <x:c r="N52" s="6">
        <x:f t="shared" ref="N52:N74" si="19">SUM(J52:M52)</x:f>
        <x:v>0</x:v>
      </x:c>
      <x:c r="O52" s="24">
        <x:f>IFERROR(H52+-I52,0)</x:f>
        <x:v>0</x:v>
      </x:c>
    </x:row>
    <x:row r="53" spans="1:15" ht="24.949999999999999" customHeight="1">
      <x:c r="A53" s="18">
        <x:v>3</x:v>
      </x:c>
      <x:c r="B53" s="19">
        <x:f t="array" ref="B53:B53">INDEX($B$4:$O$27,MATCH($A53,$W$4:$W$27,0),COLUMN(A$1))</x:f>
        <x:v>0</x:v>
      </x:c>
      <x:c r="C53" s="19">
        <x:f t="array" ref="C53:C53">INDEX($B$4:$O$27,MATCH($A53,$W$4:$W$27,0),COLUMN(B$1))</x:f>
        <x:v>0</x:v>
      </x:c>
      <x:c r="D53" s="19">
        <x:f t="array" ref="D53:D53">INDEX($B$4:$O$27,MATCH($A53,$W$4:$W$27,0),COLUMN(C$1))</x:f>
        <x:v>0</x:v>
      </x:c>
      <x:c r="E53" s="19">
        <x:f t="array" ref="E53:E53">INDEX($B$4:$O$27,MATCH($A53,$W$4:$W$27,0),COLUMN(D$1))</x:f>
        <x:v>0</x:v>
      </x:c>
      <x:c r="F53" s="19">
        <x:f t="array" ref="F53:F53">INDEX($B$4:$O$27,MATCH($A53,$W$4:$W$27,0),COLUMN(E$1))</x:f>
        <x:v>0</x:v>
      </x:c>
      <x:c r="G53" s="21">
        <x:f>SUM(C53:F53)</x:f>
        <x:v>0</x:v>
      </x:c>
      <x:c r="H53" s="22">
        <x:f t="shared" si="17"/>
        <x:v>0</x:v>
      </x:c>
      <x:c r="I53" s="23" t="str">
        <x:f>IF(B53="","",IFERROR(INDEX('회원명단 및 기준에버'!D:G,MATCH(B53,'회원명단 및 기준에버'!$C:$C,0),CHOOSE(INT((MONTH($N$2)-1)/3)+1,1,2,3,4)),""))</x:f>
        <x:v/>
      </x:c>
      <x:c r="J53" s="5">
        <x:f t="shared" ref="J53:J74" si="20">IFERROR(C53+-I53,0)</x:f>
        <x:v>0</x:v>
      </x:c>
      <x:c r="K53" s="5">
        <x:f t="shared" ref="K53:K74" si="21">IFERROR(D53+-I53,0)</x:f>
        <x:v>0</x:v>
      </x:c>
      <x:c r="L53" s="5">
        <x:f t="shared" ref="L53:L74" si="22">IFERROR(E53+-I53,0)</x:f>
        <x:v>0</x:v>
      </x:c>
      <x:c r="M53" s="5">
        <x:f t="shared" si="18"/>
        <x:v>0</x:v>
      </x:c>
      <x:c r="N53" s="6">
        <x:f t="shared" si="19"/>
        <x:v>0</x:v>
      </x:c>
      <x:c r="O53" s="24">
        <x:f t="shared" ref="O53:O74" si="23">IFERROR(H53+-I53,0)</x:f>
        <x:v>0</x:v>
      </x:c>
    </x:row>
    <x:row r="54" spans="1:15" ht="24.949999999999999" customHeight="1">
      <x:c r="A54" s="18">
        <x:v>4</x:v>
      </x:c>
      <x:c r="B54" s="19">
        <x:f t="array" ref="B54:B54">INDEX($B$4:$O$27,MATCH($A54,$W$4:$W$27,0),COLUMN(A$1))</x:f>
        <x:v>0</x:v>
      </x:c>
      <x:c r="C54" s="19">
        <x:f t="array" ref="C54:C54">INDEX($B$4:$O$27,MATCH($A54,$W$4:$W$27,0),COLUMN(B$1))</x:f>
        <x:v>0</x:v>
      </x:c>
      <x:c r="D54" s="19">
        <x:f t="array" ref="D54:D54">INDEX($B$4:$O$27,MATCH($A54,$W$4:$W$27,0),COLUMN(C$1))</x:f>
        <x:v>0</x:v>
      </x:c>
      <x:c r="E54" s="19">
        <x:f t="array" ref="E54:E54">INDEX($B$4:$O$27,MATCH($A54,$W$4:$W$27,0),COLUMN(D$1))</x:f>
        <x:v>0</x:v>
      </x:c>
      <x:c r="F54" s="19">
        <x:f t="array" ref="F54:F54">INDEX($B$4:$O$27,MATCH($A54,$W$4:$W$27,0),COLUMN(E$1))</x:f>
        <x:v>0</x:v>
      </x:c>
      <x:c r="G54" s="21">
        <x:f>SUM(C54:F54)</x:f>
        <x:v>0</x:v>
      </x:c>
      <x:c r="H54" s="22">
        <x:f t="shared" si="17"/>
        <x:v>0</x:v>
      </x:c>
      <x:c r="I54" s="23" t="str">
        <x:f>IF(B54="","",IFERROR(INDEX('회원명단 및 기준에버'!D:G,MATCH(B54,'회원명단 및 기준에버'!$C:$C,0),CHOOSE(INT((MONTH($N$2)-1)/3)+1,1,2,3,4)),""))</x:f>
        <x:v/>
      </x:c>
      <x:c r="J54" s="5">
        <x:f t="shared" si="20"/>
        <x:v>0</x:v>
      </x:c>
      <x:c r="K54" s="5">
        <x:f t="shared" si="21"/>
        <x:v>0</x:v>
      </x:c>
      <x:c r="L54" s="5">
        <x:f t="shared" si="22"/>
        <x:v>0</x:v>
      </x:c>
      <x:c r="M54" s="5">
        <x:f t="shared" si="18"/>
        <x:v>0</x:v>
      </x:c>
      <x:c r="N54" s="6">
        <x:f t="shared" si="19"/>
        <x:v>0</x:v>
      </x:c>
      <x:c r="O54" s="24">
        <x:f t="shared" si="23"/>
        <x:v>0</x:v>
      </x:c>
    </x:row>
    <x:row r="55" spans="1:15" ht="24.949999999999999" customHeight="1">
      <x:c r="A55" s="18">
        <x:v>5</x:v>
      </x:c>
      <x:c r="B55" s="19">
        <x:f t="array" ref="B55:B55">INDEX($B$4:$O$27,MATCH($A55,$W$4:$W$27,0),COLUMN(A$1))</x:f>
        <x:v>0</x:v>
      </x:c>
      <x:c r="C55" s="19">
        <x:f t="array" ref="C55:C55">INDEX($B$4:$O$27,MATCH($A55,$W$4:$W$27,0),COLUMN(B$1))</x:f>
        <x:v>0</x:v>
      </x:c>
      <x:c r="D55" s="19">
        <x:f t="array" ref="D55:D55">INDEX($B$4:$O$27,MATCH($A55,$W$4:$W$27,0),COLUMN(C$1))</x:f>
        <x:v>0</x:v>
      </x:c>
      <x:c r="E55" s="19">
        <x:f t="array" ref="E55:E55">INDEX($B$4:$O$27,MATCH($A55,$W$4:$W$27,0),COLUMN(D$1))</x:f>
        <x:v>0</x:v>
      </x:c>
      <x:c r="F55" s="19">
        <x:f t="array" ref="F55:F55">INDEX($B$4:$O$27,MATCH($A55,$W$4:$W$27,0),COLUMN(E$1))</x:f>
        <x:v>0</x:v>
      </x:c>
      <x:c r="G55" s="21">
        <x:f t="shared" ref="G55:G74" si="24">SUM(C55:E55)</x:f>
        <x:v>0</x:v>
      </x:c>
      <x:c r="H55" s="22">
        <x:f t="shared" si="17"/>
        <x:v>0</x:v>
      </x:c>
      <x:c r="I55" s="23" t="str">
        <x:f>IF(B55="","",IFERROR(INDEX('회원명단 및 기준에버'!D:G,MATCH(B55,'회원명단 및 기준에버'!$C:$C,0),CHOOSE(INT((MONTH($N$2)-1)/3)+1,1,2,3,4)),""))</x:f>
        <x:v/>
      </x:c>
      <x:c r="J55" s="5">
        <x:f t="shared" si="20"/>
        <x:v>0</x:v>
      </x:c>
      <x:c r="K55" s="5">
        <x:f t="shared" si="21"/>
        <x:v>0</x:v>
      </x:c>
      <x:c r="L55" s="5">
        <x:f t="shared" si="22"/>
        <x:v>0</x:v>
      </x:c>
      <x:c r="M55" s="5">
        <x:f t="shared" si="18"/>
        <x:v>0</x:v>
      </x:c>
      <x:c r="N55" s="6">
        <x:f t="shared" si="19"/>
        <x:v>0</x:v>
      </x:c>
      <x:c r="O55" s="24">
        <x:f t="shared" si="23"/>
        <x:v>0</x:v>
      </x:c>
    </x:row>
    <x:row r="56" spans="1:15" ht="24.949999999999999" customHeight="1">
      <x:c r="A56" s="18">
        <x:v>6</x:v>
      </x:c>
      <x:c r="B56" s="19">
        <x:f t="array" ref="B56:B56">INDEX($B$4:$O$27,MATCH($A56,$W$4:$W$27,0),COLUMN(A$1))</x:f>
        <x:v>0</x:v>
      </x:c>
      <x:c r="C56" s="19">
        <x:f t="array" ref="C56:C56">INDEX($B$4:$O$27,MATCH($A56,$W$4:$W$27,0),COLUMN(B$1))</x:f>
        <x:v>0</x:v>
      </x:c>
      <x:c r="D56" s="19">
        <x:f t="array" ref="D56:D56">INDEX($B$4:$O$27,MATCH($A56,$W$4:$W$27,0),COLUMN(C$1))</x:f>
        <x:v>0</x:v>
      </x:c>
      <x:c r="E56" s="19">
        <x:f t="array" ref="E56:E56">INDEX($B$4:$O$27,MATCH($A56,$W$4:$W$27,0),COLUMN(D$1))</x:f>
        <x:v>0</x:v>
      </x:c>
      <x:c r="F56" s="19">
        <x:f t="array" ref="F56:F56">INDEX($B$4:$O$27,MATCH($A56,$W$4:$W$27,0),COLUMN(E$1))</x:f>
        <x:v>0</x:v>
      </x:c>
      <x:c r="G56" s="21">
        <x:f t="shared" si="24"/>
        <x:v>0</x:v>
      </x:c>
      <x:c r="H56" s="22">
        <x:f t="shared" si="17"/>
        <x:v>0</x:v>
      </x:c>
      <x:c r="I56" s="23" t="str">
        <x:f>IF(B56="","",IFERROR(INDEX('회원명단 및 기준에버'!D:G,MATCH(B56,'회원명단 및 기준에버'!$C:$C,0),CHOOSE(INT((MONTH($N$2)-1)/3)+1,1,2,3,4)),""))</x:f>
        <x:v/>
      </x:c>
      <x:c r="J56" s="5">
        <x:f t="shared" si="20"/>
        <x:v>0</x:v>
      </x:c>
      <x:c r="K56" s="5">
        <x:f t="shared" si="21"/>
        <x:v>0</x:v>
      </x:c>
      <x:c r="L56" s="5">
        <x:f t="shared" si="22"/>
        <x:v>0</x:v>
      </x:c>
      <x:c r="M56" s="5">
        <x:f t="shared" si="18"/>
        <x:v>0</x:v>
      </x:c>
      <x:c r="N56" s="6">
        <x:f t="shared" si="19"/>
        <x:v>0</x:v>
      </x:c>
      <x:c r="O56" s="24">
        <x:f t="shared" si="23"/>
        <x:v>0</x:v>
      </x:c>
    </x:row>
    <x:row r="57" spans="1:15" ht="24.949999999999999" customHeight="1">
      <x:c r="A57" s="18">
        <x:v>7</x:v>
      </x:c>
      <x:c r="B57" s="19">
        <x:f t="array" ref="B57:B57">INDEX($B$4:$O$27,MATCH($A57,$W$4:$W$27,0),COLUMN(A$1))</x:f>
        <x:v>0</x:v>
      </x:c>
      <x:c r="C57" s="19">
        <x:f t="array" ref="C57:C57">INDEX($B$4:$O$27,MATCH($A57,$W$4:$W$27,0),COLUMN(B$1))</x:f>
        <x:v>0</x:v>
      </x:c>
      <x:c r="D57" s="19">
        <x:f t="array" ref="D57:D57">INDEX($B$4:$O$27,MATCH($A57,$W$4:$W$27,0),COLUMN(C$1))</x:f>
        <x:v>0</x:v>
      </x:c>
      <x:c r="E57" s="19">
        <x:f t="array" ref="E57:E57">INDEX($B$4:$O$27,MATCH($A57,$W$4:$W$27,0),COLUMN(D$1))</x:f>
        <x:v>0</x:v>
      </x:c>
      <x:c r="F57" s="19">
        <x:f t="array" ref="F57:F57">INDEX($B$4:$O$27,MATCH($A57,$W$4:$W$27,0),COLUMN(E$1))</x:f>
        <x:v>0</x:v>
      </x:c>
      <x:c r="G57" s="21">
        <x:f t="shared" si="24"/>
        <x:v>0</x:v>
      </x:c>
      <x:c r="H57" s="22">
        <x:f t="shared" si="17"/>
        <x:v>0</x:v>
      </x:c>
      <x:c r="I57" s="23" t="str">
        <x:f>IF(B57="","",IFERROR(INDEX('회원명단 및 기준에버'!D:G,MATCH(B57,'회원명단 및 기준에버'!$C:$C,0),CHOOSE(INT((MONTH($N$2)-1)/3)+1,1,2,3,4)),""))</x:f>
        <x:v/>
      </x:c>
      <x:c r="J57" s="5">
        <x:f t="shared" si="20"/>
        <x:v>0</x:v>
      </x:c>
      <x:c r="K57" s="5">
        <x:f t="shared" si="21"/>
        <x:v>0</x:v>
      </x:c>
      <x:c r="L57" s="5">
        <x:f t="shared" si="22"/>
        <x:v>0</x:v>
      </x:c>
      <x:c r="M57" s="5">
        <x:f t="shared" si="18"/>
        <x:v>0</x:v>
      </x:c>
      <x:c r="N57" s="6">
        <x:f t="shared" si="19"/>
        <x:v>0</x:v>
      </x:c>
      <x:c r="O57" s="24">
        <x:f t="shared" si="23"/>
        <x:v>0</x:v>
      </x:c>
    </x:row>
    <x:row r="58" spans="1:15" ht="24.949999999999999" customHeight="1">
      <x:c r="A58" s="18">
        <x:v>8</x:v>
      </x:c>
      <x:c r="B58" s="19">
        <x:f t="array" ref="B58:B58">INDEX($B$4:$O$27,MATCH($A58,$W$4:$W$27,0),COLUMN(A$1))</x:f>
        <x:v>0</x:v>
      </x:c>
      <x:c r="C58" s="19">
        <x:f t="array" ref="C58:C58">INDEX($B$4:$O$27,MATCH($A58,$W$4:$W$27,0),COLUMN(B$1))</x:f>
        <x:v>0</x:v>
      </x:c>
      <x:c r="D58" s="19">
        <x:f t="array" ref="D58:D58">INDEX($B$4:$O$27,MATCH($A58,$W$4:$W$27,0),COLUMN(C$1))</x:f>
        <x:v>0</x:v>
      </x:c>
      <x:c r="E58" s="19">
        <x:f t="array" ref="E58:E58">INDEX($B$4:$O$27,MATCH($A58,$W$4:$W$27,0),COLUMN(D$1))</x:f>
        <x:v>0</x:v>
      </x:c>
      <x:c r="F58" s="19">
        <x:f t="array" ref="F58:F58">INDEX($B$4:$O$27,MATCH($A58,$W$4:$W$27,0),COLUMN(E$1))</x:f>
        <x:v>0</x:v>
      </x:c>
      <x:c r="G58" s="21">
        <x:f t="shared" si="24"/>
        <x:v>0</x:v>
      </x:c>
      <x:c r="H58" s="22">
        <x:f t="shared" si="17"/>
        <x:v>0</x:v>
      </x:c>
      <x:c r="I58" s="23" t="str">
        <x:f>IF(B58="","",IFERROR(INDEX('회원명단 및 기준에버'!D:G,MATCH(B58,'회원명단 및 기준에버'!$C:$C,0),CHOOSE(INT((MONTH($N$2)-1)/3)+1,1,2,3,4)),""))</x:f>
        <x:v/>
      </x:c>
      <x:c r="J58" s="5">
        <x:f t="shared" si="20"/>
        <x:v>0</x:v>
      </x:c>
      <x:c r="K58" s="5">
        <x:f t="shared" si="21"/>
        <x:v>0</x:v>
      </x:c>
      <x:c r="L58" s="5">
        <x:f t="shared" si="22"/>
        <x:v>0</x:v>
      </x:c>
      <x:c r="M58" s="5">
        <x:f t="shared" si="18"/>
        <x:v>0</x:v>
      </x:c>
      <x:c r="N58" s="6">
        <x:f t="shared" si="19"/>
        <x:v>0</x:v>
      </x:c>
      <x:c r="O58" s="24">
        <x:f t="shared" si="23"/>
        <x:v>0</x:v>
      </x:c>
    </x:row>
    <x:row r="59" spans="1:15" ht="24.949999999999999" customHeight="1">
      <x:c r="A59" s="18">
        <x:v>9</x:v>
      </x:c>
      <x:c r="B59" s="19">
        <x:f t="array" ref="B59:B59">INDEX($B$4:$O$27,MATCH($A59,$W$4:$W$27,0),COLUMN(A$1))</x:f>
        <x:v>0</x:v>
      </x:c>
      <x:c r="C59" s="19">
        <x:f t="array" ref="C59:C59">INDEX($B$4:$O$27,MATCH($A59,$W$4:$W$27,0),COLUMN(B$1))</x:f>
        <x:v>0</x:v>
      </x:c>
      <x:c r="D59" s="19">
        <x:f t="array" ref="D59:D59">INDEX($B$4:$O$27,MATCH($A59,$W$4:$W$27,0),COLUMN(C$1))</x:f>
        <x:v>0</x:v>
      </x:c>
      <x:c r="E59" s="19">
        <x:f t="array" ref="E59:E59">INDEX($B$4:$O$27,MATCH($A59,$W$4:$W$27,0),COLUMN(D$1))</x:f>
        <x:v>0</x:v>
      </x:c>
      <x:c r="F59" s="19">
        <x:f t="array" ref="F59:F59">INDEX($B$4:$O$27,MATCH($A59,$W$4:$W$27,0),COLUMN(E$1))</x:f>
        <x:v>0</x:v>
      </x:c>
      <x:c r="G59" s="21">
        <x:f t="shared" si="24"/>
        <x:v>0</x:v>
      </x:c>
      <x:c r="H59" s="22">
        <x:f t="shared" si="17"/>
        <x:v>0</x:v>
      </x:c>
      <x:c r="I59" s="23" t="str">
        <x:f>IF(B59="","",IFERROR(INDEX('회원명단 및 기준에버'!D:G,MATCH(B59,'회원명단 및 기준에버'!$C:$C,0),CHOOSE(INT((MONTH($N$2)-1)/3)+1,1,2,3,4)),""))</x:f>
        <x:v/>
      </x:c>
      <x:c r="J59" s="5">
        <x:f t="shared" si="20"/>
        <x:v>0</x:v>
      </x:c>
      <x:c r="K59" s="5">
        <x:f t="shared" si="21"/>
        <x:v>0</x:v>
      </x:c>
      <x:c r="L59" s="5">
        <x:f t="shared" si="22"/>
        <x:v>0</x:v>
      </x:c>
      <x:c r="M59" s="5">
        <x:f t="shared" si="18"/>
        <x:v>0</x:v>
      </x:c>
      <x:c r="N59" s="6">
        <x:f t="shared" si="19"/>
        <x:v>0</x:v>
      </x:c>
      <x:c r="O59" s="24">
        <x:f t="shared" si="23"/>
        <x:v>0</x:v>
      </x:c>
    </x:row>
    <x:row r="60" spans="1:15" ht="24.949999999999999" customHeight="1">
      <x:c r="A60" s="18">
        <x:v>10</x:v>
      </x:c>
      <x:c r="B60" s="19">
        <x:f t="array" ref="B60:B60">INDEX($B$4:$O$27,MATCH($A60,$W$4:$W$27,0),COLUMN(A$1))</x:f>
        <x:v>0</x:v>
      </x:c>
      <x:c r="C60" s="19">
        <x:f t="array" ref="C60:C60">INDEX($B$4:$O$27,MATCH($A60,$W$4:$W$27,0),COLUMN(B$1))</x:f>
        <x:v>0</x:v>
      </x:c>
      <x:c r="D60" s="19">
        <x:f t="array" ref="D60:D60">INDEX($B$4:$O$27,MATCH($A60,$W$4:$W$27,0),COLUMN(C$1))</x:f>
        <x:v>0</x:v>
      </x:c>
      <x:c r="E60" s="19">
        <x:f t="array" ref="E60:E60">INDEX($B$4:$O$27,MATCH($A60,$W$4:$W$27,0),COLUMN(D$1))</x:f>
        <x:v>0</x:v>
      </x:c>
      <x:c r="F60" s="19">
        <x:f t="array" ref="F60:F60">INDEX($B$4:$O$27,MATCH($A60,$W$4:$W$27,0),COLUMN(E$1))</x:f>
        <x:v>0</x:v>
      </x:c>
      <x:c r="G60" s="21">
        <x:f t="shared" si="24"/>
        <x:v>0</x:v>
      </x:c>
      <x:c r="H60" s="22">
        <x:f t="shared" si="17"/>
        <x:v>0</x:v>
      </x:c>
      <x:c r="I60" s="23" t="str">
        <x:f>IF(B60="","",IFERROR(INDEX('회원명단 및 기준에버'!D:G,MATCH(B60,'회원명단 및 기준에버'!$C:$C,0),CHOOSE(INT((MONTH($N$2)-1)/3)+1,1,2,3,4)),""))</x:f>
        <x:v/>
      </x:c>
      <x:c r="J60" s="5">
        <x:f t="shared" si="20"/>
        <x:v>0</x:v>
      </x:c>
      <x:c r="K60" s="5">
        <x:f t="shared" si="21"/>
        <x:v>0</x:v>
      </x:c>
      <x:c r="L60" s="5">
        <x:f t="shared" si="22"/>
        <x:v>0</x:v>
      </x:c>
      <x:c r="M60" s="5">
        <x:f t="shared" si="18"/>
        <x:v>0</x:v>
      </x:c>
      <x:c r="N60" s="6">
        <x:f t="shared" si="19"/>
        <x:v>0</x:v>
      </x:c>
      <x:c r="O60" s="24">
        <x:f t="shared" si="23"/>
        <x:v>0</x:v>
      </x:c>
    </x:row>
    <x:row r="61" spans="1:15" ht="24.949999999999999" customHeight="1">
      <x:c r="A61" s="18">
        <x:v>11</x:v>
      </x:c>
      <x:c r="B61" s="19">
        <x:f t="array" ref="B61:B61">INDEX($B$4:$O$27,MATCH($A61,$W$4:$W$27,0),COLUMN(A$1))</x:f>
        <x:v>0</x:v>
      </x:c>
      <x:c r="C61" s="19">
        <x:f t="array" ref="C61:C61">INDEX($B$4:$O$27,MATCH($A61,$W$4:$W$27,0),COLUMN(B$1))</x:f>
        <x:v>0</x:v>
      </x:c>
      <x:c r="D61" s="19">
        <x:f t="array" ref="D61:D61">INDEX($B$4:$O$27,MATCH($A61,$W$4:$W$27,0),COLUMN(C$1))</x:f>
        <x:v>0</x:v>
      </x:c>
      <x:c r="E61" s="19">
        <x:f t="array" ref="E61:E61">INDEX($B$4:$O$27,MATCH($A61,$W$4:$W$27,0),COLUMN(D$1))</x:f>
        <x:v>0</x:v>
      </x:c>
      <x:c r="F61" s="19">
        <x:f t="array" ref="F61:F61">INDEX($B$4:$O$27,MATCH($A61,$W$4:$W$27,0),COLUMN(E$1))</x:f>
        <x:v>0</x:v>
      </x:c>
      <x:c r="G61" s="21">
        <x:f t="shared" si="24"/>
        <x:v>0</x:v>
      </x:c>
      <x:c r="H61" s="22">
        <x:f t="shared" si="17"/>
        <x:v>0</x:v>
      </x:c>
      <x:c r="I61" s="23" t="str">
        <x:f>IF(B61="","",IFERROR(INDEX('회원명단 및 기준에버'!D:G,MATCH(B61,'회원명단 및 기준에버'!$C:$C,0),CHOOSE(INT((MONTH($N$2)-1)/3)+1,1,2,3,4)),""))</x:f>
        <x:v/>
      </x:c>
      <x:c r="J61" s="5">
        <x:f t="shared" si="20"/>
        <x:v>0</x:v>
      </x:c>
      <x:c r="K61" s="5">
        <x:f t="shared" si="21"/>
        <x:v>0</x:v>
      </x:c>
      <x:c r="L61" s="5">
        <x:f t="shared" si="22"/>
        <x:v>0</x:v>
      </x:c>
      <x:c r="M61" s="5">
        <x:f t="shared" si="18"/>
        <x:v>0</x:v>
      </x:c>
      <x:c r="N61" s="6">
        <x:f t="shared" si="19"/>
        <x:v>0</x:v>
      </x:c>
      <x:c r="O61" s="24">
        <x:f t="shared" si="23"/>
        <x:v>0</x:v>
      </x:c>
    </x:row>
    <x:row r="62" spans="1:15" ht="24.949999999999999" customHeight="1">
      <x:c r="A62" s="18">
        <x:v>12</x:v>
      </x:c>
      <x:c r="B62" s="19">
        <x:f t="array" ref="B62:B62">INDEX($B$4:$O$27,MATCH($A62,$W$4:$W$27,0),COLUMN(A$1))</x:f>
        <x:v>0</x:v>
      </x:c>
      <x:c r="C62" s="19">
        <x:f t="array" ref="C62:C62">INDEX($B$4:$O$27,MATCH($A62,$W$4:$W$27,0),COLUMN(B$1))</x:f>
        <x:v>0</x:v>
      </x:c>
      <x:c r="D62" s="19">
        <x:f t="array" ref="D62:D62">INDEX($B$4:$O$27,MATCH($A62,$W$4:$W$27,0),COLUMN(C$1))</x:f>
        <x:v>0</x:v>
      </x:c>
      <x:c r="E62" s="19">
        <x:f t="array" ref="E62:E62">INDEX($B$4:$O$27,MATCH($A62,$W$4:$W$27,0),COLUMN(D$1))</x:f>
        <x:v>0</x:v>
      </x:c>
      <x:c r="F62" s="19">
        <x:f t="array" ref="F62:F62">INDEX($B$4:$O$27,MATCH($A62,$W$4:$W$27,0),COLUMN(E$1))</x:f>
        <x:v>0</x:v>
      </x:c>
      <x:c r="G62" s="21">
        <x:f t="shared" si="24"/>
        <x:v>0</x:v>
      </x:c>
      <x:c r="H62" s="22">
        <x:f t="shared" si="17"/>
        <x:v>0</x:v>
      </x:c>
      <x:c r="I62" s="23" t="str">
        <x:f>IF(B62="","",IFERROR(INDEX('회원명단 및 기준에버'!D:G,MATCH(B62,'회원명단 및 기준에버'!$C:$C,0),CHOOSE(INT((MONTH($N$2)-1)/3)+1,1,2,3,4)),""))</x:f>
        <x:v/>
      </x:c>
      <x:c r="J62" s="5">
        <x:f t="shared" si="20"/>
        <x:v>0</x:v>
      </x:c>
      <x:c r="K62" s="5">
        <x:f t="shared" si="21"/>
        <x:v>0</x:v>
      </x:c>
      <x:c r="L62" s="5">
        <x:f t="shared" si="22"/>
        <x:v>0</x:v>
      </x:c>
      <x:c r="M62" s="5">
        <x:f t="shared" si="18"/>
        <x:v>0</x:v>
      </x:c>
      <x:c r="N62" s="6">
        <x:f t="shared" si="19"/>
        <x:v>0</x:v>
      </x:c>
      <x:c r="O62" s="24">
        <x:f t="shared" si="23"/>
        <x:v>0</x:v>
      </x:c>
    </x:row>
    <x:row r="63" spans="1:15" ht="24.949999999999999" customHeight="1">
      <x:c r="A63" s="18">
        <x:v>13</x:v>
      </x:c>
      <x:c r="B63" s="19">
        <x:f t="array" ref="B63:B63">INDEX($B$4:$O$27,MATCH($A63,$W$4:$W$27,0),COLUMN(A$1))</x:f>
        <x:v>0</x:v>
      </x:c>
      <x:c r="C63" s="19">
        <x:f t="array" ref="C63:C63">INDEX($B$4:$O$27,MATCH($A63,$W$4:$W$27,0),COLUMN(B$1))</x:f>
        <x:v>0</x:v>
      </x:c>
      <x:c r="D63" s="19">
        <x:f t="array" ref="D63:D63">INDEX($B$4:$O$27,MATCH($A63,$W$4:$W$27,0),COLUMN(C$1))</x:f>
        <x:v>0</x:v>
      </x:c>
      <x:c r="E63" s="19">
        <x:f t="array" ref="E63:E63">INDEX($B$4:$O$27,MATCH($A63,$W$4:$W$27,0),COLUMN(D$1))</x:f>
        <x:v>0</x:v>
      </x:c>
      <x:c r="F63" s="19">
        <x:f t="array" ref="F63:F63">INDEX($B$4:$O$27,MATCH($A63,$W$4:$W$27,0),COLUMN(E$1))</x:f>
        <x:v>0</x:v>
      </x:c>
      <x:c r="G63" s="21">
        <x:f t="shared" si="24"/>
        <x:v>0</x:v>
      </x:c>
      <x:c r="H63" s="22">
        <x:f t="shared" si="17"/>
        <x:v>0</x:v>
      </x:c>
      <x:c r="I63" s="23" t="str">
        <x:f>IF(B63="","",IFERROR(INDEX('회원명단 및 기준에버'!D:G,MATCH(B63,'회원명단 및 기준에버'!$C:$C,0),CHOOSE(INT((MONTH($N$2)-1)/3)+1,1,2,3,4)),""))</x:f>
        <x:v/>
      </x:c>
      <x:c r="J63" s="5">
        <x:f t="shared" si="20"/>
        <x:v>0</x:v>
      </x:c>
      <x:c r="K63" s="5">
        <x:f t="shared" si="21"/>
        <x:v>0</x:v>
      </x:c>
      <x:c r="L63" s="5">
        <x:f t="shared" si="22"/>
        <x:v>0</x:v>
      </x:c>
      <x:c r="M63" s="5">
        <x:f t="shared" si="18"/>
        <x:v>0</x:v>
      </x:c>
      <x:c r="N63" s="6">
        <x:f t="shared" si="19"/>
        <x:v>0</x:v>
      </x:c>
      <x:c r="O63" s="24">
        <x:f t="shared" si="23"/>
        <x:v>0</x:v>
      </x:c>
    </x:row>
    <x:row r="64" spans="1:15" ht="24.949999999999999" customHeight="1">
      <x:c r="A64" s="18">
        <x:v>14</x:v>
      </x:c>
      <x:c r="B64" s="19">
        <x:f t="array" ref="B64:B64">INDEX($B$4:$O$27,MATCH($A64,$W$4:$W$27,0),COLUMN(A$1))</x:f>
        <x:v>0</x:v>
      </x:c>
      <x:c r="C64" s="19">
        <x:f t="array" ref="C64:C64">INDEX($B$4:$O$27,MATCH($A64,$W$4:$W$27,0),COLUMN(B$1))</x:f>
        <x:v>0</x:v>
      </x:c>
      <x:c r="D64" s="19">
        <x:f t="array" ref="D64:D64">INDEX($B$4:$O$27,MATCH($A64,$W$4:$W$27,0),COLUMN(C$1))</x:f>
        <x:v>0</x:v>
      </x:c>
      <x:c r="E64" s="19">
        <x:f t="array" ref="E64:E64">INDEX($B$4:$O$27,MATCH($A64,$W$4:$W$27,0),COLUMN(D$1))</x:f>
        <x:v>0</x:v>
      </x:c>
      <x:c r="F64" s="19">
        <x:f t="array" ref="F64:F64">INDEX($B$4:$O$27,MATCH($A64,$W$4:$W$27,0),COLUMN(E$1))</x:f>
        <x:v>0</x:v>
      </x:c>
      <x:c r="G64" s="21">
        <x:f t="shared" si="24"/>
        <x:v>0</x:v>
      </x:c>
      <x:c r="H64" s="22">
        <x:f t="shared" si="17"/>
        <x:v>0</x:v>
      </x:c>
      <x:c r="I64" s="23" t="str">
        <x:f>IF(B64="","",IFERROR(INDEX('회원명단 및 기준에버'!D:G,MATCH(B64,'회원명단 및 기준에버'!$C:$C,0),CHOOSE(INT((MONTH($N$2)-1)/3)+1,1,2,3,4)),""))</x:f>
        <x:v/>
      </x:c>
      <x:c r="J64" s="5">
        <x:f t="shared" si="20"/>
        <x:v>0</x:v>
      </x:c>
      <x:c r="K64" s="5">
        <x:f t="shared" si="21"/>
        <x:v>0</x:v>
      </x:c>
      <x:c r="L64" s="5">
        <x:f t="shared" si="22"/>
        <x:v>0</x:v>
      </x:c>
      <x:c r="M64" s="5">
        <x:f t="shared" si="18"/>
        <x:v>0</x:v>
      </x:c>
      <x:c r="N64" s="6">
        <x:f t="shared" si="19"/>
        <x:v>0</x:v>
      </x:c>
      <x:c r="O64" s="24">
        <x:f t="shared" si="23"/>
        <x:v>0</x:v>
      </x:c>
    </x:row>
    <x:row r="65" spans="1:15" ht="24.949999999999999" customHeight="1">
      <x:c r="A65" s="18">
        <x:v>15</x:v>
      </x:c>
      <x:c r="B65" s="19">
        <x:f t="array" ref="B65:B65">INDEX($B$4:$O$27,MATCH($A65,$W$4:$W$27,0),COLUMN(A$1))</x:f>
        <x:v>0</x:v>
      </x:c>
      <x:c r="C65" s="19">
        <x:f t="array" ref="C65:C65">INDEX($B$4:$O$27,MATCH($A65,$W$4:$W$27,0),COLUMN(B$1))</x:f>
        <x:v>0</x:v>
      </x:c>
      <x:c r="D65" s="19">
        <x:f t="array" ref="D65:D65">INDEX($B$4:$O$27,MATCH($A65,$W$4:$W$27,0),COLUMN(C$1))</x:f>
        <x:v>0</x:v>
      </x:c>
      <x:c r="E65" s="19">
        <x:f t="array" ref="E65:E65">INDEX($B$4:$O$27,MATCH($A65,$W$4:$W$27,0),COLUMN(D$1))</x:f>
        <x:v>0</x:v>
      </x:c>
      <x:c r="F65" s="19">
        <x:f t="array" ref="F65:F65">INDEX($B$4:$O$27,MATCH($A65,$W$4:$W$27,0),COLUMN(E$1))</x:f>
        <x:v>0</x:v>
      </x:c>
      <x:c r="G65" s="21">
        <x:f t="shared" si="24"/>
        <x:v>0</x:v>
      </x:c>
      <x:c r="H65" s="22">
        <x:f t="shared" si="17"/>
        <x:v>0</x:v>
      </x:c>
      <x:c r="I65" s="23" t="str">
        <x:f>IF(B65="","",IFERROR(INDEX('회원명단 및 기준에버'!D:G,MATCH(B65,'회원명단 및 기준에버'!$C:$C,0),CHOOSE(INT((MONTH($N$2)-1)/3)+1,1,2,3,4)),""))</x:f>
        <x:v/>
      </x:c>
      <x:c r="J65" s="5">
        <x:f t="shared" si="20"/>
        <x:v>0</x:v>
      </x:c>
      <x:c r="K65" s="5">
        <x:f t="shared" si="21"/>
        <x:v>0</x:v>
      </x:c>
      <x:c r="L65" s="5">
        <x:f t="shared" si="22"/>
        <x:v>0</x:v>
      </x:c>
      <x:c r="M65" s="5">
        <x:f t="shared" si="18"/>
        <x:v>0</x:v>
      </x:c>
      <x:c r="N65" s="6">
        <x:f t="shared" si="19"/>
        <x:v>0</x:v>
      </x:c>
      <x:c r="O65" s="24">
        <x:f t="shared" si="23"/>
        <x:v>0</x:v>
      </x:c>
    </x:row>
    <x:row r="66" spans="1:15" ht="24.949999999999999" customHeight="1">
      <x:c r="A66" s="18">
        <x:v>16</x:v>
      </x:c>
      <x:c r="B66" s="19">
        <x:f t="array" ref="B66:B66">INDEX($B$4:$O$27,MATCH($A66,$W$4:$W$27,0),COLUMN(A$1))</x:f>
        <x:v>0</x:v>
      </x:c>
      <x:c r="C66" s="19">
        <x:f t="array" ref="C66:C66">INDEX($B$4:$O$27,MATCH($A66,$W$4:$W$27,0),COLUMN(B$1))</x:f>
        <x:v>0</x:v>
      </x:c>
      <x:c r="D66" s="19">
        <x:f t="array" ref="D66:D66">INDEX($B$4:$O$27,MATCH($A66,$W$4:$W$27,0),COLUMN(C$1))</x:f>
        <x:v>0</x:v>
      </x:c>
      <x:c r="E66" s="19">
        <x:f t="array" ref="E66:E66">INDEX($B$4:$O$27,MATCH($A66,$W$4:$W$27,0),COLUMN(D$1))</x:f>
        <x:v>0</x:v>
      </x:c>
      <x:c r="F66" s="19">
        <x:f t="array" ref="F66:F66">INDEX($B$4:$O$27,MATCH($A66,$W$4:$W$27,0),COLUMN(E$1))</x:f>
        <x:v>0</x:v>
      </x:c>
      <x:c r="G66" s="21">
        <x:f t="shared" si="24"/>
        <x:v>0</x:v>
      </x:c>
      <x:c r="H66" s="22">
        <x:f t="shared" si="17"/>
        <x:v>0</x:v>
      </x:c>
      <x:c r="I66" s="23" t="str">
        <x:f>IF(B66="","",IFERROR(INDEX('회원명단 및 기준에버'!D:G,MATCH(B66,'회원명단 및 기준에버'!$C:$C,0),CHOOSE(INT((MONTH($N$2)-1)/3)+1,1,2,3,4)),""))</x:f>
        <x:v/>
      </x:c>
      <x:c r="J66" s="5">
        <x:f t="shared" si="20"/>
        <x:v>0</x:v>
      </x:c>
      <x:c r="K66" s="5">
        <x:f t="shared" si="21"/>
        <x:v>0</x:v>
      </x:c>
      <x:c r="L66" s="5">
        <x:f t="shared" si="22"/>
        <x:v>0</x:v>
      </x:c>
      <x:c r="M66" s="5">
        <x:f t="shared" si="18"/>
        <x:v>0</x:v>
      </x:c>
      <x:c r="N66" s="6">
        <x:f t="shared" si="19"/>
        <x:v>0</x:v>
      </x:c>
      <x:c r="O66" s="24">
        <x:f t="shared" si="23"/>
        <x:v>0</x:v>
      </x:c>
    </x:row>
    <x:row r="67" spans="1:15" ht="24.949999999999999" customHeight="1">
      <x:c r="A67" s="18">
        <x:v>17</x:v>
      </x:c>
      <x:c r="B67" s="19">
        <x:f t="array" ref="B67:B67">INDEX($B$4:$O$27,MATCH($A67,$W$4:$W$27,0),COLUMN(A$1))</x:f>
        <x:v>0</x:v>
      </x:c>
      <x:c r="C67" s="19">
        <x:f t="array" ref="C67:C67">INDEX($B$4:$O$27,MATCH($A67,$W$4:$W$27,0),COLUMN(B$1))</x:f>
        <x:v>0</x:v>
      </x:c>
      <x:c r="D67" s="19">
        <x:f t="array" ref="D67:D67">INDEX($B$4:$O$27,MATCH($A67,$W$4:$W$27,0),COLUMN(C$1))</x:f>
        <x:v>0</x:v>
      </x:c>
      <x:c r="E67" s="19">
        <x:f t="array" ref="E67:E67">INDEX($B$4:$O$27,MATCH($A67,$W$4:$W$27,0),COLUMN(D$1))</x:f>
        <x:v>0</x:v>
      </x:c>
      <x:c r="F67" s="19">
        <x:f t="array" ref="F67:F67">INDEX($B$4:$O$27,MATCH($A67,$W$4:$W$27,0),COLUMN(E$1))</x:f>
        <x:v>0</x:v>
      </x:c>
      <x:c r="G67" s="21">
        <x:f t="shared" si="24"/>
        <x:v>0</x:v>
      </x:c>
      <x:c r="H67" s="22">
        <x:f t="shared" si="17"/>
        <x:v>0</x:v>
      </x:c>
      <x:c r="I67" s="23" t="str">
        <x:f>IF(B67="","",IFERROR(INDEX('회원명단 및 기준에버'!D:G,MATCH(B67,'회원명단 및 기준에버'!$C:$C,0),CHOOSE(INT((MONTH($N$2)-1)/3)+1,1,2,3,4)),""))</x:f>
        <x:v/>
      </x:c>
      <x:c r="J67" s="5">
        <x:f t="shared" si="20"/>
        <x:v>0</x:v>
      </x:c>
      <x:c r="K67" s="5">
        <x:f t="shared" si="21"/>
        <x:v>0</x:v>
      </x:c>
      <x:c r="L67" s="5">
        <x:f t="shared" si="22"/>
        <x:v>0</x:v>
      </x:c>
      <x:c r="M67" s="5">
        <x:f t="shared" si="18"/>
        <x:v>0</x:v>
      </x:c>
      <x:c r="N67" s="6">
        <x:f t="shared" si="19"/>
        <x:v>0</x:v>
      </x:c>
      <x:c r="O67" s="24">
        <x:f t="shared" si="23"/>
        <x:v>0</x:v>
      </x:c>
    </x:row>
    <x:row r="68" spans="1:15" ht="24.949999999999999" customHeight="1">
      <x:c r="A68" s="18">
        <x:v>18</x:v>
      </x:c>
      <x:c r="B68" s="19">
        <x:f t="array" ref="B68:B68">INDEX($B$4:$O$27,MATCH($A68,$W$4:$W$27,0),COLUMN(A$1))</x:f>
        <x:v>0</x:v>
      </x:c>
      <x:c r="C68" s="19">
        <x:f t="array" ref="C68:C68">INDEX($B$4:$O$27,MATCH($A68,$W$4:$W$27,0),COLUMN(B$1))</x:f>
        <x:v>0</x:v>
      </x:c>
      <x:c r="D68" s="19">
        <x:f t="array" ref="D68:D68">INDEX($B$4:$O$27,MATCH($A68,$W$4:$W$27,0),COLUMN(C$1))</x:f>
        <x:v>0</x:v>
      </x:c>
      <x:c r="E68" s="19">
        <x:f t="array" ref="E68:E68">INDEX($B$4:$O$27,MATCH($A68,$W$4:$W$27,0),COLUMN(D$1))</x:f>
        <x:v>0</x:v>
      </x:c>
      <x:c r="F68" s="19">
        <x:f t="array" ref="F68:F68">INDEX($B$4:$O$27,MATCH($A68,$W$4:$W$27,0),COLUMN(E$1))</x:f>
        <x:v>0</x:v>
      </x:c>
      <x:c r="G68" s="21">
        <x:f t="shared" si="24"/>
        <x:v>0</x:v>
      </x:c>
      <x:c r="H68" s="22">
        <x:f t="shared" si="17"/>
        <x:v>0</x:v>
      </x:c>
      <x:c r="I68" s="23" t="str">
        <x:f>IF(B68="","",IFERROR(INDEX('회원명단 및 기준에버'!D:G,MATCH(B68,'회원명단 및 기준에버'!$C:$C,0),CHOOSE(INT((MONTH($N$2)-1)/3)+1,1,2,3,4)),""))</x:f>
        <x:v/>
      </x:c>
      <x:c r="J68" s="5">
        <x:f t="shared" si="20"/>
        <x:v>0</x:v>
      </x:c>
      <x:c r="K68" s="5">
        <x:f t="shared" si="21"/>
        <x:v>0</x:v>
      </x:c>
      <x:c r="L68" s="5">
        <x:f t="shared" si="22"/>
        <x:v>0</x:v>
      </x:c>
      <x:c r="M68" s="5">
        <x:f t="shared" si="18"/>
        <x:v>0</x:v>
      </x:c>
      <x:c r="N68" s="6">
        <x:f t="shared" si="19"/>
        <x:v>0</x:v>
      </x:c>
      <x:c r="O68" s="24">
        <x:f t="shared" si="23"/>
        <x:v>0</x:v>
      </x:c>
    </x:row>
    <x:row r="69" spans="1:15" ht="24.949999999999999" customHeight="1">
      <x:c r="A69" s="18">
        <x:v>19</x:v>
      </x:c>
      <x:c r="B69" s="19">
        <x:f t="array" ref="B69:B69">INDEX($B$4:$O$27,MATCH($A69,$W$4:$W$27,0),COLUMN(A$1))</x:f>
        <x:v>0</x:v>
      </x:c>
      <x:c r="C69" s="19">
        <x:f t="array" ref="C69:C69">INDEX($B$4:$O$27,MATCH($A69,$W$4:$W$27,0),COLUMN(B$1))</x:f>
        <x:v>0</x:v>
      </x:c>
      <x:c r="D69" s="19">
        <x:f t="array" ref="D69:D69">INDEX($B$4:$O$27,MATCH($A69,$W$4:$W$27,0),COLUMN(C$1))</x:f>
        <x:v>0</x:v>
      </x:c>
      <x:c r="E69" s="19">
        <x:f t="array" ref="E69:E69">INDEX($B$4:$O$27,MATCH($A69,$W$4:$W$27,0),COLUMN(D$1))</x:f>
        <x:v>0</x:v>
      </x:c>
      <x:c r="F69" s="19">
        <x:f t="array" ref="F69:F69">INDEX($B$4:$O$27,MATCH($A69,$W$4:$W$27,0),COLUMN(E$1))</x:f>
        <x:v>0</x:v>
      </x:c>
      <x:c r="G69" s="21">
        <x:f t="shared" si="24"/>
        <x:v>0</x:v>
      </x:c>
      <x:c r="H69" s="22">
        <x:f t="shared" si="17"/>
        <x:v>0</x:v>
      </x:c>
      <x:c r="I69" s="23" t="str">
        <x:f>IF(B69="","",IFERROR(INDEX('회원명단 및 기준에버'!D:G,MATCH(B69,'회원명단 및 기준에버'!$C:$C,0),CHOOSE(INT((MONTH($N$2)-1)/3)+1,1,2,3,4)),""))</x:f>
        <x:v/>
      </x:c>
      <x:c r="J69" s="5">
        <x:f t="shared" si="20"/>
        <x:v>0</x:v>
      </x:c>
      <x:c r="K69" s="5">
        <x:f t="shared" si="21"/>
        <x:v>0</x:v>
      </x:c>
      <x:c r="L69" s="5">
        <x:f t="shared" si="22"/>
        <x:v>0</x:v>
      </x:c>
      <x:c r="M69" s="5">
        <x:f t="shared" si="18"/>
        <x:v>0</x:v>
      </x:c>
      <x:c r="N69" s="6">
        <x:f t="shared" si="19"/>
        <x:v>0</x:v>
      </x:c>
      <x:c r="O69" s="24">
        <x:f t="shared" si="23"/>
        <x:v>0</x:v>
      </x:c>
    </x:row>
    <x:row r="70" spans="1:15" ht="24.949999999999999" customHeight="1">
      <x:c r="A70" s="18">
        <x:v>20</x:v>
      </x:c>
      <x:c r="B70" s="19">
        <x:f t="array" ref="B70:B70">INDEX($B$4:$O$27,MATCH($A70,$W$4:$W$27,0),COLUMN(A$1))</x:f>
        <x:v>0</x:v>
      </x:c>
      <x:c r="C70" s="19">
        <x:f t="array" ref="C70:C70">INDEX($B$4:$O$27,MATCH($A70,$W$4:$W$27,0),COLUMN(B$1))</x:f>
        <x:v>0</x:v>
      </x:c>
      <x:c r="D70" s="19">
        <x:f t="array" ref="D70:D70">INDEX($B$4:$O$27,MATCH($A70,$W$4:$W$27,0),COLUMN(C$1))</x:f>
        <x:v>0</x:v>
      </x:c>
      <x:c r="E70" s="19">
        <x:f t="array" ref="E70:E70">INDEX($B$4:$O$27,MATCH($A70,$W$4:$W$27,0),COLUMN(D$1))</x:f>
        <x:v>0</x:v>
      </x:c>
      <x:c r="F70" s="19">
        <x:f t="array" ref="F70:F70">INDEX($B$4:$O$27,MATCH($A70,$W$4:$W$27,0),COLUMN(E$1))</x:f>
        <x:v>0</x:v>
      </x:c>
      <x:c r="G70" s="21">
        <x:f t="shared" si="24"/>
        <x:v>0</x:v>
      </x:c>
      <x:c r="H70" s="22">
        <x:f t="shared" si="17"/>
        <x:v>0</x:v>
      </x:c>
      <x:c r="I70" s="23" t="str">
        <x:f>IF(B70="","",IFERROR(INDEX('회원명단 및 기준에버'!D:G,MATCH(B70,'회원명단 및 기준에버'!$C:$C,0),CHOOSE(INT((MONTH($N$2)-1)/3)+1,1,2,3,4)),""))</x:f>
        <x:v/>
      </x:c>
      <x:c r="J70" s="5">
        <x:f t="shared" si="20"/>
        <x:v>0</x:v>
      </x:c>
      <x:c r="K70" s="5">
        <x:f t="shared" si="21"/>
        <x:v>0</x:v>
      </x:c>
      <x:c r="L70" s="5">
        <x:f t="shared" si="22"/>
        <x:v>0</x:v>
      </x:c>
      <x:c r="M70" s="5">
        <x:f t="shared" si="18"/>
        <x:v>0</x:v>
      </x:c>
      <x:c r="N70" s="6">
        <x:f t="shared" si="19"/>
        <x:v>0</x:v>
      </x:c>
      <x:c r="O70" s="24">
        <x:f t="shared" si="23"/>
        <x:v>0</x:v>
      </x:c>
    </x:row>
    <x:row r="71" spans="1:15" ht="24.949999999999999" customHeight="1">
      <x:c r="A71" s="18">
        <x:v>21</x:v>
      </x:c>
      <x:c r="B71" s="19">
        <x:f t="array" ref="B71:B71">INDEX($B$4:$O$27,MATCH($A71,$W$4:$W$27,0),COLUMN(A$1))</x:f>
        <x:v>0</x:v>
      </x:c>
      <x:c r="C71" s="19">
        <x:f t="array" ref="C71:C71">INDEX($B$4:$O$27,MATCH($A71,$W$4:$W$27,0),COLUMN(B$1))</x:f>
        <x:v>0</x:v>
      </x:c>
      <x:c r="D71" s="19">
        <x:f t="array" ref="D71:D71">INDEX($B$4:$O$27,MATCH($A71,$W$4:$W$27,0),COLUMN(C$1))</x:f>
        <x:v>0</x:v>
      </x:c>
      <x:c r="E71" s="19">
        <x:f t="array" ref="E71:E71">INDEX($B$4:$O$27,MATCH($A71,$W$4:$W$27,0),COLUMN(D$1))</x:f>
        <x:v>0</x:v>
      </x:c>
      <x:c r="F71" s="19">
        <x:f t="array" ref="F71:F71">INDEX($B$4:$O$27,MATCH($A71,$W$4:$W$27,0),COLUMN(E$1))</x:f>
        <x:v>0</x:v>
      </x:c>
      <x:c r="G71" s="21">
        <x:f t="shared" si="24"/>
        <x:v>0</x:v>
      </x:c>
      <x:c r="H71" s="22">
        <x:f t="shared" si="17"/>
        <x:v>0</x:v>
      </x:c>
      <x:c r="I71" s="23" t="str">
        <x:f>IF(B71="","",IFERROR(INDEX('회원명단 및 기준에버'!D:G,MATCH(B71,'회원명단 및 기준에버'!$C:$C,0),CHOOSE(INT((MONTH($N$2)-1)/3)+1,1,2,3,4)),""))</x:f>
        <x:v/>
      </x:c>
      <x:c r="J71" s="5">
        <x:f t="shared" si="20"/>
        <x:v>0</x:v>
      </x:c>
      <x:c r="K71" s="5">
        <x:f t="shared" si="21"/>
        <x:v>0</x:v>
      </x:c>
      <x:c r="L71" s="5">
        <x:f t="shared" si="22"/>
        <x:v>0</x:v>
      </x:c>
      <x:c r="M71" s="5">
        <x:f t="shared" si="18"/>
        <x:v>0</x:v>
      </x:c>
      <x:c r="N71" s="6">
        <x:f t="shared" si="19"/>
        <x:v>0</x:v>
      </x:c>
      <x:c r="O71" s="24">
        <x:f t="shared" si="23"/>
        <x:v>0</x:v>
      </x:c>
    </x:row>
    <x:row r="72" spans="1:15" ht="24.949999999999999" customHeight="1">
      <x:c r="A72" s="18">
        <x:v>22</x:v>
      </x:c>
      <x:c r="B72" s="19">
        <x:f t="array" ref="B72:B72">INDEX($B$4:$O$27,MATCH($A72,$W$4:$W$27,0),COLUMN(A$1))</x:f>
        <x:v>0</x:v>
      </x:c>
      <x:c r="C72" s="19">
        <x:f t="array" ref="C72:C72">INDEX($B$4:$O$27,MATCH($A72,$W$4:$W$27,0),COLUMN(B$1))</x:f>
        <x:v>0</x:v>
      </x:c>
      <x:c r="D72" s="19">
        <x:f t="array" ref="D72:D72">INDEX($B$4:$O$27,MATCH($A72,$W$4:$W$27,0),COLUMN(C$1))</x:f>
        <x:v>0</x:v>
      </x:c>
      <x:c r="E72" s="19">
        <x:f t="array" ref="E72:E72">INDEX($B$4:$O$27,MATCH($A72,$W$4:$W$27,0),COLUMN(D$1))</x:f>
        <x:v>0</x:v>
      </x:c>
      <x:c r="F72" s="19">
        <x:f t="array" ref="F72:F72">INDEX($B$4:$O$27,MATCH($A72,$W$4:$W$27,0),COLUMN(E$1))</x:f>
        <x:v>0</x:v>
      </x:c>
      <x:c r="G72" s="21">
        <x:f t="shared" si="24"/>
        <x:v>0</x:v>
      </x:c>
      <x:c r="H72" s="22">
        <x:f t="shared" si="17"/>
        <x:v>0</x:v>
      </x:c>
      <x:c r="I72" s="23" t="str">
        <x:f>IF(B72="","",IFERROR(INDEX('회원명단 및 기준에버'!D:G,MATCH(B72,'회원명단 및 기준에버'!$C:$C,0),CHOOSE(INT((MONTH($N$2)-1)/3)+1,1,2,3,4)),""))</x:f>
        <x:v/>
      </x:c>
      <x:c r="J72" s="5">
        <x:f t="shared" si="20"/>
        <x:v>0</x:v>
      </x:c>
      <x:c r="K72" s="5">
        <x:f t="shared" si="21"/>
        <x:v>0</x:v>
      </x:c>
      <x:c r="L72" s="5">
        <x:f t="shared" si="22"/>
        <x:v>0</x:v>
      </x:c>
      <x:c r="M72" s="5">
        <x:f t="shared" si="18"/>
        <x:v>0</x:v>
      </x:c>
      <x:c r="N72" s="6">
        <x:f t="shared" si="19"/>
        <x:v>0</x:v>
      </x:c>
      <x:c r="O72" s="24">
        <x:f t="shared" si="23"/>
        <x:v>0</x:v>
      </x:c>
    </x:row>
    <x:row r="73" spans="1:15" ht="24.949999999999999" customHeight="1">
      <x:c r="A73" s="18">
        <x:v>23</x:v>
      </x:c>
      <x:c r="B73" s="19">
        <x:f t="array" ref="B73:B73">INDEX($B$4:$O$27,MATCH($A73,$W$4:$W$27,0),COLUMN(A$1))</x:f>
        <x:v>0</x:v>
      </x:c>
      <x:c r="C73" s="19">
        <x:f t="array" ref="C73:C73">INDEX($B$4:$O$27,MATCH($A73,$W$4:$W$27,0),COLUMN(B$1))</x:f>
        <x:v>0</x:v>
      </x:c>
      <x:c r="D73" s="19">
        <x:f t="array" ref="D73:D73">INDEX($B$4:$O$27,MATCH($A73,$W$4:$W$27,0),COLUMN(C$1))</x:f>
        <x:v>0</x:v>
      </x:c>
      <x:c r="E73" s="19">
        <x:f t="array" ref="E73:E73">INDEX($B$4:$O$27,MATCH($A73,$W$4:$W$27,0),COLUMN(D$1))</x:f>
        <x:v>0</x:v>
      </x:c>
      <x:c r="F73" s="19">
        <x:f t="array" ref="F73:F73">INDEX($B$4:$O$27,MATCH($A73,$W$4:$W$27,0),COLUMN(E$1))</x:f>
        <x:v>0</x:v>
      </x:c>
      <x:c r="G73" s="21">
        <x:f t="shared" si="24"/>
        <x:v>0</x:v>
      </x:c>
      <x:c r="H73" s="22">
        <x:f t="shared" si="17"/>
        <x:v>0</x:v>
      </x:c>
      <x:c r="I73" s="23" t="str">
        <x:f>IF(B73="","",IFERROR(INDEX('회원명단 및 기준에버'!D:G,MATCH(B73,'회원명단 및 기준에버'!$C:$C,0),CHOOSE(INT((MONTH($N$2)-1)/3)+1,1,2,3,4)),""))</x:f>
        <x:v/>
      </x:c>
      <x:c r="J73" s="5">
        <x:f t="shared" si="20"/>
        <x:v>0</x:v>
      </x:c>
      <x:c r="K73" s="5">
        <x:f t="shared" si="21"/>
        <x:v>0</x:v>
      </x:c>
      <x:c r="L73" s="5">
        <x:f t="shared" si="22"/>
        <x:v>0</x:v>
      </x:c>
      <x:c r="M73" s="5">
        <x:f t="shared" si="18"/>
        <x:v>0</x:v>
      </x:c>
      <x:c r="N73" s="6">
        <x:f t="shared" si="19"/>
        <x:v>0</x:v>
      </x:c>
      <x:c r="O73" s="24">
        <x:f t="shared" si="23"/>
        <x:v>0</x:v>
      </x:c>
    </x:row>
    <x:row r="74" spans="1:15" ht="24.949999999999999" customHeight="1">
      <x:c r="A74" s="18">
        <x:v>24</x:v>
      </x:c>
      <x:c r="B74" s="19">
        <x:f t="array" ref="B74:B74">INDEX($B$4:$O$27,MATCH($A74,$W$4:$W$27,0),COLUMN(A$1))</x:f>
        <x:v>0</x:v>
      </x:c>
      <x:c r="C74" s="19">
        <x:f t="array" ref="C74:C74">INDEX($B$4:$O$27,MATCH($A74,$W$4:$W$27,0),COLUMN(B$1))</x:f>
        <x:v>0</x:v>
      </x:c>
      <x:c r="D74" s="19">
        <x:f t="array" ref="D74:D74">INDEX($B$4:$O$27,MATCH($A74,$W$4:$W$27,0),COLUMN(C$1))</x:f>
        <x:v>0</x:v>
      </x:c>
      <x:c r="E74" s="19">
        <x:f t="array" ref="E74:E74">INDEX($B$4:$O$27,MATCH($A74,$W$4:$W$27,0),COLUMN(D$1))</x:f>
        <x:v>0</x:v>
      </x:c>
      <x:c r="F74" s="19">
        <x:f t="array" ref="F74:F74">INDEX($B$4:$O$27,MATCH($A74,$W$4:$W$27,0),COLUMN(E$1))</x:f>
        <x:v>0</x:v>
      </x:c>
      <x:c r="G74" s="21">
        <x:f t="shared" si="24"/>
        <x:v>0</x:v>
      </x:c>
      <x:c r="H74" s="22">
        <x:f t="shared" si="17"/>
        <x:v>0</x:v>
      </x:c>
      <x:c r="I74" s="23" t="str">
        <x:f>IF(B74="","",IFERROR(INDEX('회원명단 및 기준에버'!D:G,MATCH(B74,'회원명단 및 기준에버'!$C:$C,0),CHOOSE(INT((MONTH($N$2)-1)/3)+1,1,2,3,4)),""))</x:f>
        <x:v/>
      </x:c>
      <x:c r="J74" s="5">
        <x:f t="shared" si="20"/>
        <x:v>0</x:v>
      </x:c>
      <x:c r="K74" s="5">
        <x:f t="shared" si="21"/>
        <x:v>0</x:v>
      </x:c>
      <x:c r="L74" s="5">
        <x:f t="shared" si="22"/>
        <x:v>0</x:v>
      </x:c>
      <x:c r="M74" s="5">
        <x:f t="shared" si="18"/>
        <x:v>0</x:v>
      </x:c>
      <x:c r="N74" s="6">
        <x:f t="shared" si="19"/>
        <x:v>0</x:v>
      </x:c>
      <x:c r="O74" s="24">
        <x:f t="shared" si="23"/>
        <x:v>0</x:v>
      </x:c>
    </x:row>
    <x:row r="75" spans="2:15" ht="24.949999999999999" customHeight="1">
      <x:c r="B75" s="120" t="s">
        <x:v>21</x:v>
      </x:c>
      <x:c r="C75" s="121"/>
      <x:c r="D75" s="121"/>
      <x:c r="E75" s="121"/>
      <x:c r="F75" s="120"/>
      <x:c r="G75" s="121"/>
      <x:c r="H75" s="121"/>
      <x:c r="I75" s="121"/>
      <x:c r="J75" s="121"/>
      <x:c r="K75" s="121"/>
      <x:c r="L75" s="121"/>
      <x:c r="M75" s="120"/>
      <x:c r="N75" s="121"/>
      <x:c r="O75" s="122"/>
    </x:row>
    <x:row r="76" spans="2:15" ht="24.949999999999999" customHeight="1">
      <x:c r="B76" s="26">
        <x:f t="shared" ref="B76:O76" si="25">IF(B29="","",B29)</x:f>
        <x:v>0</x:v>
      </x:c>
      <x:c r="C76" s="27">
        <x:f t="shared" si="25"/>
        <x:v>0</x:v>
      </x:c>
      <x:c r="D76" s="27">
        <x:f t="shared" si="25"/>
        <x:v>0</x:v>
      </x:c>
      <x:c r="E76" s="27">
        <x:f t="shared" si="25"/>
        <x:v>0</x:v>
      </x:c>
      <x:c r="F76" s="27"/>
      <x:c r="G76" s="123">
        <x:f t="shared" si="25"/>
        <x:v>0</x:v>
      </x:c>
      <x:c r="H76" s="115" t="str">
        <x:f t="shared" si="25"/>
        <x:v/>
      </x:c>
      <x:c r="I76" s="28">
        <x:f t="shared" si="25"/>
        <x:v>0</x:v>
      </x:c>
      <x:c r="J76" s="27">
        <x:f t="shared" si="25"/>
        <x:v>0</x:v>
      </x:c>
      <x:c r="K76" s="27">
        <x:f t="shared" si="25"/>
        <x:v>0</x:v>
      </x:c>
      <x:c r="L76" s="27">
        <x:f t="shared" si="25"/>
        <x:v>0</x:v>
      </x:c>
      <x:c r="M76" s="47"/>
      <x:c r="N76" s="129">
        <x:f t="shared" si="25"/>
        <x:v>0</x:v>
      </x:c>
      <x:c r="O76" s="126" t="str">
        <x:f t="shared" si="25"/>
        <x:v/>
      </x:c>
    </x:row>
    <x:row r="77" spans="2:15" ht="24.949999999999999" customHeight="1">
      <x:c r="B77" s="29">
        <x:f t="shared" ref="B77:O77" si="26">IF(B30="","",B30)</x:f>
        <x:v>0</x:v>
      </x:c>
      <x:c r="C77" s="4">
        <x:f t="shared" si="26"/>
        <x:v>0</x:v>
      </x:c>
      <x:c r="D77" s="4">
        <x:f t="shared" si="26"/>
        <x:v>0</x:v>
      </x:c>
      <x:c r="E77" s="4">
        <x:f t="shared" si="26"/>
        <x:v>0</x:v>
      </x:c>
      <x:c r="F77" s="4"/>
      <x:c r="G77" s="124" t="str">
        <x:f t="shared" si="26"/>
        <x:v/>
      </x:c>
      <x:c r="H77" s="116" t="str">
        <x:f t="shared" si="26"/>
        <x:v/>
      </x:c>
      <x:c r="I77" s="29">
        <x:f t="shared" si="26"/>
        <x:v>0</x:v>
      </x:c>
      <x:c r="J77" s="4">
        <x:f t="shared" si="26"/>
        <x:v>0</x:v>
      </x:c>
      <x:c r="K77" s="4">
        <x:f t="shared" si="26"/>
        <x:v>0</x:v>
      </x:c>
      <x:c r="L77" s="4">
        <x:f t="shared" si="26"/>
        <x:v>0</x:v>
      </x:c>
      <x:c r="M77" s="48"/>
      <x:c r="N77" s="130" t="str">
        <x:f t="shared" si="26"/>
        <x:v/>
      </x:c>
      <x:c r="O77" s="127" t="str">
        <x:f t="shared" si="26"/>
        <x:v/>
      </x:c>
    </x:row>
    <x:row r="78" spans="2:15" ht="24.949999999999999" customHeight="1">
      <x:c r="B78" s="29">
        <x:f t="shared" ref="B78:O78" si="27">IF(B31="","",B31)</x:f>
        <x:v>0</x:v>
      </x:c>
      <x:c r="C78" s="4">
        <x:f t="shared" si="27"/>
        <x:v>0</x:v>
      </x:c>
      <x:c r="D78" s="4">
        <x:f t="shared" si="27"/>
        <x:v>0</x:v>
      </x:c>
      <x:c r="E78" s="4">
        <x:f t="shared" si="27"/>
        <x:v>0</x:v>
      </x:c>
      <x:c r="F78" s="4"/>
      <x:c r="G78" s="124" t="str">
        <x:f t="shared" si="27"/>
        <x:v/>
      </x:c>
      <x:c r="H78" s="116" t="str">
        <x:f t="shared" si="27"/>
        <x:v/>
      </x:c>
      <x:c r="I78" s="29">
        <x:f t="shared" si="27"/>
        <x:v>0</x:v>
      </x:c>
      <x:c r="J78" s="4">
        <x:f t="shared" si="27"/>
        <x:v>0</x:v>
      </x:c>
      <x:c r="K78" s="4">
        <x:f t="shared" si="27"/>
        <x:v>0</x:v>
      </x:c>
      <x:c r="L78" s="4">
        <x:f t="shared" si="27"/>
        <x:v>0</x:v>
      </x:c>
      <x:c r="M78" s="48"/>
      <x:c r="N78" s="130" t="str">
        <x:f t="shared" si="27"/>
        <x:v/>
      </x:c>
      <x:c r="O78" s="127" t="str">
        <x:f t="shared" si="27"/>
        <x:v/>
      </x:c>
    </x:row>
    <x:row r="79" spans="2:15" ht="24.949999999999999" customHeight="1">
      <x:c r="B79" s="29">
        <x:f t="shared" ref="B79:O79" si="28">IF(B32="","",B32)</x:f>
        <x:v>0</x:v>
      </x:c>
      <x:c r="C79" s="4">
        <x:f t="shared" si="28"/>
        <x:v>0</x:v>
      </x:c>
      <x:c r="D79" s="4">
        <x:f t="shared" si="28"/>
        <x:v>0</x:v>
      </x:c>
      <x:c r="E79" s="4">
        <x:f t="shared" si="28"/>
        <x:v>0</x:v>
      </x:c>
      <x:c r="F79" s="4"/>
      <x:c r="G79" s="124" t="str">
        <x:f t="shared" si="28"/>
        <x:v/>
      </x:c>
      <x:c r="H79" s="116" t="str">
        <x:f t="shared" si="28"/>
        <x:v/>
      </x:c>
      <x:c r="I79" s="29">
        <x:f t="shared" si="28"/>
        <x:v>0</x:v>
      </x:c>
      <x:c r="J79" s="4">
        <x:f t="shared" si="28"/>
        <x:v>0</x:v>
      </x:c>
      <x:c r="K79" s="4">
        <x:f t="shared" si="28"/>
        <x:v>0</x:v>
      </x:c>
      <x:c r="L79" s="4">
        <x:f t="shared" si="28"/>
        <x:v>0</x:v>
      </x:c>
      <x:c r="M79" s="48"/>
      <x:c r="N79" s="130" t="str">
        <x:f t="shared" si="28"/>
        <x:v/>
      </x:c>
      <x:c r="O79" s="127" t="str">
        <x:f t="shared" si="28"/>
        <x:v/>
      </x:c>
    </x:row>
    <x:row r="80" spans="2:15" ht="24.949999999999999" customHeight="1">
      <x:c r="B80" s="30" t="str">
        <x:f t="shared" ref="B80:O80" si="29">IF(B33="","",B33)</x:f>
        <x:v/>
      </x:c>
      <x:c r="C80" s="31">
        <x:f t="shared" si="29"/>
        <x:v>0</x:v>
      </x:c>
      <x:c r="D80" s="31">
        <x:f t="shared" si="29"/>
        <x:v>0</x:v>
      </x:c>
      <x:c r="E80" s="31">
        <x:f t="shared" si="29"/>
        <x:v>0</x:v>
      </x:c>
      <x:c r="F80" s="31"/>
      <x:c r="G80" s="125" t="str">
        <x:f t="shared" si="29"/>
        <x:v/>
      </x:c>
      <x:c r="H80" s="117" t="str">
        <x:f t="shared" si="29"/>
        <x:v/>
      </x:c>
      <x:c r="I80" s="30" t="str">
        <x:f t="shared" si="29"/>
        <x:v/>
      </x:c>
      <x:c r="J80" s="31">
        <x:f t="shared" si="29"/>
        <x:v>0</x:v>
      </x:c>
      <x:c r="K80" s="31">
        <x:f t="shared" si="29"/>
        <x:v>0</x:v>
      </x:c>
      <x:c r="L80" s="31">
        <x:f t="shared" si="29"/>
        <x:v>0</x:v>
      </x:c>
      <x:c r="M80" s="39"/>
      <x:c r="N80" s="131" t="str">
        <x:f t="shared" si="29"/>
        <x:v/>
      </x:c>
      <x:c r="O80" s="128" t="str">
        <x:f t="shared" si="29"/>
        <x:v/>
      </x:c>
    </x:row>
    <x:row r="81" spans="2:15" ht="9.9499999999999993" customHeight="1">
      <x:c r="B81" s="11" t="str">
        <x:f t="shared" ref="B81:O81" si="30">IF(B34="","",B34)</x:f>
        <x:v/>
      </x:c>
      <x:c r="C81" s="11" t="str">
        <x:f t="shared" si="30"/>
        <x:v/>
      </x:c>
      <x:c r="D81" s="11" t="str">
        <x:f t="shared" si="30"/>
        <x:v/>
      </x:c>
      <x:c r="E81" s="11" t="str">
        <x:f t="shared" si="30"/>
        <x:v/>
      </x:c>
      <x:c r="F81" s="11"/>
      <x:c r="G81" s="11" t="str">
        <x:f t="shared" si="30"/>
        <x:v/>
      </x:c>
      <x:c r="H81" s="11" t="str">
        <x:f t="shared" si="30"/>
        <x:v/>
      </x:c>
      <x:c r="I81" s="11" t="str">
        <x:f t="shared" si="30"/>
        <x:v/>
      </x:c>
      <x:c r="J81" s="11" t="str">
        <x:f t="shared" si="30"/>
        <x:v/>
      </x:c>
      <x:c r="K81" s="11" t="str">
        <x:f t="shared" si="30"/>
        <x:v/>
      </x:c>
      <x:c r="L81" s="11" t="str">
        <x:f t="shared" si="30"/>
        <x:v/>
      </x:c>
      <x:c r="M81" s="11"/>
      <x:c r="N81" s="11" t="str">
        <x:f t="shared" si="30"/>
        <x:v/>
      </x:c>
      <x:c r="O81" s="11" t="str">
        <x:f t="shared" si="30"/>
        <x:v/>
      </x:c>
    </x:row>
    <x:row r="82" spans="2:15" ht="24.949999999999999" customHeight="1">
      <x:c r="B82" s="26">
        <x:f t="shared" ref="B82:O82" si="31">IF(B35="","",B35)</x:f>
        <x:v>0</x:v>
      </x:c>
      <x:c r="C82" s="27">
        <x:f t="shared" si="31"/>
        <x:v>0</x:v>
      </x:c>
      <x:c r="D82" s="27">
        <x:f t="shared" si="31"/>
        <x:v>0</x:v>
      </x:c>
      <x:c r="E82" s="27">
        <x:f t="shared" si="31"/>
        <x:v>0</x:v>
      </x:c>
      <x:c r="F82" s="47"/>
      <x:c r="G82" s="129">
        <x:f t="shared" si="31"/>
        <x:v>0</x:v>
      </x:c>
      <x:c r="H82" s="126" t="str">
        <x:f t="shared" si="31"/>
        <x:v/>
      </x:c>
      <x:c r="I82" s="28">
        <x:f t="shared" si="31"/>
        <x:v>0</x:v>
      </x:c>
      <x:c r="J82" s="27">
        <x:f t="shared" si="31"/>
        <x:v>0</x:v>
      </x:c>
      <x:c r="K82" s="27">
        <x:f t="shared" si="31"/>
        <x:v>0</x:v>
      </x:c>
      <x:c r="L82" s="27">
        <x:f t="shared" si="31"/>
        <x:v>0</x:v>
      </x:c>
      <x:c r="M82" s="47"/>
      <x:c r="N82" s="129">
        <x:f t="shared" si="31"/>
        <x:v>0</x:v>
      </x:c>
      <x:c r="O82" s="126" t="str">
        <x:f t="shared" si="31"/>
        <x:v/>
      </x:c>
    </x:row>
    <x:row r="83" spans="2:15" ht="24.949999999999999" customHeight="1">
      <x:c r="B83" s="29">
        <x:f t="shared" ref="B83:O83" si="32">IF(B36="","",B36)</x:f>
        <x:v>0</x:v>
      </x:c>
      <x:c r="C83" s="4">
        <x:f t="shared" si="32"/>
        <x:v>0</x:v>
      </x:c>
      <x:c r="D83" s="4">
        <x:f t="shared" si="32"/>
        <x:v>0</x:v>
      </x:c>
      <x:c r="E83" s="4">
        <x:f t="shared" si="32"/>
        <x:v>0</x:v>
      </x:c>
      <x:c r="F83" s="48"/>
      <x:c r="G83" s="130" t="str">
        <x:f t="shared" si="32"/>
        <x:v/>
      </x:c>
      <x:c r="H83" s="127" t="str">
        <x:f t="shared" si="32"/>
        <x:v/>
      </x:c>
      <x:c r="I83" s="29">
        <x:f t="shared" si="32"/>
        <x:v>0</x:v>
      </x:c>
      <x:c r="J83" s="4">
        <x:f t="shared" si="32"/>
        <x:v>0</x:v>
      </x:c>
      <x:c r="K83" s="4">
        <x:f t="shared" si="32"/>
        <x:v>0</x:v>
      </x:c>
      <x:c r="L83" s="4">
        <x:f t="shared" si="32"/>
        <x:v>0</x:v>
      </x:c>
      <x:c r="M83" s="48"/>
      <x:c r="N83" s="130" t="str">
        <x:f t="shared" si="32"/>
        <x:v/>
      </x:c>
      <x:c r="O83" s="127" t="str">
        <x:f t="shared" si="32"/>
        <x:v/>
      </x:c>
    </x:row>
    <x:row r="84" spans="2:15" ht="24.949999999999999" customHeight="1">
      <x:c r="B84" s="29">
        <x:f t="shared" ref="B84:O84" si="33">IF(B37="","",B37)</x:f>
        <x:v>0</x:v>
      </x:c>
      <x:c r="C84" s="4">
        <x:f t="shared" si="33"/>
        <x:v>0</x:v>
      </x:c>
      <x:c r="D84" s="4">
        <x:f t="shared" si="33"/>
        <x:v>0</x:v>
      </x:c>
      <x:c r="E84" s="4">
        <x:f t="shared" si="33"/>
        <x:v>0</x:v>
      </x:c>
      <x:c r="F84" s="48"/>
      <x:c r="G84" s="130" t="str">
        <x:f t="shared" si="33"/>
        <x:v/>
      </x:c>
      <x:c r="H84" s="127" t="str">
        <x:f t="shared" si="33"/>
        <x:v/>
      </x:c>
      <x:c r="I84" s="29">
        <x:f t="shared" si="33"/>
        <x:v>0</x:v>
      </x:c>
      <x:c r="J84" s="4">
        <x:f t="shared" si="33"/>
        <x:v>0</x:v>
      </x:c>
      <x:c r="K84" s="4">
        <x:f t="shared" si="33"/>
        <x:v>0</x:v>
      </x:c>
      <x:c r="L84" s="4">
        <x:f t="shared" si="33"/>
        <x:v>0</x:v>
      </x:c>
      <x:c r="M84" s="48"/>
      <x:c r="N84" s="130" t="str">
        <x:f t="shared" si="33"/>
        <x:v/>
      </x:c>
      <x:c r="O84" s="127" t="str">
        <x:f t="shared" si="33"/>
        <x:v/>
      </x:c>
    </x:row>
    <x:row r="85" spans="2:15" ht="24.949999999999999" customHeight="1">
      <x:c r="B85" s="29">
        <x:f t="shared" ref="B85:O85" si="34">IF(B38="","",B38)</x:f>
        <x:v>0</x:v>
      </x:c>
      <x:c r="C85" s="4">
        <x:f t="shared" si="34"/>
        <x:v>0</x:v>
      </x:c>
      <x:c r="D85" s="4">
        <x:f t="shared" si="34"/>
        <x:v>0</x:v>
      </x:c>
      <x:c r="E85" s="4">
        <x:f t="shared" si="34"/>
        <x:v>0</x:v>
      </x:c>
      <x:c r="F85" s="48"/>
      <x:c r="G85" s="130" t="str">
        <x:f t="shared" si="34"/>
        <x:v/>
      </x:c>
      <x:c r="H85" s="127" t="str">
        <x:f t="shared" si="34"/>
        <x:v/>
      </x:c>
      <x:c r="I85" s="29">
        <x:f t="shared" si="34"/>
        <x:v>0</x:v>
      </x:c>
      <x:c r="J85" s="4">
        <x:f t="shared" si="34"/>
        <x:v>0</x:v>
      </x:c>
      <x:c r="K85" s="4">
        <x:f t="shared" si="34"/>
        <x:v>0</x:v>
      </x:c>
      <x:c r="L85" s="4">
        <x:f t="shared" si="34"/>
        <x:v>0</x:v>
      </x:c>
      <x:c r="M85" s="48"/>
      <x:c r="N85" s="130" t="str">
        <x:f t="shared" si="34"/>
        <x:v/>
      </x:c>
      <x:c r="O85" s="127" t="str">
        <x:f t="shared" si="34"/>
        <x:v/>
      </x:c>
    </x:row>
    <x:row r="86" spans="2:15" ht="24.949999999999999" customHeight="1">
      <x:c r="B86" s="30" t="str">
        <x:f t="shared" ref="B86:O86" si="35">IF(B39="","",B39)</x:f>
        <x:v/>
      </x:c>
      <x:c r="C86" s="31">
        <x:f t="shared" si="35"/>
        <x:v>0</x:v>
      </x:c>
      <x:c r="D86" s="31">
        <x:f t="shared" si="35"/>
        <x:v>0</x:v>
      </x:c>
      <x:c r="E86" s="31">
        <x:f t="shared" si="35"/>
        <x:v>0</x:v>
      </x:c>
      <x:c r="F86" s="39"/>
      <x:c r="G86" s="131" t="str">
        <x:f t="shared" si="35"/>
        <x:v/>
      </x:c>
      <x:c r="H86" s="128" t="str">
        <x:f t="shared" si="35"/>
        <x:v/>
      </x:c>
      <x:c r="I86" s="30" t="str">
        <x:f t="shared" si="35"/>
        <x:v/>
      </x:c>
      <x:c r="J86" s="31">
        <x:f t="shared" si="35"/>
        <x:v>0</x:v>
      </x:c>
      <x:c r="K86" s="31">
        <x:f t="shared" si="35"/>
        <x:v>0</x:v>
      </x:c>
      <x:c r="L86" s="31">
        <x:f t="shared" si="35"/>
        <x:v>0</x:v>
      </x:c>
      <x:c r="M86" s="39"/>
      <x:c r="N86" s="131" t="str">
        <x:f t="shared" si="35"/>
        <x:v/>
      </x:c>
      <x:c r="O86" s="128" t="str">
        <x:f t="shared" si="35"/>
        <x:v/>
      </x:c>
    </x:row>
    <x:row r="87" spans="2:15" ht="9.9499999999999993" customHeight="1">
      <x:c r="B87" s="3" t="str">
        <x:f t="shared" ref="B87:O87" si="36">IF(B40="","",B40)</x:f>
        <x:v/>
      </x:c>
      <x:c r="C87" s="3" t="str">
        <x:f t="shared" si="36"/>
        <x:v/>
      </x:c>
      <x:c r="D87" s="3" t="str">
        <x:f t="shared" si="36"/>
        <x:v/>
      </x:c>
      <x:c r="E87" s="3" t="str">
        <x:f t="shared" si="36"/>
        <x:v/>
      </x:c>
      <x:c r="G87" s="3" t="str">
        <x:f t="shared" si="36"/>
        <x:v/>
      </x:c>
      <x:c r="H87" s="3" t="str">
        <x:f t="shared" si="36"/>
        <x:v/>
      </x:c>
      <x:c r="I87" s="3" t="str">
        <x:f t="shared" si="36"/>
        <x:v/>
      </x:c>
      <x:c r="J87" s="3" t="str">
        <x:f t="shared" si="36"/>
        <x:v/>
      </x:c>
      <x:c r="K87" s="3" t="str">
        <x:f t="shared" si="36"/>
        <x:v/>
      </x:c>
      <x:c r="L87" s="3" t="str">
        <x:f t="shared" si="36"/>
        <x:v/>
      </x:c>
      <x:c r="N87" s="3" t="str">
        <x:f t="shared" si="36"/>
        <x:v/>
      </x:c>
      <x:c r="O87" s="3" t="str">
        <x:f t="shared" si="36"/>
        <x:v/>
      </x:c>
    </x:row>
    <x:row r="88" spans="2:15" ht="24.949999999999999" customHeight="1">
      <x:c r="B88" s="26">
        <x:f t="shared" ref="B88:O88" si="37">IF(B41="","",B41)</x:f>
        <x:v>0</x:v>
      </x:c>
      <x:c r="C88" s="27">
        <x:f t="shared" si="37"/>
        <x:v>0</x:v>
      </x:c>
      <x:c r="D88" s="27">
        <x:f t="shared" si="37"/>
        <x:v>0</x:v>
      </x:c>
      <x:c r="E88" s="27">
        <x:f t="shared" si="37"/>
        <x:v>0</x:v>
      </x:c>
      <x:c r="F88" s="27"/>
      <x:c r="G88" s="123">
        <x:f t="shared" si="37"/>
        <x:v>0</x:v>
      </x:c>
      <x:c r="H88" s="138" t="str">
        <x:f t="shared" si="37"/>
        <x:v/>
      </x:c>
      <x:c r="I88" s="26">
        <x:f t="shared" si="37"/>
        <x:v>0</x:v>
      </x:c>
      <x:c r="J88" s="27">
        <x:f t="shared" si="37"/>
        <x:v>0</x:v>
      </x:c>
      <x:c r="K88" s="27">
        <x:f t="shared" si="37"/>
        <x:v>0</x:v>
      </x:c>
      <x:c r="L88" s="27">
        <x:f t="shared" si="37"/>
        <x:v>0</x:v>
      </x:c>
      <x:c r="M88" s="27"/>
      <x:c r="N88" s="123">
        <x:f t="shared" si="37"/>
        <x:v>0</x:v>
      </x:c>
      <x:c r="O88" s="115" t="str">
        <x:f t="shared" si="37"/>
        <x:v/>
      </x:c>
    </x:row>
    <x:row r="89" spans="2:15" ht="24.949999999999999" customHeight="1">
      <x:c r="B89" s="29">
        <x:f t="shared" ref="B89:O89" si="38">IF(B42="","",B42)</x:f>
        <x:v>0</x:v>
      </x:c>
      <x:c r="C89" s="4">
        <x:f t="shared" si="38"/>
        <x:v>0</x:v>
      </x:c>
      <x:c r="D89" s="4">
        <x:f t="shared" si="38"/>
        <x:v>0</x:v>
      </x:c>
      <x:c r="E89" s="4">
        <x:f t="shared" si="38"/>
        <x:v>0</x:v>
      </x:c>
      <x:c r="F89" s="4"/>
      <x:c r="G89" s="124" t="str">
        <x:f t="shared" si="38"/>
        <x:v/>
      </x:c>
      <x:c r="H89" s="139" t="str">
        <x:f t="shared" si="38"/>
        <x:v/>
      </x:c>
      <x:c r="I89" s="29">
        <x:f t="shared" si="38"/>
        <x:v>0</x:v>
      </x:c>
      <x:c r="J89" s="4">
        <x:f t="shared" si="38"/>
        <x:v>0</x:v>
      </x:c>
      <x:c r="K89" s="4">
        <x:f t="shared" si="38"/>
        <x:v>0</x:v>
      </x:c>
      <x:c r="L89" s="4">
        <x:f t="shared" si="38"/>
        <x:v>0</x:v>
      </x:c>
      <x:c r="M89" s="4"/>
      <x:c r="N89" s="124" t="str">
        <x:f t="shared" si="38"/>
        <x:v/>
      </x:c>
      <x:c r="O89" s="116" t="str">
        <x:f t="shared" si="38"/>
        <x:v/>
      </x:c>
    </x:row>
    <x:row r="90" spans="2:15" ht="24.949999999999999" customHeight="1">
      <x:c r="B90" s="29">
        <x:f t="shared" ref="B90:O90" si="39">IF(B43="","",B43)</x:f>
        <x:v>0</x:v>
      </x:c>
      <x:c r="C90" s="4">
        <x:f t="shared" si="39"/>
        <x:v>0</x:v>
      </x:c>
      <x:c r="D90" s="4">
        <x:f t="shared" si="39"/>
        <x:v>0</x:v>
      </x:c>
      <x:c r="E90" s="4">
        <x:f t="shared" si="39"/>
        <x:v>0</x:v>
      </x:c>
      <x:c r="F90" s="4"/>
      <x:c r="G90" s="124" t="str">
        <x:f t="shared" si="39"/>
        <x:v/>
      </x:c>
      <x:c r="H90" s="139" t="str">
        <x:f t="shared" si="39"/>
        <x:v/>
      </x:c>
      <x:c r="I90" s="29">
        <x:f t="shared" si="39"/>
        <x:v>0</x:v>
      </x:c>
      <x:c r="J90" s="4">
        <x:f t="shared" si="39"/>
        <x:v>0</x:v>
      </x:c>
      <x:c r="K90" s="4">
        <x:f t="shared" si="39"/>
        <x:v>0</x:v>
      </x:c>
      <x:c r="L90" s="4">
        <x:f t="shared" si="39"/>
        <x:v>0</x:v>
      </x:c>
      <x:c r="M90" s="4"/>
      <x:c r="N90" s="124" t="str">
        <x:f t="shared" si="39"/>
        <x:v/>
      </x:c>
      <x:c r="O90" s="116" t="str">
        <x:f t="shared" si="39"/>
        <x:v/>
      </x:c>
    </x:row>
    <x:row r="91" spans="2:15" ht="24.949999999999999" customHeight="1">
      <x:c r="B91" s="29">
        <x:f t="shared" ref="B91:O91" si="40">IF(B44="","",B44)</x:f>
        <x:v>0</x:v>
      </x:c>
      <x:c r="C91" s="4">
        <x:f t="shared" si="40"/>
        <x:v>0</x:v>
      </x:c>
      <x:c r="D91" s="4">
        <x:f t="shared" si="40"/>
        <x:v>0</x:v>
      </x:c>
      <x:c r="E91" s="4">
        <x:f t="shared" si="40"/>
        <x:v>0</x:v>
      </x:c>
      <x:c r="F91" s="4"/>
      <x:c r="G91" s="124" t="str">
        <x:f t="shared" si="40"/>
        <x:v/>
      </x:c>
      <x:c r="H91" s="139" t="str">
        <x:f t="shared" si="40"/>
        <x:v/>
      </x:c>
      <x:c r="I91" s="29">
        <x:f t="shared" si="40"/>
        <x:v>0</x:v>
      </x:c>
      <x:c r="J91" s="4">
        <x:f t="shared" si="40"/>
        <x:v>0</x:v>
      </x:c>
      <x:c r="K91" s="4">
        <x:f t="shared" si="40"/>
        <x:v>0</x:v>
      </x:c>
      <x:c r="L91" s="4">
        <x:f t="shared" si="40"/>
        <x:v>0</x:v>
      </x:c>
      <x:c r="M91" s="4"/>
      <x:c r="N91" s="124" t="str">
        <x:f t="shared" si="40"/>
        <x:v/>
      </x:c>
      <x:c r="O91" s="116" t="str">
        <x:f t="shared" si="40"/>
        <x:v/>
      </x:c>
    </x:row>
    <x:row r="92" spans="2:15" ht="24.949999999999999" customHeight="1">
      <x:c r="B92" s="30" t="str">
        <x:f t="shared" ref="B92:O92" si="41">IF(B45="","",B45)</x:f>
        <x:v/>
      </x:c>
      <x:c r="C92" s="31">
        <x:f t="shared" si="41"/>
        <x:v>0</x:v>
      </x:c>
      <x:c r="D92" s="31">
        <x:f t="shared" si="41"/>
        <x:v>0</x:v>
      </x:c>
      <x:c r="E92" s="31">
        <x:f t="shared" si="41"/>
        <x:v>0</x:v>
      </x:c>
      <x:c r="F92" s="31"/>
      <x:c r="G92" s="125" t="str">
        <x:f t="shared" si="41"/>
        <x:v/>
      </x:c>
      <x:c r="H92" s="140" t="str">
        <x:f t="shared" si="41"/>
        <x:v/>
      </x:c>
      <x:c r="I92" s="30" t="str">
        <x:f t="shared" si="41"/>
        <x:v/>
      </x:c>
      <x:c r="J92" s="31">
        <x:f t="shared" si="41"/>
        <x:v>0</x:v>
      </x:c>
      <x:c r="K92" s="31">
        <x:f t="shared" si="41"/>
        <x:v>0</x:v>
      </x:c>
      <x:c r="L92" s="31">
        <x:f t="shared" si="41"/>
        <x:v>0</x:v>
      </x:c>
      <x:c r="M92" s="31"/>
      <x:c r="N92" s="125" t="str">
        <x:f t="shared" si="41"/>
        <x:v/>
      </x:c>
      <x:c r="O92" s="117" t="str">
        <x:f t="shared" si="41"/>
        <x:v/>
      </x:c>
    </x:row>
  </x:sheetData>
  <x:mergeCells count="30">
    <x:mergeCell ref="A48:O48"/>
    <x:mergeCell ref="N49:O49"/>
    <x:mergeCell ref="B75:O75"/>
    <x:mergeCell ref="G88:G92"/>
    <x:mergeCell ref="H88:H92"/>
    <x:mergeCell ref="N88:N92"/>
    <x:mergeCell ref="O88:O92"/>
    <x:mergeCell ref="G76:G80"/>
    <x:mergeCell ref="H76:H80"/>
    <x:mergeCell ref="N76:N80"/>
    <x:mergeCell ref="O76:O80"/>
    <x:mergeCell ref="G82:G86"/>
    <x:mergeCell ref="H82:H86"/>
    <x:mergeCell ref="N82:N86"/>
    <x:mergeCell ref="O82:O86"/>
    <x:mergeCell ref="B28:O28"/>
    <x:mergeCell ref="A1:O1"/>
    <x:mergeCell ref="H41:H45"/>
    <x:mergeCell ref="N2:O2"/>
    <x:mergeCell ref="O41:O45"/>
    <x:mergeCell ref="H35:H39"/>
    <x:mergeCell ref="O35:O39"/>
    <x:mergeCell ref="G29:G33"/>
    <x:mergeCell ref="H29:H33"/>
    <x:mergeCell ref="O29:O33"/>
    <x:mergeCell ref="G35:G39"/>
    <x:mergeCell ref="G41:G45"/>
    <x:mergeCell ref="N29:N33"/>
    <x:mergeCell ref="N35:N39"/>
    <x:mergeCell ref="N41:N45"/>
  </x:mergeCells>
  <x:conditionalFormatting sqref="F51:F74">
    <x:cfRule type="cellIs" dxfId="48" priority="4" operator="between">
      <x:formula>200</x:formula>
      <x:formula>300</x:formula>
    </x:cfRule>
  </x:conditionalFormatting>
  <x:conditionalFormatting sqref="G51:G74">
    <x:cfRule type="cellIs" dxfId="46" priority="14" operator="greaterThan">
      <x:formula>599</x:formula>
    </x:cfRule>
    <x:cfRule type="cellIs" dxfId="47" priority="9" operator="between">
      <x:formula>600</x:formula>
      <x:formula>900</x:formula>
    </x:cfRule>
  </x:conditionalFormatting>
  <x:conditionalFormatting sqref="H4:H27">
    <x:cfRule type="cellIs" dxfId="45" priority="48" operator="greaterThan">
      <x:formula>199.9</x:formula>
    </x:cfRule>
  </x:conditionalFormatting>
  <x:conditionalFormatting sqref="H51:H74">
    <x:cfRule type="cellIs" dxfId="44" priority="12" operator="greaterThan">
      <x:formula>199.9</x:formula>
    </x:cfRule>
  </x:conditionalFormatting>
  <x:conditionalFormatting sqref="H4:I27">
    <x:cfRule type="cellIs" dxfId="43" priority="15" operator="between">
      <x:formula>200</x:formula>
      <x:formula>300</x:formula>
    </x:cfRule>
  </x:conditionalFormatting>
  <x:conditionalFormatting sqref="H51:I74">
    <x:cfRule type="cellIs" dxfId="42" priority="8" operator="between">
      <x:formula>200</x:formula>
      <x:formula>300</x:formula>
    </x:cfRule>
  </x:conditionalFormatting>
  <x:conditionalFormatting sqref="I4:I27">
    <x:cfRule type="cellIs" dxfId="41" priority="49" operator="greaterThan">
      <x:formula>199</x:formula>
    </x:cfRule>
  </x:conditionalFormatting>
  <x:conditionalFormatting sqref="I51:I74">
    <x:cfRule type="cellIs" dxfId="40" priority="13" operator="greaterThan">
      <x:formula>199</x:formula>
    </x:cfRule>
  </x:conditionalFormatting>
  <x:conditionalFormatting sqref="C4:F27">
    <x:cfRule type="cellIs" dxfId="39" priority="2" operator="between">
      <x:formula>200</x:formula>
      <x:formula>300</x:formula>
    </x:cfRule>
  </x:conditionalFormatting>
  <x:conditionalFormatting sqref="G4:G27">
    <x:cfRule type="cellIs" dxfId="38" priority="1" operator="between">
      <x:formula>800</x:formula>
      <x:formula>1200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X101"/>
  <x:sheetViews>
    <x:sheetView tabSelected="1" topLeftCell="A1" zoomScale="90" zoomScaleNormal="90" zoomScaleSheetLayoutView="110" workbookViewId="0">
      <x:selection activeCell="J11" activeCellId="0" sqref="J11:J11"/>
    </x:sheetView>
  </x:sheetViews>
  <x:sheetFormatPr defaultColWidth="9" defaultRowHeight="16.399999999999999"/>
  <x:cols>
    <x:col min="1" max="1" width="4.625" style="3" customWidth="1"/>
    <x:col min="2" max="2" width="14.625" style="3" customWidth="1"/>
    <x:col min="3" max="8" width="11.625" style="3" customWidth="1"/>
    <x:col min="9" max="9" width="14.625" style="3" customWidth="1"/>
    <x:col min="10" max="15" width="11.625" style="3" customWidth="1"/>
    <x:col min="16" max="16" width="9.875" style="3" bestFit="1" customWidth="1"/>
    <x:col min="17" max="17" width="9.375" style="3" customWidth="1"/>
    <x:col min="19" max="19" width="10.625" style="3" customWidth="1"/>
    <x:col min="21" max="21" width="13.125" style="3" customWidth="1"/>
    <x:col min="22" max="22" width="11" style="3" bestFit="1" customWidth="1"/>
    <x:col min="23" max="23" width="15" style="3" customWidth="1"/>
    <x:col min="24" max="24" width="9" style="3" bestFit="1" customWidth="1"/>
  </x:cols>
  <x:sheetData>
    <x:row r="1" spans="1:15" ht="60" customHeight="1">
      <x:c r="A1" s="112" t="s">
        <x:v>67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</x:row>
    <x:row r="2" spans="1:24" ht="22.5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4" t="s">
        <x:v>48</x:v>
      </x:c>
      <x:c r="M2" s="34"/>
      <x:c r="N2" s="113">
        <x:v>46121</x:v>
      </x:c>
      <x:c r="O2" s="114"/>
      <x:c r="U2" s="35" t="s">
        <x:v>18</x:v>
      </x:c>
      <x:c r="V2" s="35">
        <x:v>1</x:v>
      </x:c>
      <x:c r="W2" s="35" t="s">
        <x:v>0</x:v>
      </x:c>
      <x:c r="X2" s="35">
        <x:v>1</x:v>
      </x:c>
    </x:row>
    <x:row r="3" spans="1:24" ht="24.949999999999999" customHeight="1">
      <x:c r="A3" s="13"/>
      <x:c r="B3" s="14" t="s">
        <x:v>14</x:v>
      </x:c>
      <x:c r="C3" s="14" t="s">
        <x:v>44</x:v>
      </x:c>
      <x:c r="D3" s="14" t="s">
        <x:v>55</x:v>
      </x:c>
      <x:c r="E3" s="14" t="s">
        <x:v>54</x:v>
      </x:c>
      <x:c r="F3" s="14" t="s">
        <x:v>53</x:v>
      </x:c>
      <x:c r="G3" s="14" t="s">
        <x:v>52</x:v>
      </x:c>
      <x:c r="H3" s="14" t="s">
        <x:v>47</x:v>
      </x:c>
      <x:c r="I3" s="15" t="s">
        <x:v>41</x:v>
      </x:c>
      <x:c r="J3" s="14" t="s">
        <x:v>44</x:v>
      </x:c>
      <x:c r="K3" s="14" t="s">
        <x:v>55</x:v>
      </x:c>
      <x:c r="L3" s="14" t="s">
        <x:v>54</x:v>
      </x:c>
      <x:c r="M3" s="14" t="s">
        <x:v>53</x:v>
      </x:c>
      <x:c r="N3" s="16" t="s">
        <x:v>52</x:v>
      </x:c>
      <x:c r="O3" s="17" t="s">
        <x:v>56</x:v>
      </x:c>
      <x:c r="U3" s="36" t="s">
        <x:v>58</x:v>
      </x:c>
      <x:c r="V3" s="36"/>
      <x:c r="W3" s="36"/>
      <x:c r="X3" s="36"/>
    </x:row>
    <x:row r="4" spans="1:24" ht="24.949999999999999" customHeight="1">
      <x:c r="A4" s="18">
        <x:v>1</x:v>
      </x:c>
      <x:c r="B4" s="19" t="s">
        <x:v>7</x:v>
      </x:c>
      <x:c r="C4" s="20">
        <x:v>223</x:v>
      </x:c>
      <x:c r="D4" s="20">
        <x:v>149</x:v>
      </x:c>
      <x:c r="E4" s="20">
        <x:v>189</x:v>
      </x:c>
      <x:c r="F4" s="20">
        <x:v>225</x:v>
      </x:c>
      <x:c r="G4" s="32">
        <x:f>F4+E4+D4+C4</x:f>
        <x:v>786</x:v>
      </x:c>
      <x:c r="H4" s="22">
        <x:f>G4/4</x:f>
        <x:v>196.5</x:v>
      </x:c>
      <x:c r="I4" s="23">
        <x:f>IF(B4="","",IFERROR(INDEX('회원명단 및 기준에버'!D:G,MATCH(B4,'회원명단 및 기준에버'!$C:$C,0),CHOOSE(INT((MONTH($N$2)-1)/3)+1,1,2,3,4)),""))</x:f>
        <x:v>200</x:v>
      </x:c>
      <x:c r="J4" s="5">
        <x:f>IFERROR(C4+-I4,0)</x:f>
        <x:v>23</x:v>
      </x:c>
      <x:c r="K4" s="5">
        <x:f>IFERROR(D4+-I4,0)</x:f>
        <x:v>-51</x:v>
      </x:c>
      <x:c r="L4" s="5">
        <x:f>IFERROR(E4+-I4,0)</x:f>
        <x:v>-11</x:v>
      </x:c>
      <x:c r="M4" s="5">
        <x:f>IFERROR(F4+-I4,0)</x:f>
        <x:v>25</x:v>
      </x:c>
      <x:c r="N4" s="6">
        <x:f>SUM(J4:M4)</x:f>
        <x:v>-14</x:v>
      </x:c>
      <x:c r="O4" s="24">
        <x:f>IFERROR(H4+-I4,0)</x:f>
        <x:v>-3.5</x:v>
      </x:c>
      <x:c r="P4" s="25"/>
      <x:c r="U4" s="59">
        <x:f t="shared" ref="U4:U28" si="0">MAX(C4:F4)-MIN(C4:F4)</x:f>
        <x:v>76</x:v>
      </x:c>
      <x:c r="V4" s="60">
        <x:f>IF($X$2=0,(G4*1000000+U4*1000+A4),(O4*1000000+U4*1000+A4))</x:f>
        <x:v>-3423999</x:v>
      </x:c>
      <x:c r="W4" s="60">
        <x:f t="shared" ref="W4:W28" si="1">_xlfn.RANK.EQ(V4,$V$4:$V$28,0)</x:f>
        <x:v>12</x:v>
      </x:c>
      <x:c r="X4" s="61"/>
    </x:row>
    <x:row r="5" spans="1:24" ht="24.949999999999999" customHeight="1">
      <x:c r="A5" s="18">
        <x:v>2</x:v>
      </x:c>
      <x:c r="B5" s="19" t="s">
        <x:v>28</x:v>
      </x:c>
      <x:c r="C5" s="20">
        <x:v>199</x:v>
      </x:c>
      <x:c r="D5" s="20">
        <x:v>198</x:v>
      </x:c>
      <x:c r="E5" s="20">
        <x:v>202</x:v>
      </x:c>
      <x:c r="F5" s="20">
        <x:v>0</x:v>
      </x:c>
      <x:c r="G5" s="21">
        <x:f t="shared" ref="G5:G28" si="2">F5+E5+D5+C5</x:f>
        <x:v>599</x:v>
      </x:c>
      <x:c r="H5" s="22">
        <x:f>G5/3</x:f>
        <x:v>199.66666666666666</x:v>
      </x:c>
      <x:c r="I5" s="23">
        <x:f>IF(B5="","",IFERROR(INDEX('회원명단 및 기준에버'!D:G,MATCH(B5,'회원명단 및 기준에버'!$C:$C,0),CHOOSE(INT((MONTH($N$2)-1)/3)+1,1,2,3,4)),""))</x:f>
        <x:v>200</x:v>
      </x:c>
      <x:c r="J5" s="5">
        <x:f>IFERROR(C5+-I5,0)</x:f>
        <x:v>-1</x:v>
      </x:c>
      <x:c r="K5" s="5">
        <x:f>IFERROR(D5+-I5,0)</x:f>
        <x:v>-2</x:v>
      </x:c>
      <x:c r="L5" s="5">
        <x:f>IFERROR(E5+-I5,0)</x:f>
        <x:v>2</x:v>
      </x:c>
      <x:c r="M5" s="5">
        <x:v>0</x:v>
      </x:c>
      <x:c r="N5" s="6">
        <x:f t="shared" ref="N5:N28" si="3">SUM(J5:M5)</x:f>
        <x:v>-1</x:v>
      </x:c>
      <x:c r="O5" s="24">
        <x:f>IFERROR(H5+-I5,0)</x:f>
        <x:v>-0.33333333333334281</x:v>
      </x:c>
      <x:c r="P5" s="25"/>
      <x:c r="U5" s="62">
        <x:f t="shared" si="0"/>
        <x:v>202</x:v>
      </x:c>
      <x:c r="V5" s="57">
        <x:f t="shared" ref="V5:V28" si="4">IF($X$2=0,(G5*1000000+U5*1000+A5),(O5*1000000+U5*1000+A5))</x:f>
        <x:v>-131331.3333333428</x:v>
      </x:c>
      <x:c r="W5" s="57">
        <x:f t="shared" si="1"/>
        <x:v>9</x:v>
      </x:c>
      <x:c r="X5" s="63"/>
    </x:row>
    <x:row r="6" spans="1:24" ht="24.949999999999999" customHeight="1">
      <x:c r="A6" s="18">
        <x:v>3</x:v>
      </x:c>
      <x:c r="B6" s="19" t="s">
        <x:v>17</x:v>
      </x:c>
      <x:c r="C6" s="20">
        <x:v>221</x:v>
      </x:c>
      <x:c r="D6" s="20">
        <x:v>190</x:v>
      </x:c>
      <x:c r="E6" s="20">
        <x:v>183</x:v>
      </x:c>
      <x:c r="F6" s="20">
        <x:v>199</x:v>
      </x:c>
      <x:c r="G6" s="21">
        <x:f t="shared" si="2"/>
        <x:v>793</x:v>
      </x:c>
      <x:c r="H6" s="22">
        <x:f t="shared" ref="H6:H28" si="5">G6/4</x:f>
        <x:v>198.25</x:v>
      </x:c>
      <x:c r="I6" s="23">
        <x:f>IF(B6="","",IFERROR(INDEX('회원명단 및 기준에버'!D:G,MATCH(B6,'회원명단 및 기준에버'!$C:$C,0),CHOOSE(INT((MONTH($N$2)-1)/3)+1,1,2,3,4)),""))</x:f>
        <x:v>184</x:v>
      </x:c>
      <x:c r="J6" s="5">
        <x:f t="shared" ref="J6:J27" si="6">IFERROR(C6+-I6,0)</x:f>
        <x:v>37</x:v>
      </x:c>
      <x:c r="K6" s="5">
        <x:f t="shared" ref="K6:K27" si="7">IFERROR(D6+-I6,0)</x:f>
        <x:v>6</x:v>
      </x:c>
      <x:c r="L6" s="5">
        <x:f t="shared" ref="L6:L27" si="8">IFERROR(E6+-I6,0)</x:f>
        <x:v>-1</x:v>
      </x:c>
      <x:c r="M6" s="5">
        <x:f t="shared" ref="M6:M28" si="9">IFERROR(F6+-I6,0)</x:f>
        <x:v>15</x:v>
      </x:c>
      <x:c r="N6" s="6">
        <x:f t="shared" si="3"/>
        <x:v>57</x:v>
      </x:c>
      <x:c r="O6" s="24">
        <x:f t="shared" ref="O6:O27" si="10">IFERROR(H6+-I6,0)</x:f>
        <x:v>14.25</x:v>
      </x:c>
      <x:c r="U6" s="62">
        <x:f t="shared" si="0"/>
        <x:v>38</x:v>
      </x:c>
      <x:c r="V6" s="57">
        <x:f t="shared" si="4"/>
        <x:v>14288003</x:v>
      </x:c>
      <x:c r="W6" s="57">
        <x:f t="shared" si="1"/>
        <x:v>3</x:v>
      </x:c>
      <x:c r="X6" s="63"/>
    </x:row>
    <x:row r="7" spans="1:24" ht="24.949999999999999" customHeight="1">
      <x:c r="A7" s="18">
        <x:v>4</x:v>
      </x:c>
      <x:c r="B7" s="19" t="s">
        <x:v>9</x:v>
      </x:c>
      <x:c r="C7" s="20">
        <x:v>190</x:v>
      </x:c>
      <x:c r="D7" s="20">
        <x:v>197</x:v>
      </x:c>
      <x:c r="E7" s="20">
        <x:v>217</x:v>
      </x:c>
      <x:c r="F7" s="20">
        <x:v>212</x:v>
      </x:c>
      <x:c r="G7" s="21">
        <x:f t="shared" si="2"/>
        <x:v>816</x:v>
      </x:c>
      <x:c r="H7" s="22">
        <x:f t="shared" si="5"/>
        <x:v>204</x:v>
      </x:c>
      <x:c r="I7" s="23">
        <x:f>IF(B7="","",IFERROR(INDEX('회원명단 및 기준에버'!D:G,MATCH(B7,'회원명단 및 기준에버'!$C:$C,0),CHOOSE(INT((MONTH($N$2)-1)/3)+1,1,2,3,4)),""))</x:f>
        <x:v>191</x:v>
      </x:c>
      <x:c r="J7" s="5">
        <x:f t="shared" si="6"/>
        <x:v>-1</x:v>
      </x:c>
      <x:c r="K7" s="5">
        <x:f t="shared" si="7"/>
        <x:v>6</x:v>
      </x:c>
      <x:c r="L7" s="5">
        <x:f t="shared" si="8"/>
        <x:v>26</x:v>
      </x:c>
      <x:c r="M7" s="5">
        <x:f t="shared" si="9"/>
        <x:v>21</x:v>
      </x:c>
      <x:c r="N7" s="6">
        <x:f t="shared" si="3"/>
        <x:v>52</x:v>
      </x:c>
      <x:c r="O7" s="24">
        <x:f t="shared" si="10"/>
        <x:v>13</x:v>
      </x:c>
      <x:c r="U7" s="62">
        <x:f t="shared" si="0"/>
        <x:v>27</x:v>
      </x:c>
      <x:c r="V7" s="57">
        <x:f t="shared" si="4"/>
        <x:v>13027004</x:v>
      </x:c>
      <x:c r="W7" s="57">
        <x:f t="shared" si="1"/>
        <x:v>4</x:v>
      </x:c>
      <x:c r="X7" s="63"/>
    </x:row>
    <x:row r="8" spans="1:24" ht="24.949999999999999" customHeight="1">
      <x:c r="A8" s="18">
        <x:v>5</x:v>
      </x:c>
      <x:c r="B8" s="19" t="s">
        <x:v>34</x:v>
      </x:c>
      <x:c r="C8" s="20">
        <x:v>180</x:v>
      </x:c>
      <x:c r="D8" s="20">
        <x:v>156</x:v>
      </x:c>
      <x:c r="E8" s="20">
        <x:v>223</x:v>
      </x:c>
      <x:c r="F8" s="20">
        <x:v>159</x:v>
      </x:c>
      <x:c r="G8" s="21">
        <x:f t="shared" si="2"/>
        <x:v>718</x:v>
      </x:c>
      <x:c r="H8" s="22">
        <x:f t="shared" si="5"/>
        <x:v>179.5</x:v>
      </x:c>
      <x:c r="I8" s="23">
        <x:f>IF(B8="","",IFERROR(INDEX('회원명단 및 기준에버'!D:G,MATCH(B8,'회원명단 및 기준에버'!$C:$C,0),CHOOSE(INT((MONTH($N$2)-1)/3)+1,1,2,3,4)),""))</x:f>
        <x:v>183</x:v>
      </x:c>
      <x:c r="J8" s="5">
        <x:f t="shared" si="6"/>
        <x:v>-3</x:v>
      </x:c>
      <x:c r="K8" s="5">
        <x:f t="shared" si="7"/>
        <x:v>-27</x:v>
      </x:c>
      <x:c r="L8" s="5">
        <x:f t="shared" si="8"/>
        <x:v>40</x:v>
      </x:c>
      <x:c r="M8" s="5">
        <x:f t="shared" si="9"/>
        <x:v>-24</x:v>
      </x:c>
      <x:c r="N8" s="6">
        <x:f t="shared" si="3"/>
        <x:v>-14</x:v>
      </x:c>
      <x:c r="O8" s="24">
        <x:f t="shared" si="10"/>
        <x:v>-3.5</x:v>
      </x:c>
      <x:c r="U8" s="62">
        <x:f t="shared" si="0"/>
        <x:v>67</x:v>
      </x:c>
      <x:c r="V8" s="57">
        <x:f t="shared" si="4"/>
        <x:v>-3432995</x:v>
      </x:c>
      <x:c r="W8" s="57">
        <x:f t="shared" si="1"/>
        <x:v>14</x:v>
      </x:c>
      <x:c r="X8" s="63"/>
    </x:row>
    <x:row r="9" spans="1:24" ht="24.949999999999999" customHeight="1">
      <x:c r="A9" s="18">
        <x:v>6</x:v>
      </x:c>
      <x:c r="B9" s="19" t="s">
        <x:v>19</x:v>
      </x:c>
      <x:c r="C9" s="20">
        <x:v>256</x:v>
      </x:c>
      <x:c r="D9" s="20">
        <x:v>226</x:v>
      </x:c>
      <x:c r="E9" s="20">
        <x:v>192</x:v>
      </x:c>
      <x:c r="F9" s="20">
        <x:v>211</x:v>
      </x:c>
      <x:c r="G9" s="21">
        <x:f t="shared" si="2"/>
        <x:v>885</x:v>
      </x:c>
      <x:c r="H9" s="22">
        <x:f t="shared" si="5"/>
        <x:v>221.25</x:v>
      </x:c>
      <x:c r="I9" s="23">
        <x:f>IF(B9="","",IFERROR(INDEX('회원명단 및 기준에버'!D:G,MATCH(B9,'회원명단 및 기준에버'!$C:$C,0),CHOOSE(INT((MONTH($N$2)-1)/3)+1,1,2,3,4)),""))</x:f>
        <x:v>200</x:v>
      </x:c>
      <x:c r="J9" s="5">
        <x:f t="shared" si="6"/>
        <x:v>56</x:v>
      </x:c>
      <x:c r="K9" s="5">
        <x:f t="shared" si="7"/>
        <x:v>26</x:v>
      </x:c>
      <x:c r="L9" s="5">
        <x:f t="shared" si="8"/>
        <x:v>-8</x:v>
      </x:c>
      <x:c r="M9" s="5">
        <x:f t="shared" si="9"/>
        <x:v>11</x:v>
      </x:c>
      <x:c r="N9" s="6">
        <x:f t="shared" si="3"/>
        <x:v>85</x:v>
      </x:c>
      <x:c r="O9" s="24">
        <x:f t="shared" si="10"/>
        <x:v>21.25</x:v>
      </x:c>
      <x:c r="U9" s="62">
        <x:f t="shared" si="0"/>
        <x:v>64</x:v>
      </x:c>
      <x:c r="V9" s="57">
        <x:f t="shared" si="4"/>
        <x:v>21314006</x:v>
      </x:c>
      <x:c r="W9" s="57">
        <x:f t="shared" si="1"/>
        <x:v>2</x:v>
      </x:c>
      <x:c r="X9" s="63"/>
    </x:row>
    <x:row r="10" spans="1:24" ht="24.949999999999999" customHeight="1">
      <x:c r="A10" s="18">
        <x:v>7</x:v>
      </x:c>
      <x:c r="B10" s="19" t="s">
        <x:v>13</x:v>
      </x:c>
      <x:c r="C10" s="20">
        <x:v>167</x:v>
      </x:c>
      <x:c r="D10" s="20">
        <x:v>163</x:v>
      </x:c>
      <x:c r="E10" s="20">
        <x:v>182</x:v>
      </x:c>
      <x:c r="F10" s="20">
        <x:v>160</x:v>
      </x:c>
      <x:c r="G10" s="21">
        <x:f t="shared" si="2"/>
        <x:v>672</x:v>
      </x:c>
      <x:c r="H10" s="22">
        <x:f t="shared" si="5"/>
        <x:v>168</x:v>
      </x:c>
      <x:c r="I10" s="23">
        <x:f>IF(B10="","",IFERROR(INDEX('회원명단 및 기준에버'!D:G,MATCH(B10,'회원명단 및 기준에버'!$C:$C,0),CHOOSE(INT((MONTH($N$2)-1)/3)+1,1,2,3,4)),""))</x:f>
        <x:v>165</x:v>
      </x:c>
      <x:c r="J10" s="5">
        <x:f t="shared" si="6"/>
        <x:v>2</x:v>
      </x:c>
      <x:c r="K10" s="5">
        <x:f t="shared" si="7"/>
        <x:v>-2</x:v>
      </x:c>
      <x:c r="L10" s="5">
        <x:f t="shared" si="8"/>
        <x:v>17</x:v>
      </x:c>
      <x:c r="M10" s="5">
        <x:f t="shared" si="9"/>
        <x:v>-5</x:v>
      </x:c>
      <x:c r="N10" s="6">
        <x:f t="shared" si="3"/>
        <x:v>12</x:v>
      </x:c>
      <x:c r="O10" s="24">
        <x:f t="shared" si="10"/>
        <x:v>3</x:v>
      </x:c>
      <x:c r="U10" s="62">
        <x:f t="shared" si="0"/>
        <x:v>22</x:v>
      </x:c>
      <x:c r="V10" s="57">
        <x:f t="shared" si="4"/>
        <x:v>3022007</x:v>
      </x:c>
      <x:c r="W10" s="57">
        <x:f t="shared" si="1"/>
        <x:v>8</x:v>
      </x:c>
      <x:c r="X10" s="63"/>
    </x:row>
    <x:row r="11" spans="1:24" ht="24.949999999999999" customHeight="1">
      <x:c r="A11" s="18">
        <x:v>8</x:v>
      </x:c>
      <x:c r="B11" s="19" t="s">
        <x:v>2</x:v>
      </x:c>
      <x:c r="C11" s="20">
        <x:v>155</x:v>
      </x:c>
      <x:c r="D11" s="20">
        <x:v>257</x:v>
      </x:c>
      <x:c r="E11" s="20">
        <x:v>204</x:v>
      </x:c>
      <x:c r="F11" s="20">
        <x:v>178</x:v>
      </x:c>
      <x:c r="G11" s="21">
        <x:f t="shared" si="2"/>
        <x:v>794</x:v>
      </x:c>
      <x:c r="H11" s="22">
        <x:f t="shared" si="5"/>
        <x:v>198.5</x:v>
      </x:c>
      <x:c r="I11" s="23">
        <x:f>IF(B11="","",IFERROR(INDEX('회원명단 및 기준에버'!D:G,MATCH(B11,'회원명단 및 기준에버'!$C:$C,0),CHOOSE(INT((MONTH($N$2)-1)/3)+1,1,2,3,4)),""))</x:f>
        <x:v>191</x:v>
      </x:c>
      <x:c r="J11" s="5">
        <x:f t="shared" si="6"/>
        <x:v>-36</x:v>
      </x:c>
      <x:c r="K11" s="5">
        <x:f t="shared" si="7"/>
        <x:v>66</x:v>
      </x:c>
      <x:c r="L11" s="5">
        <x:f t="shared" si="8"/>
        <x:v>13</x:v>
      </x:c>
      <x:c r="M11" s="5">
        <x:f t="shared" si="9"/>
        <x:v>-13</x:v>
      </x:c>
      <x:c r="N11" s="6">
        <x:f t="shared" si="3"/>
        <x:v>30</x:v>
      </x:c>
      <x:c r="O11" s="24">
        <x:f t="shared" si="10"/>
        <x:v>7.5</x:v>
      </x:c>
      <x:c r="U11" s="62">
        <x:f t="shared" si="0"/>
        <x:v>102</x:v>
      </x:c>
      <x:c r="V11" s="57">
        <x:f t="shared" si="4"/>
        <x:v>7602008</x:v>
      </x:c>
      <x:c r="W11" s="57">
        <x:f t="shared" si="1"/>
        <x:v>5</x:v>
      </x:c>
      <x:c r="X11" s="63"/>
    </x:row>
    <x:row r="12" spans="1:24" ht="24.949999999999999" customHeight="1">
      <x:c r="A12" s="18">
        <x:v>9</x:v>
      </x:c>
      <x:c r="B12" s="19" t="s">
        <x:v>38</x:v>
      </x:c>
      <x:c r="C12" s="20">
        <x:v>209</x:v>
      </x:c>
      <x:c r="D12" s="20">
        <x:v>192</x:v>
      </x:c>
      <x:c r="E12" s="20">
        <x:v>182</x:v>
      </x:c>
      <x:c r="F12" s="20">
        <x:v>192</x:v>
      </x:c>
      <x:c r="G12" s="21">
        <x:f t="shared" si="2"/>
        <x:v>775</x:v>
      </x:c>
      <x:c r="H12" s="22">
        <x:f t="shared" si="5"/>
        <x:v>193.75</x:v>
      </x:c>
      <x:c r="I12" s="23">
        <x:f>IF(B12="","",IFERROR(INDEX('회원명단 및 기준에버'!D:G,MATCH(B12,'회원명단 및 기준에버'!$C:$C,0),CHOOSE(INT((MONTH($N$2)-1)/3)+1,1,2,3,4)),""))</x:f>
        <x:v>196</x:v>
      </x:c>
      <x:c r="J12" s="5">
        <x:f t="shared" si="6"/>
        <x:v>13</x:v>
      </x:c>
      <x:c r="K12" s="5">
        <x:f t="shared" si="7"/>
        <x:v>-4</x:v>
      </x:c>
      <x:c r="L12" s="5">
        <x:f t="shared" si="8"/>
        <x:v>-14</x:v>
      </x:c>
      <x:c r="M12" s="5">
        <x:f t="shared" si="9"/>
        <x:v>-4</x:v>
      </x:c>
      <x:c r="N12" s="6">
        <x:f t="shared" si="3"/>
        <x:v>-9</x:v>
      </x:c>
      <x:c r="O12" s="24">
        <x:f t="shared" si="10"/>
        <x:v>-2.25</x:v>
      </x:c>
      <x:c r="U12" s="62">
        <x:f t="shared" si="0"/>
        <x:v>27</x:v>
      </x:c>
      <x:c r="V12" s="57">
        <x:f t="shared" si="4"/>
        <x:v>-2222991</x:v>
      </x:c>
      <x:c r="W12" s="57">
        <x:f t="shared" si="1"/>
        <x:v>11</x:v>
      </x:c>
      <x:c r="X12" s="63"/>
    </x:row>
    <x:row r="13" spans="1:24" ht="24.949999999999999" customHeight="1">
      <x:c r="A13" s="18">
        <x:v>10</x:v>
      </x:c>
      <x:c r="B13" s="19" t="s">
        <x:v>25</x:v>
      </x:c>
      <x:c r="C13" s="20">
        <x:v>203</x:v>
      </x:c>
      <x:c r="D13" s="20">
        <x:v>269</x:v>
      </x:c>
      <x:c r="E13" s="20">
        <x:v>226</x:v>
      </x:c>
      <x:c r="F13" s="20">
        <x:v>211</x:v>
      </x:c>
      <x:c r="G13" s="21">
        <x:f t="shared" si="2"/>
        <x:v>909</x:v>
      </x:c>
      <x:c r="H13" s="22">
        <x:f t="shared" si="5"/>
        <x:v>227.25</x:v>
      </x:c>
      <x:c r="I13" s="23">
        <x:f>IF(B13="","",IFERROR(INDEX('회원명단 및 기준에버'!D:G,MATCH(B13,'회원명단 및 기준에버'!$C:$C,0),CHOOSE(INT((MONTH($N$2)-1)/3)+1,1,2,3,4)),""))</x:f>
        <x:v>200</x:v>
      </x:c>
      <x:c r="J13" s="5">
        <x:f t="shared" si="6"/>
        <x:v>3</x:v>
      </x:c>
      <x:c r="K13" s="5">
        <x:f t="shared" si="7"/>
        <x:v>69</x:v>
      </x:c>
      <x:c r="L13" s="5">
        <x:f t="shared" si="8"/>
        <x:v>26</x:v>
      </x:c>
      <x:c r="M13" s="5">
        <x:f t="shared" si="9"/>
        <x:v>11</x:v>
      </x:c>
      <x:c r="N13" s="6">
        <x:f t="shared" si="3"/>
        <x:v>109</x:v>
      </x:c>
      <x:c r="O13" s="24">
        <x:f t="shared" si="10"/>
        <x:v>27.25</x:v>
      </x:c>
      <x:c r="U13" s="62">
        <x:f t="shared" si="0"/>
        <x:v>66</x:v>
      </x:c>
      <x:c r="V13" s="57">
        <x:f t="shared" si="4"/>
        <x:v>27316010</x:v>
      </x:c>
      <x:c r="W13" s="57">
        <x:f t="shared" si="1"/>
        <x:v>1</x:v>
      </x:c>
      <x:c r="X13" s="63"/>
    </x:row>
    <x:row r="14" spans="1:24" ht="24.949999999999999" customHeight="1">
      <x:c r="A14" s="18">
        <x:v>11</x:v>
      </x:c>
      <x:c r="B14" s="19" t="s">
        <x:v>29</x:v>
      </x:c>
      <x:c r="C14" s="20">
        <x:v>205</x:v>
      </x:c>
      <x:c r="D14" s="20">
        <x:v>253</x:v>
      </x:c>
      <x:c r="E14" s="20">
        <x:v>188</x:v>
      </x:c>
      <x:c r="F14" s="20">
        <x:v>168</x:v>
      </x:c>
      <x:c r="G14" s="21">
        <x:f t="shared" si="2"/>
        <x:v>814</x:v>
      </x:c>
      <x:c r="H14" s="22">
        <x:f t="shared" si="5"/>
        <x:v>203.5</x:v>
      </x:c>
      <x:c r="I14" s="23">
        <x:f>IF(B14="","",IFERROR(INDEX('회원명단 및 기준에버'!D:G,MATCH(B14,'회원명단 및 기준에버'!$C:$C,0),CHOOSE(INT((MONTH($N$2)-1)/3)+1,1,2,3,4)),""))</x:f>
        <x:v>200</x:v>
      </x:c>
      <x:c r="J14" s="5">
        <x:f t="shared" si="6"/>
        <x:v>5</x:v>
      </x:c>
      <x:c r="K14" s="5">
        <x:f t="shared" si="7"/>
        <x:v>53</x:v>
      </x:c>
      <x:c r="L14" s="5">
        <x:f t="shared" si="8"/>
        <x:v>-12</x:v>
      </x:c>
      <x:c r="M14" s="5">
        <x:f t="shared" si="9"/>
        <x:v>-32</x:v>
      </x:c>
      <x:c r="N14" s="6">
        <x:f t="shared" si="3"/>
        <x:v>14</x:v>
      </x:c>
      <x:c r="O14" s="24">
        <x:f t="shared" si="10"/>
        <x:v>3.5</x:v>
      </x:c>
      <x:c r="U14" s="62">
        <x:f t="shared" si="0"/>
        <x:v>85</x:v>
      </x:c>
      <x:c r="V14" s="57">
        <x:f t="shared" si="4"/>
        <x:v>3585011</x:v>
      </x:c>
      <x:c r="W14" s="57">
        <x:f t="shared" si="1"/>
        <x:v>7</x:v>
      </x:c>
      <x:c r="X14" s="63"/>
    </x:row>
    <x:row r="15" spans="1:24" ht="24.949999999999999" customHeight="1">
      <x:c r="A15" s="18">
        <x:v>12</x:v>
      </x:c>
      <x:c r="B15" s="19" t="s">
        <x:v>20</x:v>
      </x:c>
      <x:c r="C15" s="20">
        <x:v>166</x:v>
      </x:c>
      <x:c r="D15" s="20">
        <x:v>143</x:v>
      </x:c>
      <x:c r="E15" s="20">
        <x:v>184</x:v>
      </x:c>
      <x:c r="F15" s="20">
        <x:v>131</x:v>
      </x:c>
      <x:c r="G15" s="21">
        <x:f t="shared" si="2"/>
        <x:v>624</x:v>
      </x:c>
      <x:c r="H15" s="22">
        <x:f t="shared" si="5"/>
        <x:v>156</x:v>
      </x:c>
      <x:c r="I15" s="23">
        <x:f>IF(B15="","",IFERROR(INDEX('회원명단 및 기준에버'!D:G,MATCH(B15,'회원명단 및 기준에버'!$C:$C,0),CHOOSE(INT((MONTH($N$2)-1)/3)+1,1,2,3,4)),""))</x:f>
        <x:v>177</x:v>
      </x:c>
      <x:c r="J15" s="5">
        <x:f t="shared" si="6"/>
        <x:v>-11</x:v>
      </x:c>
      <x:c r="K15" s="5">
        <x:f t="shared" si="7"/>
        <x:v>-34</x:v>
      </x:c>
      <x:c r="L15" s="5">
        <x:f t="shared" si="8"/>
        <x:v>7</x:v>
      </x:c>
      <x:c r="M15" s="5">
        <x:f t="shared" si="9"/>
        <x:v>-46</x:v>
      </x:c>
      <x:c r="N15" s="6">
        <x:f t="shared" si="3"/>
        <x:v>-84</x:v>
      </x:c>
      <x:c r="O15" s="24">
        <x:f t="shared" si="10"/>
        <x:v>-21</x:v>
      </x:c>
      <x:c r="U15" s="62">
        <x:f t="shared" si="0"/>
        <x:v>53</x:v>
      </x:c>
      <x:c r="V15" s="57">
        <x:f t="shared" si="4"/>
        <x:v>-20946988</x:v>
      </x:c>
      <x:c r="W15" s="57">
        <x:f t="shared" si="1"/>
        <x:v>22</x:v>
      </x:c>
      <x:c r="X15" s="63"/>
    </x:row>
    <x:row r="16" spans="1:24" ht="24.949999999999999" customHeight="1">
      <x:c r="A16" s="18">
        <x:v>13</x:v>
      </x:c>
      <x:c r="B16" s="19" t="s">
        <x:v>23</x:v>
      </x:c>
      <x:c r="C16" s="20">
        <x:v>181</x:v>
      </x:c>
      <x:c r="D16" s="20">
        <x:v>191</x:v>
      </x:c>
      <x:c r="E16" s="20">
        <x:v>192</x:v>
      </x:c>
      <x:c r="F16" s="20">
        <x:v>169</x:v>
      </x:c>
      <x:c r="G16" s="21">
        <x:f t="shared" si="2"/>
        <x:v>733</x:v>
      </x:c>
      <x:c r="H16" s="22">
        <x:f t="shared" si="5"/>
        <x:v>183.25</x:v>
      </x:c>
      <x:c r="I16" s="23">
        <x:f>IF(B16="","",IFERROR(INDEX('회원명단 및 기준에버'!D:G,MATCH(B16,'회원명단 및 기준에버'!$C:$C,0),CHOOSE(INT((MONTH($N$2)-1)/3)+1,1,2,3,4)),""))</x:f>
        <x:v>194</x:v>
      </x:c>
      <x:c r="J16" s="5">
        <x:f t="shared" si="6"/>
        <x:v>-13</x:v>
      </x:c>
      <x:c r="K16" s="5">
        <x:f t="shared" si="7"/>
        <x:v>-3</x:v>
      </x:c>
      <x:c r="L16" s="5">
        <x:f t="shared" si="8"/>
        <x:v>-2</x:v>
      </x:c>
      <x:c r="M16" s="5">
        <x:f t="shared" si="9"/>
        <x:v>-25</x:v>
      </x:c>
      <x:c r="N16" s="6">
        <x:f t="shared" si="3"/>
        <x:v>-43</x:v>
      </x:c>
      <x:c r="O16" s="24">
        <x:f t="shared" si="10"/>
        <x:v>-10.75</x:v>
      </x:c>
      <x:c r="U16" s="62">
        <x:f t="shared" si="0"/>
        <x:v>23</x:v>
      </x:c>
      <x:c r="V16" s="57">
        <x:f t="shared" si="4"/>
        <x:v>-10726987</x:v>
      </x:c>
      <x:c r="W16" s="57">
        <x:f t="shared" si="1"/>
        <x:v>16</x:v>
      </x:c>
      <x:c r="X16" s="63"/>
    </x:row>
    <x:row r="17" spans="1:24" ht="24.949999999999999" customHeight="1">
      <x:c r="A17" s="18">
        <x:v>14</x:v>
      </x:c>
      <x:c r="B17" s="19" t="s">
        <x:v>33</x:v>
      </x:c>
      <x:c r="C17" s="20">
        <x:v>187</x:v>
      </x:c>
      <x:c r="D17" s="20">
        <x:v>159</x:v>
      </x:c>
      <x:c r="E17" s="20">
        <x:v>191</x:v>
      </x:c>
      <x:c r="F17" s="20">
        <x:v>166</x:v>
      </x:c>
      <x:c r="G17" s="21">
        <x:f t="shared" si="2"/>
        <x:v>703</x:v>
      </x:c>
      <x:c r="H17" s="22">
        <x:f t="shared" si="5"/>
        <x:v>175.75</x:v>
      </x:c>
      <x:c r="I17" s="23">
        <x:f>IF(B17="","",IFERROR(INDEX('회원명단 및 기준에버'!D:G,MATCH(B17,'회원명단 및 기준에버'!$C:$C,0),CHOOSE(INT((MONTH($N$2)-1)/3)+1,1,2,3,4)),""))</x:f>
        <x:v>199</x:v>
      </x:c>
      <x:c r="J17" s="5">
        <x:f t="shared" si="6"/>
        <x:v>-12</x:v>
      </x:c>
      <x:c r="K17" s="5">
        <x:f t="shared" si="7"/>
        <x:v>-40</x:v>
      </x:c>
      <x:c r="L17" s="5">
        <x:f t="shared" si="8"/>
        <x:v>-8</x:v>
      </x:c>
      <x:c r="M17" s="5">
        <x:f t="shared" si="9"/>
        <x:v>-33</x:v>
      </x:c>
      <x:c r="N17" s="6">
        <x:f t="shared" si="3"/>
        <x:v>-93</x:v>
      </x:c>
      <x:c r="O17" s="24">
        <x:f t="shared" si="10"/>
        <x:v>-23.25</x:v>
      </x:c>
      <x:c r="U17" s="62">
        <x:f t="shared" si="0"/>
        <x:v>32</x:v>
      </x:c>
      <x:c r="V17" s="57">
        <x:f t="shared" si="4"/>
        <x:v>-23217986</x:v>
      </x:c>
      <x:c r="W17" s="57">
        <x:f t="shared" si="1"/>
        <x:v>24</x:v>
      </x:c>
      <x:c r="X17" s="63"/>
    </x:row>
    <x:row r="18" spans="1:24" ht="24.949999999999999" customHeight="1">
      <x:c r="A18" s="18">
        <x:v>15</x:v>
      </x:c>
      <x:c r="B18" s="19" t="s">
        <x:v>3</x:v>
      </x:c>
      <x:c r="C18" s="20">
        <x:v>194</x:v>
      </x:c>
      <x:c r="D18" s="20">
        <x:v>167</x:v>
      </x:c>
      <x:c r="E18" s="20">
        <x:v>166</x:v>
      </x:c>
      <x:c r="F18" s="20">
        <x:v>179</x:v>
      </x:c>
      <x:c r="G18" s="21">
        <x:f t="shared" si="2"/>
        <x:v>706</x:v>
      </x:c>
      <x:c r="H18" s="22">
        <x:f t="shared" si="5"/>
        <x:v>176.5</x:v>
      </x:c>
      <x:c r="I18" s="23">
        <x:f>IF(B18="","",IFERROR(INDEX('회원명단 및 기준에버'!D:G,MATCH(B18,'회원명단 및 기준에버'!$C:$C,0),CHOOSE(INT((MONTH($N$2)-1)/3)+1,1,2,3,4)),""))</x:f>
        <x:v>195</x:v>
      </x:c>
      <x:c r="J18" s="5">
        <x:f t="shared" si="6"/>
        <x:v>-1</x:v>
      </x:c>
      <x:c r="K18" s="5">
        <x:f t="shared" si="7"/>
        <x:v>-28</x:v>
      </x:c>
      <x:c r="L18" s="5">
        <x:f t="shared" si="8"/>
        <x:v>-29</x:v>
      </x:c>
      <x:c r="M18" s="5">
        <x:f t="shared" si="9"/>
        <x:v>-16</x:v>
      </x:c>
      <x:c r="N18" s="6">
        <x:f t="shared" si="3"/>
        <x:v>-74</x:v>
      </x:c>
      <x:c r="O18" s="24">
        <x:f t="shared" si="10"/>
        <x:v>-18.5</x:v>
      </x:c>
      <x:c r="U18" s="62">
        <x:f t="shared" si="0"/>
        <x:v>28</x:v>
      </x:c>
      <x:c r="V18" s="57">
        <x:f t="shared" si="4"/>
        <x:v>-18471985</x:v>
      </x:c>
      <x:c r="W18" s="57">
        <x:f t="shared" si="1"/>
        <x:v>20</x:v>
      </x:c>
      <x:c r="X18" s="63"/>
    </x:row>
    <x:row r="19" spans="1:24" ht="24.949999999999999" customHeight="1">
      <x:c r="A19" s="18">
        <x:v>16</x:v>
      </x:c>
      <x:c r="B19" s="19" t="s">
        <x:v>10</x:v>
      </x:c>
      <x:c r="C19" s="20">
        <x:v>198</x:v>
      </x:c>
      <x:c r="D19" s="20">
        <x:v>211</x:v>
      </x:c>
      <x:c r="E19" s="20">
        <x:v>174</x:v>
      </x:c>
      <x:c r="F19" s="20">
        <x:v>203</x:v>
      </x:c>
      <x:c r="G19" s="21">
        <x:f t="shared" si="2"/>
        <x:v>786</x:v>
      </x:c>
      <x:c r="H19" s="22">
        <x:f t="shared" si="5"/>
        <x:v>196.5</x:v>
      </x:c>
      <x:c r="I19" s="23">
        <x:f>IF(B19="","",IFERROR(INDEX('회원명단 및 기준에버'!D:G,MATCH(B19,'회원명단 및 기준에버'!$C:$C,0),CHOOSE(INT((MONTH($N$2)-1)/3)+1,1,2,3,4)),""))</x:f>
        <x:v>200</x:v>
      </x:c>
      <x:c r="J19" s="5">
        <x:f t="shared" si="6"/>
        <x:v>-2</x:v>
      </x:c>
      <x:c r="K19" s="5">
        <x:f t="shared" si="7"/>
        <x:v>11</x:v>
      </x:c>
      <x:c r="L19" s="5">
        <x:f t="shared" si="8"/>
        <x:v>-26</x:v>
      </x:c>
      <x:c r="M19" s="5">
        <x:f t="shared" si="9"/>
        <x:v>3</x:v>
      </x:c>
      <x:c r="N19" s="6">
        <x:f t="shared" si="3"/>
        <x:v>-14</x:v>
      </x:c>
      <x:c r="O19" s="24">
        <x:f t="shared" si="10"/>
        <x:v>-3.5</x:v>
      </x:c>
      <x:c r="U19" s="62">
        <x:f t="shared" si="0"/>
        <x:v>37</x:v>
      </x:c>
      <x:c r="V19" s="57">
        <x:f t="shared" si="4"/>
        <x:v>-3462984</x:v>
      </x:c>
      <x:c r="W19" s="57">
        <x:f t="shared" si="1"/>
        <x:v>15</x:v>
      </x:c>
      <x:c r="X19" s="63"/>
    </x:row>
    <x:row r="20" spans="1:24" ht="24.949999999999999" customHeight="1">
      <x:c r="A20" s="18">
        <x:v>17</x:v>
      </x:c>
      <x:c r="B20" s="19" t="s">
        <x:v>24</x:v>
      </x:c>
      <x:c r="C20" s="20">
        <x:v>202</x:v>
      </x:c>
      <x:c r="D20" s="20">
        <x:v>162</x:v>
      </x:c>
      <x:c r="E20" s="20">
        <x:v>148</x:v>
      </x:c>
      <x:c r="F20" s="20">
        <x:v>135</x:v>
      </x:c>
      <x:c r="G20" s="21">
        <x:f t="shared" si="2"/>
        <x:v>647</x:v>
      </x:c>
      <x:c r="H20" s="22">
        <x:f t="shared" si="5"/>
        <x:v>161.75</x:v>
      </x:c>
      <x:c r="I20" s="23">
        <x:f>IF(B20="","",IFERROR(INDEX('회원명단 및 기준에버'!D:G,MATCH(B20,'회원명단 및 기준에버'!$C:$C,0),CHOOSE(INT((MONTH($N$2)-1)/3)+1,1,2,3,4)),""))</x:f>
        <x:v>182</x:v>
      </x:c>
      <x:c r="J20" s="5">
        <x:f t="shared" si="6"/>
        <x:v>20</x:v>
      </x:c>
      <x:c r="K20" s="5">
        <x:f t="shared" si="7"/>
        <x:v>-20</x:v>
      </x:c>
      <x:c r="L20" s="5">
        <x:f t="shared" si="8"/>
        <x:v>-34</x:v>
      </x:c>
      <x:c r="M20" s="5">
        <x:f t="shared" si="9"/>
        <x:v>-47</x:v>
      </x:c>
      <x:c r="N20" s="6">
        <x:f t="shared" si="3"/>
        <x:v>-81</x:v>
      </x:c>
      <x:c r="O20" s="24">
        <x:f t="shared" si="10"/>
        <x:v>-20.25</x:v>
      </x:c>
      <x:c r="U20" s="62">
        <x:f t="shared" si="0"/>
        <x:v>67</x:v>
      </x:c>
      <x:c r="V20" s="57">
        <x:f t="shared" si="4"/>
        <x:v>-20182983</x:v>
      </x:c>
      <x:c r="W20" s="57">
        <x:f t="shared" si="1"/>
        <x:v>21</x:v>
      </x:c>
      <x:c r="X20" s="63"/>
    </x:row>
    <x:row r="21" spans="1:24" ht="24.949999999999999" customHeight="1">
      <x:c r="A21" s="18">
        <x:v>18</x:v>
      </x:c>
      <x:c r="B21" s="19" t="s">
        <x:v>11</x:v>
      </x:c>
      <x:c r="C21" s="20">
        <x:v>183</x:v>
      </x:c>
      <x:c r="D21" s="20">
        <x:v>140</x:v>
      </x:c>
      <x:c r="E21" s="20">
        <x:v>197</x:v>
      </x:c>
      <x:c r="F21" s="20">
        <x:v>169</x:v>
      </x:c>
      <x:c r="G21" s="21">
        <x:f t="shared" si="2"/>
        <x:v>689</x:v>
      </x:c>
      <x:c r="H21" s="22">
        <x:f t="shared" si="5"/>
        <x:v>172.25</x:v>
      </x:c>
      <x:c r="I21" s="23">
        <x:f>IF(B21="","",IFERROR(INDEX('회원명단 및 기준에버'!D:G,MATCH(B21,'회원명단 및 기준에버'!$C:$C,0),CHOOSE(INT((MONTH($N$2)-1)/3)+1,1,2,3,4)),""))</x:f>
        <x:v>195</x:v>
      </x:c>
      <x:c r="J21" s="5">
        <x:f t="shared" si="6"/>
        <x:v>-12</x:v>
      </x:c>
      <x:c r="K21" s="5">
        <x:f t="shared" si="7"/>
        <x:v>-55</x:v>
      </x:c>
      <x:c r="L21" s="5">
        <x:f t="shared" si="8"/>
        <x:v>2</x:v>
      </x:c>
      <x:c r="M21" s="5">
        <x:f t="shared" si="9"/>
        <x:v>-26</x:v>
      </x:c>
      <x:c r="N21" s="6">
        <x:f t="shared" si="3"/>
        <x:v>-91</x:v>
      </x:c>
      <x:c r="O21" s="24">
        <x:f t="shared" si="10"/>
        <x:v>-22.75</x:v>
      </x:c>
      <x:c r="U21" s="62">
        <x:f t="shared" si="0"/>
        <x:v>57</x:v>
      </x:c>
      <x:c r="V21" s="57">
        <x:f t="shared" si="4"/>
        <x:v>-22692982</x:v>
      </x:c>
      <x:c r="W21" s="57">
        <x:f t="shared" si="1"/>
        <x:v>23</x:v>
      </x:c>
      <x:c r="X21" s="63"/>
    </x:row>
    <x:row r="22" spans="1:24" ht="24.949999999999999" customHeight="1">
      <x:c r="A22" s="18">
        <x:v>19</x:v>
      </x:c>
      <x:c r="B22" s="19" t="s">
        <x:v>40</x:v>
      </x:c>
      <x:c r="C22" s="20">
        <x:v>182</x:v>
      </x:c>
      <x:c r="D22" s="20">
        <x:v>180</x:v>
      </x:c>
      <x:c r="E22" s="20">
        <x:v>207</x:v>
      </x:c>
      <x:c r="F22" s="20">
        <x:v>179</x:v>
      </x:c>
      <x:c r="G22" s="21">
        <x:f t="shared" si="2"/>
        <x:v>748</x:v>
      </x:c>
      <x:c r="H22" s="22">
        <x:f t="shared" si="5"/>
        <x:v>187</x:v>
      </x:c>
      <x:c r="I22" s="23">
        <x:f>IF(B22="","",IFERROR(INDEX('회원명단 및 기준에버'!D:G,MATCH(B22,'회원명단 및 기준에버'!$C:$C,0),CHOOSE(INT((MONTH($N$2)-1)/3)+1,1,2,3,4)),""))</x:f>
        <x:v>200</x:v>
      </x:c>
      <x:c r="J22" s="5">
        <x:f t="shared" si="6"/>
        <x:v>-18</x:v>
      </x:c>
      <x:c r="K22" s="5">
        <x:f t="shared" si="7"/>
        <x:v>-20</x:v>
      </x:c>
      <x:c r="L22" s="5">
        <x:f t="shared" si="8"/>
        <x:v>7</x:v>
      </x:c>
      <x:c r="M22" s="5">
        <x:f t="shared" si="9"/>
        <x:v>-21</x:v>
      </x:c>
      <x:c r="N22" s="6">
        <x:f t="shared" si="3"/>
        <x:v>-52</x:v>
      </x:c>
      <x:c r="O22" s="24">
        <x:f t="shared" si="10"/>
        <x:v>-13</x:v>
      </x:c>
      <x:c r="U22" s="62">
        <x:f t="shared" si="0"/>
        <x:v>28</x:v>
      </x:c>
      <x:c r="V22" s="57">
        <x:f t="shared" si="4"/>
        <x:v>-12971981</x:v>
      </x:c>
      <x:c r="W22" s="57">
        <x:f t="shared" si="1"/>
        <x:v>17</x:v>
      </x:c>
      <x:c r="X22" s="63"/>
    </x:row>
    <x:row r="23" spans="1:24" ht="24.949999999999999" customHeight="1">
      <x:c r="A23" s="18">
        <x:v>20</x:v>
      </x:c>
      <x:c r="B23" s="19" t="s">
        <x:v>37</x:v>
      </x:c>
      <x:c r="C23" s="20">
        <x:v>173</x:v>
      </x:c>
      <x:c r="D23" s="20">
        <x:v>142</x:v>
      </x:c>
      <x:c r="E23" s="20">
        <x:v>121</x:v>
      </x:c>
      <x:c r="F23" s="20">
        <x:v>156</x:v>
      </x:c>
      <x:c r="G23" s="21">
        <x:f t="shared" si="2"/>
        <x:v>592</x:v>
      </x:c>
      <x:c r="H23" s="22">
        <x:f t="shared" si="5"/>
        <x:v>148</x:v>
      </x:c>
      <x:c r="I23" s="23">
        <x:f>IF(B23="","",IFERROR(INDEX('회원명단 및 기준에버'!D:G,MATCH(B23,'회원명단 및 기준에버'!$C:$C,0),CHOOSE(INT((MONTH($N$2)-1)/3)+1,1,2,3,4)),""))</x:f>
        <x:v>144</x:v>
      </x:c>
      <x:c r="J23" s="5">
        <x:f t="shared" si="6"/>
        <x:v>29</x:v>
      </x:c>
      <x:c r="K23" s="5">
        <x:f t="shared" si="7"/>
        <x:v>-2</x:v>
      </x:c>
      <x:c r="L23" s="5">
        <x:f t="shared" si="8"/>
        <x:v>-23</x:v>
      </x:c>
      <x:c r="M23" s="5">
        <x:f t="shared" si="9"/>
        <x:v>12</x:v>
      </x:c>
      <x:c r="N23" s="6">
        <x:f t="shared" si="3"/>
        <x:v>16</x:v>
      </x:c>
      <x:c r="O23" s="24">
        <x:f t="shared" si="10"/>
        <x:v>4</x:v>
      </x:c>
      <x:c r="U23" s="62">
        <x:f t="shared" si="0"/>
        <x:v>52</x:v>
      </x:c>
      <x:c r="V23" s="57">
        <x:f t="shared" si="4"/>
        <x:v>4052020</x:v>
      </x:c>
      <x:c r="W23" s="57">
        <x:f t="shared" si="1"/>
        <x:v>6</x:v>
      </x:c>
      <x:c r="X23" s="63"/>
    </x:row>
    <x:row r="24" spans="1:24" ht="24.949999999999999" customHeight="1">
      <x:c r="A24" s="18">
        <x:v>21</x:v>
      </x:c>
      <x:c r="B24" s="19" t="s">
        <x:v>16</x:v>
      </x:c>
      <x:c r="C24" s="20">
        <x:v>178</x:v>
      </x:c>
      <x:c r="D24" s="20">
        <x:v>162</x:v>
      </x:c>
      <x:c r="E24" s="20">
        <x:v>237</x:v>
      </x:c>
      <x:c r="F24" s="20">
        <x:v>209</x:v>
      </x:c>
      <x:c r="G24" s="21">
        <x:f t="shared" si="2"/>
        <x:v>786</x:v>
      </x:c>
      <x:c r="H24" s="22">
        <x:f t="shared" si="5"/>
        <x:v>196.5</x:v>
      </x:c>
      <x:c r="I24" s="23">
        <x:f>IF(B24="","",IFERROR(INDEX('회원명단 및 기준에버'!D:G,MATCH(B24,'회원명단 및 기준에버'!$C:$C,0),CHOOSE(INT((MONTH($N$2)-1)/3)+1,1,2,3,4)),""))</x:f>
        <x:v>200</x:v>
      </x:c>
      <x:c r="J24" s="5">
        <x:f t="shared" si="6"/>
        <x:v>-22</x:v>
      </x:c>
      <x:c r="K24" s="5">
        <x:f t="shared" si="7"/>
        <x:v>-38</x:v>
      </x:c>
      <x:c r="L24" s="5">
        <x:f t="shared" si="8"/>
        <x:v>37</x:v>
      </x:c>
      <x:c r="M24" s="5">
        <x:f t="shared" si="9"/>
        <x:v>9</x:v>
      </x:c>
      <x:c r="N24" s="6">
        <x:f t="shared" si="3"/>
        <x:v>-14</x:v>
      </x:c>
      <x:c r="O24" s="24">
        <x:f t="shared" si="10"/>
        <x:v>-3.5</x:v>
      </x:c>
      <x:c r="U24" s="62">
        <x:f t="shared" si="0"/>
        <x:v>75</x:v>
      </x:c>
      <x:c r="V24" s="57">
        <x:f t="shared" si="4"/>
        <x:v>-3424979</x:v>
      </x:c>
      <x:c r="W24" s="57">
        <x:f t="shared" si="1"/>
        <x:v>13</x:v>
      </x:c>
      <x:c r="X24" s="63"/>
    </x:row>
    <x:row r="25" spans="1:24" ht="24.949999999999999" customHeight="1">
      <x:c r="A25" s="18">
        <x:v>22</x:v>
      </x:c>
      <x:c r="B25" s="19" t="s">
        <x:v>36</x:v>
      </x:c>
      <x:c r="C25" s="20">
        <x:v>157</x:v>
      </x:c>
      <x:c r="D25" s="20">
        <x:v>145</x:v>
      </x:c>
      <x:c r="E25" s="20">
        <x:v>196</x:v>
      </x:c>
      <x:c r="F25" s="20">
        <x:v>154</x:v>
      </x:c>
      <x:c r="G25" s="21">
        <x:f t="shared" si="2"/>
        <x:v>652</x:v>
      </x:c>
      <x:c r="H25" s="22">
        <x:f t="shared" si="5"/>
        <x:v>163</x:v>
      </x:c>
      <x:c r="I25" s="23">
        <x:f>IF(B25="","",IFERROR(INDEX('회원명단 및 기준에버'!D:G,MATCH(B25,'회원명단 및 기준에버'!$C:$C,0),CHOOSE(INT((MONTH($N$2)-1)/3)+1,1,2,3,4)),""))</x:f>
        <x:v>179</x:v>
      </x:c>
      <x:c r="J25" s="5">
        <x:f t="shared" si="6"/>
        <x:v>-22</x:v>
      </x:c>
      <x:c r="K25" s="5">
        <x:f t="shared" si="7"/>
        <x:v>-34</x:v>
      </x:c>
      <x:c r="L25" s="5">
        <x:f t="shared" si="8"/>
        <x:v>17</x:v>
      </x:c>
      <x:c r="M25" s="5">
        <x:f t="shared" si="9"/>
        <x:v>-25</x:v>
      </x:c>
      <x:c r="N25" s="6">
        <x:f t="shared" si="3"/>
        <x:v>-64</x:v>
      </x:c>
      <x:c r="O25" s="24">
        <x:f t="shared" si="10"/>
        <x:v>-16</x:v>
      </x:c>
      <x:c r="U25" s="62">
        <x:f t="shared" si="0"/>
        <x:v>51</x:v>
      </x:c>
      <x:c r="V25" s="57">
        <x:f t="shared" si="4"/>
        <x:v>-15948978</x:v>
      </x:c>
      <x:c r="W25" s="57">
        <x:f t="shared" si="1"/>
        <x:v>18</x:v>
      </x:c>
      <x:c r="X25" s="63"/>
    </x:row>
    <x:row r="26" spans="1:24" ht="24.949999999999999" customHeight="1">
      <x:c r="A26" s="18">
        <x:v>23</x:v>
      </x:c>
      <x:c r="B26" s="19" t="s">
        <x:v>12</x:v>
      </x:c>
      <x:c r="C26" s="20">
        <x:v>179</x:v>
      </x:c>
      <x:c r="D26" s="20">
        <x:v>204</x:v>
      </x:c>
      <x:c r="E26" s="20">
        <x:v>201</x:v>
      </x:c>
      <x:c r="F26" s="20">
        <x:v>212</x:v>
      </x:c>
      <x:c r="G26" s="21">
        <x:f t="shared" si="2"/>
        <x:v>796</x:v>
      </x:c>
      <x:c r="H26" s="22">
        <x:f t="shared" si="5"/>
        <x:v>199</x:v>
      </x:c>
      <x:c r="I26" s="23">
        <x:f>IF(B26="","",IFERROR(INDEX('회원명단 및 기준에버'!D:G,MATCH(B26,'회원명단 및 기준에버'!$C:$C,0),CHOOSE(INT((MONTH($N$2)-1)/3)+1,1,2,3,4)),""))</x:f>
        <x:v>200</x:v>
      </x:c>
      <x:c r="J26" s="5">
        <x:f t="shared" si="6"/>
        <x:v>-21</x:v>
      </x:c>
      <x:c r="K26" s="5">
        <x:f t="shared" si="7"/>
        <x:v>4</x:v>
      </x:c>
      <x:c r="L26" s="5">
        <x:f t="shared" si="8"/>
        <x:v>1</x:v>
      </x:c>
      <x:c r="M26" s="5">
        <x:f t="shared" si="9"/>
        <x:v>12</x:v>
      </x:c>
      <x:c r="N26" s="6">
        <x:f t="shared" si="3"/>
        <x:v>-4</x:v>
      </x:c>
      <x:c r="O26" s="24">
        <x:f t="shared" si="10"/>
        <x:v>-1</x:v>
      </x:c>
      <x:c r="U26" s="62">
        <x:f t="shared" si="0"/>
        <x:v>33</x:v>
      </x:c>
      <x:c r="V26" s="57">
        <x:f t="shared" si="4"/>
        <x:v>-966977</x:v>
      </x:c>
      <x:c r="W26" s="57">
        <x:f t="shared" si="1"/>
        <x:v>10</x:v>
      </x:c>
      <x:c r="X26" s="63"/>
    </x:row>
    <x:row r="27" spans="1:24" ht="24.949999999999999" customHeight="1">
      <x:c r="A27" s="18">
        <x:v>24</x:v>
      </x:c>
      <x:c r="B27" s="19" t="s">
        <x:v>31</x:v>
      </x:c>
      <x:c r="C27" s="20">
        <x:v>161</x:v>
      </x:c>
      <x:c r="D27" s="20">
        <x:v>173</x:v>
      </x:c>
      <x:c r="E27" s="20">
        <x:v>194</x:v>
      </x:c>
      <x:c r="F27" s="20">
        <x:v>171</x:v>
      </x:c>
      <x:c r="G27" s="21">
        <x:f t="shared" si="2"/>
        <x:v>699</x:v>
      </x:c>
      <x:c r="H27" s="22">
        <x:f t="shared" si="5"/>
        <x:v>174.75</x:v>
      </x:c>
      <x:c r="I27" s="23">
        <x:f>IF(B27="","",IFERROR(INDEX('회원명단 및 기준에버'!D:G,MATCH(B27,'회원명단 및 기준에버'!$C:$C,0),CHOOSE(INT((MONTH($N$2)-1)/3)+1,1,2,3,4)),""))</x:f>
        <x:v>199</x:v>
      </x:c>
      <x:c r="J27" s="5">
        <x:f t="shared" si="6"/>
        <x:v>-38</x:v>
      </x:c>
      <x:c r="K27" s="5">
        <x:f t="shared" si="7"/>
        <x:v>-26</x:v>
      </x:c>
      <x:c r="L27" s="5">
        <x:f t="shared" si="8"/>
        <x:v>-5</x:v>
      </x:c>
      <x:c r="M27" s="5">
        <x:f t="shared" si="9"/>
        <x:v>-28</x:v>
      </x:c>
      <x:c r="N27" s="6">
        <x:f t="shared" si="3"/>
        <x:v>-97</x:v>
      </x:c>
      <x:c r="O27" s="24">
        <x:f t="shared" si="10"/>
        <x:v>-24.25</x:v>
      </x:c>
      <x:c r="U27" s="62">
        <x:f t="shared" si="0"/>
        <x:v>33</x:v>
      </x:c>
      <x:c r="V27" s="57">
        <x:f t="shared" si="4"/>
        <x:v>-24216976</x:v>
      </x:c>
      <x:c r="W27" s="57">
        <x:f t="shared" si="1"/>
        <x:v>25</x:v>
      </x:c>
      <x:c r="X27" s="63"/>
    </x:row>
    <x:row r="28" spans="1:24" ht="24.949999999999999" customHeight="1">
      <x:c r="A28" s="18">
        <x:v>25</x:v>
      </x:c>
      <x:c r="B28" s="19" t="s">
        <x:v>15</x:v>
      </x:c>
      <x:c r="C28" s="20">
        <x:v>144</x:v>
      </x:c>
      <x:c r="D28" s="20">
        <x:v>144</x:v>
      </x:c>
      <x:c r="E28" s="20">
        <x:v>215</x:v>
      </x:c>
      <x:c r="F28" s="20">
        <x:v>226</x:v>
      </x:c>
      <x:c r="G28" s="21">
        <x:f t="shared" si="2"/>
        <x:v>729</x:v>
      </x:c>
      <x:c r="H28" s="22">
        <x:f t="shared" si="5"/>
        <x:v>182.25</x:v>
      </x:c>
      <x:c r="I28" s="23">
        <x:f>IF(B28="","",IFERROR(INDEX('회원명단 및 기준에버'!D:G,MATCH(B28,'회원명단 및 기준에버'!$C:$C,0),CHOOSE(INT((MONTH($N$2)-1)/3)+1,1,2,3,4)),""))</x:f>
        <x:v>200</x:v>
      </x:c>
      <x:c r="J28" s="5">
        <x:f>IFERROR(C28+-I28,0)</x:f>
        <x:v>-56</x:v>
      </x:c>
      <x:c r="K28" s="5">
        <x:f>IFERROR(D28+-I28,0)</x:f>
        <x:v>-56</x:v>
      </x:c>
      <x:c r="L28" s="5">
        <x:f>IFERROR(E28+-I28,0)</x:f>
        <x:v>15</x:v>
      </x:c>
      <x:c r="M28" s="5">
        <x:f t="shared" si="9"/>
        <x:v>26</x:v>
      </x:c>
      <x:c r="N28" s="6">
        <x:f t="shared" si="3"/>
        <x:v>-71</x:v>
      </x:c>
      <x:c r="O28" s="24">
        <x:f>IFERROR(H28+-I28,0)</x:f>
        <x:v>-17.75</x:v>
      </x:c>
      <x:c r="U28" s="62">
        <x:f t="shared" si="0"/>
        <x:v>82</x:v>
      </x:c>
      <x:c r="V28" s="57">
        <x:f t="shared" si="4"/>
        <x:v>-17667975</x:v>
      </x:c>
      <x:c r="W28" s="57">
        <x:f t="shared" si="1"/>
        <x:v>19</x:v>
      </x:c>
      <x:c r="X28" s="63"/>
    </x:row>
    <x:row r="29" spans="1:15" s="11" customFormat="1" ht="24.949999999999999" customHeight="1">
      <x:c r="A29" s="12"/>
      <x:c r="B29" s="120" t="s">
        <x:v>21</x:v>
      </x:c>
      <x:c r="C29" s="121"/>
      <x:c r="D29" s="121"/>
      <x:c r="E29" s="121"/>
      <x:c r="F29" s="120"/>
      <x:c r="G29" s="121"/>
      <x:c r="H29" s="121"/>
      <x:c r="I29" s="121"/>
      <x:c r="J29" s="121"/>
      <x:c r="K29" s="121"/>
      <x:c r="L29" s="121"/>
      <x:c r="M29" s="120"/>
      <x:c r="N29" s="121"/>
      <x:c r="O29" s="122"/>
    </x:row>
    <x:row r="30" spans="2:15" s="11" customFormat="1" ht="24.949999999999999" customHeight="1">
      <x:c r="B30" s="26" t="str">
        <x:f>$B4</x:f>
        <x:v>장 영 민</x:v>
      </x:c>
      <x:c r="C30" s="27">
        <x:f>IF($V$2=0,$C4,$J4)</x:f>
        <x:v>23</x:v>
      </x:c>
      <x:c r="D30" s="27">
        <x:f>IF($V$2=0,$D4,$K4)</x:f>
        <x:v>-51</x:v>
      </x:c>
      <x:c r="E30" s="27">
        <x:f>IF($V$2=0,$E4,$L4)</x:f>
        <x:v>-11</x:v>
      </x:c>
      <x:c r="F30" s="27">
        <x:f>IF($V$2=0,$F4,$M4)</x:f>
        <x:v>25</x:v>
      </x:c>
      <x:c r="G30" s="123">
        <x:f>E35+D35+C35+F35</x:f>
        <x:v>80</x:v>
      </x:c>
      <x:c r="H30" s="115">
        <x:v>2</x:v>
      </x:c>
      <x:c r="I30" s="28" t="str">
        <x:f>$B9</x:f>
        <x:v>최 현 수</x:v>
      </x:c>
      <x:c r="J30" s="27">
        <x:f>IF($V$2=0,$C9,$J9)</x:f>
        <x:v>56</x:v>
      </x:c>
      <x:c r="K30" s="27">
        <x:f>IF($V$2=0,$D9,$K9)</x:f>
        <x:v>26</x:v>
      </x:c>
      <x:c r="L30" s="27">
        <x:f>IF($V$2=0,$E9,$L9)</x:f>
        <x:v>-8</x:v>
      </x:c>
      <x:c r="M30" s="47">
        <x:f>IF($V$2=0,$F9,$M9)</x:f>
        <x:v>11</x:v>
      </x:c>
      <x:c r="N30" s="129">
        <x:f>L35+K35+J35+M35</x:f>
        <x:v>227</x:v>
      </x:c>
      <x:c r="O30" s="126">
        <x:v>1</x:v>
      </x:c>
    </x:row>
    <x:row r="31" spans="2:15" s="11" customFormat="1" ht="24.949999999999999" customHeight="1">
      <x:c r="B31" s="29" t="str">
        <x:f>$B5</x:f>
        <x:v>김 정 희</x:v>
      </x:c>
      <x:c r="C31" s="4">
        <x:f>IF($V$2=0,$C5,$J5)</x:f>
        <x:v>-1</x:v>
      </x:c>
      <x:c r="D31" s="4">
        <x:f>IF($V$2=0,$D5,$K5)</x:f>
        <x:v>-2</x:v>
      </x:c>
      <x:c r="E31" s="4">
        <x:f>IF($V$2=0,$E5,$L5)</x:f>
        <x:v>2</x:v>
      </x:c>
      <x:c r="F31" s="4">
        <x:f>IF($V$2=0,$F5,$M5)</x:f>
        <x:v>0</x:v>
      </x:c>
      <x:c r="G31" s="124"/>
      <x:c r="H31" s="116"/>
      <x:c r="I31" s="29" t="str">
        <x:f>$B10</x:f>
        <x:v>이 승 미</x:v>
      </x:c>
      <x:c r="J31" s="4">
        <x:f>IF($V$2=0,$C10,$J10)</x:f>
        <x:v>2</x:v>
      </x:c>
      <x:c r="K31" s="4">
        <x:f>IF($V$2=0,$D10,$K10)</x:f>
        <x:v>-2</x:v>
      </x:c>
      <x:c r="L31" s="4">
        <x:f>IF($V$2=0,$E10,$L10)</x:f>
        <x:v>17</x:v>
      </x:c>
      <x:c r="M31" s="4">
        <x:f>IF($V$2=0,$F10,$M10)</x:f>
        <x:v>-5</x:v>
      </x:c>
      <x:c r="N31" s="130"/>
      <x:c r="O31" s="127"/>
    </x:row>
    <x:row r="32" spans="2:15" s="11" customFormat="1" ht="24.949999999999999" customHeight="1">
      <x:c r="B32" s="29" t="str">
        <x:f>$B6</x:f>
        <x:v>황 인 교</x:v>
      </x:c>
      <x:c r="C32" s="4">
        <x:f>IF($V$2=0,$C6,$J6)</x:f>
        <x:v>37</x:v>
      </x:c>
      <x:c r="D32" s="4">
        <x:f>IF($V$2=0,$D6,$K6)</x:f>
        <x:v>6</x:v>
      </x:c>
      <x:c r="E32" s="4">
        <x:f>IF($V$2=0,$E6,$L6)</x:f>
        <x:v>-1</x:v>
      </x:c>
      <x:c r="F32" s="4">
        <x:f>IF($V$2=0,$F6,$M6)</x:f>
        <x:v>15</x:v>
      </x:c>
      <x:c r="G32" s="124"/>
      <x:c r="H32" s="116"/>
      <x:c r="I32" s="29" t="str">
        <x:f>$B11</x:f>
        <x:v>박 성 현</x:v>
      </x:c>
      <x:c r="J32" s="4">
        <x:f>IF($V$2=0,$C11,$J11)</x:f>
        <x:v>-36</x:v>
      </x:c>
      <x:c r="K32" s="4">
        <x:f>IF($V$2=0,$D11,$K11)</x:f>
        <x:v>66</x:v>
      </x:c>
      <x:c r="L32" s="4">
        <x:f>IF($V$2=0,$E11,$L11)</x:f>
        <x:v>13</x:v>
      </x:c>
      <x:c r="M32" s="4">
        <x:f>IF($V$2=0,$F11,$M11)</x:f>
        <x:v>-13</x:v>
      </x:c>
      <x:c r="N32" s="130"/>
      <x:c r="O32" s="127"/>
    </x:row>
    <x:row r="33" spans="2:15" s="11" customFormat="1" ht="24.949999999999999" customHeight="1">
      <x:c r="B33" s="29" t="str">
        <x:f>$B7</x:f>
        <x:v>천 성 일</x:v>
      </x:c>
      <x:c r="C33" s="4">
        <x:f>IF($V$2=0,$C7,$J7)</x:f>
        <x:v>-1</x:v>
      </x:c>
      <x:c r="D33" s="4">
        <x:f>IF($V$2=0,$D7,$K7)</x:f>
        <x:v>6</x:v>
      </x:c>
      <x:c r="E33" s="4">
        <x:f>IF($V$2=0,$E7,$L7)</x:f>
        <x:v>26</x:v>
      </x:c>
      <x:c r="F33" s="4">
        <x:f>IF($V$2=0,$F7,$M7)</x:f>
        <x:v>21</x:v>
      </x:c>
      <x:c r="G33" s="124"/>
      <x:c r="H33" s="116"/>
      <x:c r="I33" s="29" t="str">
        <x:f>$B12</x:f>
        <x:v>고 경 훈</x:v>
      </x:c>
      <x:c r="J33" s="4">
        <x:f>IF($V$2=0,$C12,$J12)</x:f>
        <x:v>13</x:v>
      </x:c>
      <x:c r="K33" s="4">
        <x:f>IF($V$2=0,$D12,$K12)</x:f>
        <x:v>-4</x:v>
      </x:c>
      <x:c r="L33" s="4">
        <x:f>IF($V$2=0,$E12,$L12)</x:f>
        <x:v>-14</x:v>
      </x:c>
      <x:c r="M33" s="4">
        <x:f>IF($V$2=0,$F12,$M12)</x:f>
        <x:v>-4</x:v>
      </x:c>
      <x:c r="N33" s="130"/>
      <x:c r="O33" s="127"/>
    </x:row>
    <x:row r="34" spans="2:15" s="11" customFormat="1" ht="24.949999999999999" customHeight="1">
      <x:c r="B34" s="29" t="str">
        <x:f>$B8</x:f>
        <x:v>김 미 란</x:v>
      </x:c>
      <x:c r="C34" s="4">
        <x:f>IF($V$2=0,$C8,$J8)</x:f>
        <x:v>-3</x:v>
      </x:c>
      <x:c r="D34" s="4">
        <x:f>IF($V$2=0,$D8,$K8)</x:f>
        <x:v>-27</x:v>
      </x:c>
      <x:c r="E34" s="4">
        <x:f>IF($V$2=0,$E8,$L8)</x:f>
        <x:v>40</x:v>
      </x:c>
      <x:c r="F34" s="4">
        <x:f>IF($V$2=0,$F8,$M8)</x:f>
        <x:v>-24</x:v>
      </x:c>
      <x:c r="G34" s="124"/>
      <x:c r="H34" s="116"/>
      <x:c r="I34" s="29" t="str">
        <x:f>$B13</x:f>
        <x:v>임 연 진</x:v>
      </x:c>
      <x:c r="J34" s="4">
        <x:f>IF($V$2=0,$C13,$J13)</x:f>
        <x:v>3</x:v>
      </x:c>
      <x:c r="K34" s="4">
        <x:f>IF($V$2=0,$D13,$K13)</x:f>
        <x:v>69</x:v>
      </x:c>
      <x:c r="L34" s="4">
        <x:f>IF($V$2=0,$E13,$L13)</x:f>
        <x:v>26</x:v>
      </x:c>
      <x:c r="M34" s="4">
        <x:f>IF($V$2=0,$F13,$M13)</x:f>
        <x:v>11</x:v>
      </x:c>
      <x:c r="N34" s="130"/>
      <x:c r="O34" s="127"/>
    </x:row>
    <x:row r="35" spans="2:15" s="11" customFormat="1" ht="24.949999999999999" customHeight="1">
      <x:c r="B35" s="30"/>
      <x:c r="C35" s="31">
        <x:f>SUM(C30:C34)</x:f>
        <x:v>55</x:v>
      </x:c>
      <x:c r="D35" s="31">
        <x:f>SUM(D30:D34)</x:f>
        <x:v>-68</x:v>
      </x:c>
      <x:c r="E35" s="31">
        <x:f>SUM(E30:E34)</x:f>
        <x:v>56</x:v>
      </x:c>
      <x:c r="F35" s="31">
        <x:f>SUM(F30:F34)</x:f>
        <x:v>37</x:v>
      </x:c>
      <x:c r="G35" s="125"/>
      <x:c r="H35" s="117"/>
      <x:c r="I35" s="30"/>
      <x:c r="J35" s="31">
        <x:f>SUM(J30:J34)</x:f>
        <x:v>38</x:v>
      </x:c>
      <x:c r="K35" s="31">
        <x:f>SUM(K30:K34)</x:f>
        <x:v>155</x:v>
      </x:c>
      <x:c r="L35" s="31">
        <x:f>SUM(L30:L34)</x:f>
        <x:v>34</x:v>
      </x:c>
      <x:c r="M35" s="31">
        <x:f>SUM(M30:M34)</x:f>
        <x:v>0</x:v>
      </x:c>
      <x:c r="N35" s="131"/>
      <x:c r="O35" s="128"/>
    </x:row>
    <x:row r="36" s="11" customFormat="1" ht="9.9499999999999993" customHeight="1"/>
    <x:row r="37" spans="2:15" s="11" customFormat="1" ht="24.949999999999999" customHeight="1">
      <x:c r="B37" s="26" t="str">
        <x:f>$B14</x:f>
        <x:v>이 대 용</x:v>
      </x:c>
      <x:c r="C37" s="27">
        <x:f>IF($V$2=0,$C14,$J14)</x:f>
        <x:v>5</x:v>
      </x:c>
      <x:c r="D37" s="27">
        <x:f>IF($V$2=0,$D14,$K14)</x:f>
        <x:v>53</x:v>
      </x:c>
      <x:c r="E37" s="27">
        <x:f>IF($V$2=0,$E14,$L14)</x:f>
        <x:v>-12</x:v>
      </x:c>
      <x:c r="F37" s="27">
        <x:f>IF($V$2=0,$F14,$M14)</x:f>
        <x:v>-32</x:v>
      </x:c>
      <x:c r="G37" s="123">
        <x:f>E42+D42+C42+F42</x:f>
        <x:v>-280</x:v>
      </x:c>
      <x:c r="H37" s="115">
        <x:v>4</x:v>
      </x:c>
      <x:c r="I37" s="28" t="str">
        <x:f>$B19</x:f>
        <x:v>임 승 기</x:v>
      </x:c>
      <x:c r="J37" s="27">
        <x:f>IF($V$2=0,$C19,$J19)</x:f>
        <x:v>-2</x:v>
      </x:c>
      <x:c r="K37" s="27">
        <x:f>IF($V$2=0,$D19,$K19)</x:f>
        <x:v>11</x:v>
      </x:c>
      <x:c r="L37" s="27">
        <x:f>IF($V$2=0,$E19,$L19)</x:f>
        <x:v>-26</x:v>
      </x:c>
      <x:c r="M37" s="47">
        <x:f>IF($V$2=0,$F19,$M19)</x:f>
        <x:v>3</x:v>
      </x:c>
      <x:c r="N37" s="129">
        <x:f>L42+K42+J42+M42</x:f>
        <x:v>-222</x:v>
      </x:c>
      <x:c r="O37" s="126">
        <x:v>3</x:v>
      </x:c>
    </x:row>
    <x:row r="38" spans="2:15" s="12" customFormat="1" ht="24.949999999999999" customHeight="1">
      <x:c r="B38" s="29" t="str">
        <x:f>$B15</x:f>
        <x:v>지 옥 명</x:v>
      </x:c>
      <x:c r="C38" s="4">
        <x:f>IF($V$2=0,$C15,$J15)</x:f>
        <x:v>-11</x:v>
      </x:c>
      <x:c r="D38" s="4">
        <x:f>IF($V$2=0,$D15,$K15)</x:f>
        <x:v>-34</x:v>
      </x:c>
      <x:c r="E38" s="4">
        <x:f>IF($V$2=0,$E15,$L15)</x:f>
        <x:v>7</x:v>
      </x:c>
      <x:c r="F38" s="4">
        <x:f>IF($V$2=0,$F15,$M15)</x:f>
        <x:v>-46</x:v>
      </x:c>
      <x:c r="G38" s="124"/>
      <x:c r="H38" s="116"/>
      <x:c r="I38" s="29" t="str">
        <x:f>$B20</x:f>
        <x:v>김 규 희</x:v>
      </x:c>
      <x:c r="J38" s="4">
        <x:f>IF($V$2=0,$C20,$J20)</x:f>
        <x:v>20</x:v>
      </x:c>
      <x:c r="K38" s="4">
        <x:f>IF($V$2=0,$D20,$K20)</x:f>
        <x:v>-20</x:v>
      </x:c>
      <x:c r="L38" s="4">
        <x:f>IF($V$2=0,$E20,$L20)</x:f>
        <x:v>-34</x:v>
      </x:c>
      <x:c r="M38" s="4">
        <x:f>IF($V$2=0,$F20,$M20)</x:f>
        <x:v>-47</x:v>
      </x:c>
      <x:c r="N38" s="130"/>
      <x:c r="O38" s="127"/>
    </x:row>
    <x:row r="39" spans="2:15" s="12" customFormat="1" ht="24.949999999999999" customHeight="1">
      <x:c r="B39" s="29" t="str">
        <x:f>$B16</x:f>
        <x:v>정 영 우</x:v>
      </x:c>
      <x:c r="C39" s="4">
        <x:f>IF($V$2=0,$C16,$J16)</x:f>
        <x:v>-13</x:v>
      </x:c>
      <x:c r="D39" s="4">
        <x:f>IF($V$2=0,$D16,$K16)</x:f>
        <x:v>-3</x:v>
      </x:c>
      <x:c r="E39" s="4">
        <x:f>IF($V$2=0,$E16,$L16)</x:f>
        <x:v>-2</x:v>
      </x:c>
      <x:c r="F39" s="4">
        <x:f>IF($V$2=0,$F16,$M16)</x:f>
        <x:v>-25</x:v>
      </x:c>
      <x:c r="G39" s="124"/>
      <x:c r="H39" s="116"/>
      <x:c r="I39" s="29" t="str">
        <x:f>$B21</x:f>
        <x:v>이 상 현</x:v>
      </x:c>
      <x:c r="J39" s="4">
        <x:f>IF($V$2=0,$C21,$J21)</x:f>
        <x:v>-12</x:v>
      </x:c>
      <x:c r="K39" s="4">
        <x:f>IF($V$2=0,$D21,$K21)</x:f>
        <x:v>-55</x:v>
      </x:c>
      <x:c r="L39" s="4">
        <x:f>IF($V$2=0,$E21,$L21)</x:f>
        <x:v>2</x:v>
      </x:c>
      <x:c r="M39" s="4">
        <x:f>IF($V$2=0,$F21,$M21)</x:f>
        <x:v>-26</x:v>
      </x:c>
      <x:c r="N39" s="130"/>
      <x:c r="O39" s="127"/>
    </x:row>
    <x:row r="40" spans="2:15" s="12" customFormat="1" ht="24.949999999999999" customHeight="1">
      <x:c r="B40" s="29" t="str">
        <x:f>$B17</x:f>
        <x:v>이 우 석</x:v>
      </x:c>
      <x:c r="C40" s="4">
        <x:f>IF($V$2=0,$C17,$J17)</x:f>
        <x:v>-12</x:v>
      </x:c>
      <x:c r="D40" s="4">
        <x:f>IF($V$2=0,$D17,$K17)</x:f>
        <x:v>-40</x:v>
      </x:c>
      <x:c r="E40" s="4">
        <x:f>IF($V$2=0,$E17,$L17)</x:f>
        <x:v>-8</x:v>
      </x:c>
      <x:c r="F40" s="4">
        <x:f>IF($V$2=0,$F17,$M17)</x:f>
        <x:v>-33</x:v>
      </x:c>
      <x:c r="G40" s="124"/>
      <x:c r="H40" s="116"/>
      <x:c r="I40" s="29" t="str">
        <x:f>$B22</x:f>
        <x:v>이 범 수</x:v>
      </x:c>
      <x:c r="J40" s="4">
        <x:f>IF($V$2=0,$C22,$J22)</x:f>
        <x:v>-18</x:v>
      </x:c>
      <x:c r="K40" s="4">
        <x:f>IF($V$2=0,$D22,$K22)</x:f>
        <x:v>-20</x:v>
      </x:c>
      <x:c r="L40" s="4">
        <x:f>IF($V$2=0,$E22,$L22)</x:f>
        <x:v>7</x:v>
      </x:c>
      <x:c r="M40" s="4">
        <x:f>IF($V$2=0,$F22,$M22)</x:f>
        <x:v>-21</x:v>
      </x:c>
      <x:c r="N40" s="130"/>
      <x:c r="O40" s="127"/>
    </x:row>
    <x:row r="41" spans="2:15" s="12" customFormat="1" ht="24.949999999999999" customHeight="1">
      <x:c r="B41" s="29" t="str">
        <x:f>$B18</x:f>
        <x:v>나 경 주</x:v>
      </x:c>
      <x:c r="C41" s="4">
        <x:f>IF($V$2=0,$C18,$J18)</x:f>
        <x:v>-1</x:v>
      </x:c>
      <x:c r="D41" s="4">
        <x:f>IF($V$2=0,$D18,$K18)</x:f>
        <x:v>-28</x:v>
      </x:c>
      <x:c r="E41" s="4">
        <x:f>IF($V$2=0,$E18,$L18)</x:f>
        <x:v>-29</x:v>
      </x:c>
      <x:c r="F41" s="4">
        <x:f>IF($V$2=0,$F18,$M18)</x:f>
        <x:v>-16</x:v>
      </x:c>
      <x:c r="G41" s="124"/>
      <x:c r="H41" s="116"/>
      <x:c r="I41" s="29" t="str">
        <x:f>$B23</x:f>
        <x:v>손 은 주</x:v>
      </x:c>
      <x:c r="J41" s="4">
        <x:f>IF($V$2=0,$C23,$J23)</x:f>
        <x:v>29</x:v>
      </x:c>
      <x:c r="K41" s="4">
        <x:f>IF($V$2=0,$D23,$K23)</x:f>
        <x:v>-2</x:v>
      </x:c>
      <x:c r="L41" s="4">
        <x:f>IF($V$2=0,$E23,$L23)</x:f>
        <x:v>-23</x:v>
      </x:c>
      <x:c r="M41" s="4">
        <x:f>IF($V$2=0,$F23,$M23)</x:f>
        <x:v>12</x:v>
      </x:c>
      <x:c r="N41" s="130"/>
      <x:c r="O41" s="127"/>
    </x:row>
    <x:row r="42" spans="2:15" s="12" customFormat="1" ht="24.949999999999999" customHeight="1">
      <x:c r="B42" s="30"/>
      <x:c r="C42" s="31">
        <x:f>SUM(C37:C41)</x:f>
        <x:v>-32</x:v>
      </x:c>
      <x:c r="D42" s="31">
        <x:f>SUM(D37:D41)</x:f>
        <x:v>-52</x:v>
      </x:c>
      <x:c r="E42" s="31">
        <x:f>SUM(E37:E41)</x:f>
        <x:v>-44</x:v>
      </x:c>
      <x:c r="F42" s="31">
        <x:f>SUM(F37:F41)</x:f>
        <x:v>-152</x:v>
      </x:c>
      <x:c r="G42" s="125"/>
      <x:c r="H42" s="117"/>
      <x:c r="I42" s="30"/>
      <x:c r="J42" s="31">
        <x:f>SUM(J37:J41)</x:f>
        <x:v>17</x:v>
      </x:c>
      <x:c r="K42" s="31">
        <x:f>SUM(K37:K41)</x:f>
        <x:v>-86</x:v>
      </x:c>
      <x:c r="L42" s="31">
        <x:f>SUM(L37:L41)</x:f>
        <x:v>-74</x:v>
      </x:c>
      <x:c r="M42" s="31">
        <x:f>SUM(M37:M41)</x:f>
        <x:v>-79</x:v>
      </x:c>
      <x:c r="N42" s="131"/>
      <x:c r="O42" s="128"/>
    </x:row>
    <x:row r="43" ht="9.9499999999999993" customHeight="1"/>
    <x:row r="44" spans="2:15" ht="24.949999999999999" customHeight="1">
      <x:c r="B44" s="76" t="str">
        <x:f>$B24</x:f>
        <x:v>변 상 필</x:v>
      </x:c>
      <x:c r="C44" s="77">
        <x:f>IF($V$2=0,$C24,$J24)</x:f>
        <x:v>-22</x:v>
      </x:c>
      <x:c r="D44" s="77">
        <x:f>IF($V$2=0,$D24,$K24)</x:f>
        <x:v>-38</x:v>
      </x:c>
      <x:c r="E44" s="77">
        <x:f>IF($V$2=0,$E24,$L24)</x:f>
        <x:v>37</x:v>
      </x:c>
      <x:c r="F44" s="77">
        <x:f>IF($V$2=0,$F24,$M24)</x:f>
        <x:v>9</x:v>
      </x:c>
      <x:c r="G44" s="132">
        <x:f>E49+D49+C49+F49</x:f>
        <x:v>-250</x:v>
      </x:c>
      <x:c r="H44" s="135">
        <x:v>5</x:v>
      </x:c>
      <x:c r="I44" s="67"/>
      <x:c r="J44" s="68"/>
      <x:c r="K44" s="68"/>
      <x:c r="L44" s="68"/>
      <x:c r="M44" s="68"/>
      <x:c r="N44" s="69"/>
      <x:c r="O44" s="70"/>
    </x:row>
    <x:row r="45" spans="2:15" ht="24.949999999999999" customHeight="1">
      <x:c r="B45" s="78" t="str">
        <x:f>$B25</x:f>
        <x:v>진 명 옥</x:v>
      </x:c>
      <x:c r="C45" s="79">
        <x:f>IF($V$2=0,$C25,$J25)</x:f>
        <x:v>-22</x:v>
      </x:c>
      <x:c r="D45" s="79">
        <x:f>IF($V$2=0,$D25,$K25)</x:f>
        <x:v>-34</x:v>
      </x:c>
      <x:c r="E45" s="79">
        <x:f>IF($V$2=0,$E25,$L25)</x:f>
        <x:v>17</x:v>
      </x:c>
      <x:c r="F45" s="79">
        <x:f>IF($V$2=0,$F25,$M25)</x:f>
        <x:v>-25</x:v>
      </x:c>
      <x:c r="G45" s="133"/>
      <x:c r="H45" s="136"/>
      <x:c r="I45" s="71"/>
      <x:c r="J45" s="72"/>
      <x:c r="K45" s="72"/>
      <x:c r="L45" s="72"/>
      <x:c r="M45" s="72"/>
      <x:c r="N45" s="73"/>
      <x:c r="O45" s="74"/>
    </x:row>
    <x:row r="46" spans="2:15" ht="24.949999999999999" customHeight="1">
      <x:c r="B46" s="78" t="str">
        <x:f>$B26</x:f>
        <x:v>이 정 석</x:v>
      </x:c>
      <x:c r="C46" s="79">
        <x:f>IF($V$2=0,$C26,$J26)</x:f>
        <x:v>-21</x:v>
      </x:c>
      <x:c r="D46" s="79">
        <x:f>IF($V$2=0,$D26,$K26)</x:f>
        <x:v>4</x:v>
      </x:c>
      <x:c r="E46" s="79">
        <x:f>IF($V$2=0,$E26,$L26)</x:f>
        <x:v>1</x:v>
      </x:c>
      <x:c r="F46" s="79">
        <x:f>IF($V$2=0,$F26,$M26)</x:f>
        <x:v>12</x:v>
      </x:c>
      <x:c r="G46" s="133"/>
      <x:c r="H46" s="136"/>
      <x:c r="I46" s="71"/>
      <x:c r="J46" s="72"/>
      <x:c r="K46" s="72"/>
      <x:c r="L46" s="72"/>
      <x:c r="M46" s="72"/>
      <x:c r="N46" s="73"/>
      <x:c r="O46" s="74"/>
    </x:row>
    <x:row r="47" spans="2:15" ht="24.949999999999999" customHeight="1">
      <x:c r="B47" s="78" t="str">
        <x:f>$B27</x:f>
        <x:v>김 태 환</x:v>
      </x:c>
      <x:c r="C47" s="79">
        <x:f>IF($V$2=0,$C27,$J27)</x:f>
        <x:v>-38</x:v>
      </x:c>
      <x:c r="D47" s="79">
        <x:f>IF($V$2=0,$D27,$K27)</x:f>
        <x:v>-26</x:v>
      </x:c>
      <x:c r="E47" s="79">
        <x:f>IF($V$2=0,$E27,$L27)</x:f>
        <x:v>-5</x:v>
      </x:c>
      <x:c r="F47" s="79">
        <x:f>IF($V$2=0,$F27,$M27)</x:f>
        <x:v>-28</x:v>
      </x:c>
      <x:c r="G47" s="133"/>
      <x:c r="H47" s="136"/>
      <x:c r="I47" s="71"/>
      <x:c r="J47" s="72"/>
      <x:c r="K47" s="72"/>
      <x:c r="L47" s="72"/>
      <x:c r="M47" s="72"/>
      <x:c r="N47" s="73"/>
      <x:c r="O47" s="74"/>
    </x:row>
    <x:row r="48" spans="2:15" ht="24.949999999999999" customHeight="1">
      <x:c r="B48" s="78" t="str">
        <x:f>$B28</x:f>
        <x:v>송 정 현</x:v>
      </x:c>
      <x:c r="C48" s="79">
        <x:f>IF($V$2=0,$C28,$J28)</x:f>
        <x:v>-56</x:v>
      </x:c>
      <x:c r="D48" s="79">
        <x:f>IF($V$2=0,$D28,$K28)</x:f>
        <x:v>-56</x:v>
      </x:c>
      <x:c r="E48" s="79">
        <x:f>IF($V$2=0,$E28,$L28)</x:f>
        <x:v>15</x:v>
      </x:c>
      <x:c r="F48" s="79">
        <x:f>IF($V$2=0,$F28,$M28)</x:f>
        <x:v>26</x:v>
      </x:c>
      <x:c r="G48" s="133"/>
      <x:c r="H48" s="136"/>
      <x:c r="I48" s="71"/>
      <x:c r="J48" s="72"/>
      <x:c r="K48" s="72"/>
      <x:c r="L48" s="72"/>
      <x:c r="M48" s="72"/>
      <x:c r="N48" s="73"/>
      <x:c r="O48" s="74"/>
    </x:row>
    <x:row r="49" spans="2:15" ht="24.949999999999999" customHeight="1">
      <x:c r="B49" s="80"/>
      <x:c r="C49" s="81">
        <x:f>SUM(C44:C48)</x:f>
        <x:v>-159</x:v>
      </x:c>
      <x:c r="D49" s="81">
        <x:f>SUM(D44:D48)</x:f>
        <x:v>-150</x:v>
      </x:c>
      <x:c r="E49" s="81">
        <x:f>SUM(E44:E48)</x:f>
        <x:v>65</x:v>
      </x:c>
      <x:c r="F49" s="81">
        <x:f>SUM(F44:F48)</x:f>
        <x:v>-6</x:v>
      </x:c>
      <x:c r="G49" s="134"/>
      <x:c r="H49" s="137"/>
      <x:c r="I49" s="71"/>
      <x:c r="J49" s="75"/>
      <x:c r="K49" s="75"/>
      <x:c r="L49" s="75"/>
      <x:c r="M49" s="75"/>
      <x:c r="N49" s="73"/>
      <x:c r="O49" s="74"/>
    </x:row>
    <x:row r="50" ht="24.949999999999999" customHeight="1"/>
    <x:row r="51" ht="24.949999999999999" customHeight="1"/>
    <x:row r="52" ht="24.949999999999999" customHeight="1"/>
    <x:row r="53" spans="1:15" ht="60" customHeight="1">
      <x:c r="A53" s="112" t="str">
        <x:f>A1</x:f>
        <x:v>2026 아르케 존 07회 번개 모임 점수</x:v>
      </x:c>
      <x:c r="B53" s="112"/>
      <x:c r="C53" s="112"/>
      <x:c r="D53" s="112"/>
      <x:c r="E53" s="112"/>
      <x:c r="F53" s="112"/>
      <x:c r="G53" s="112"/>
      <x:c r="H53" s="112"/>
      <x:c r="I53" s="112"/>
      <x:c r="J53" s="112"/>
      <x:c r="K53" s="112"/>
      <x:c r="L53" s="112"/>
      <x:c r="M53" s="112"/>
      <x:c r="N53" s="112"/>
      <x:c r="O53" s="112"/>
    </x:row>
    <x:row r="54" spans="1:15" ht="24.949999999999999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4" t="s">
        <x:v>48</x:v>
      </x:c>
      <x:c r="M54" s="34"/>
      <x:c r="N54" s="113">
        <x:f>N2</x:f>
        <x:v>46121</x:v>
      </x:c>
      <x:c r="O54" s="114"/>
    </x:row>
    <x:row r="55" spans="1:15" ht="25" customHeight="1">
      <x:c r="A55" s="13"/>
      <x:c r="B55" s="14" t="s">
        <x:v>14</x:v>
      </x:c>
      <x:c r="C55" s="14" t="s">
        <x:v>44</x:v>
      </x:c>
      <x:c r="D55" s="14" t="s">
        <x:v>55</x:v>
      </x:c>
      <x:c r="E55" s="14" t="s">
        <x:v>54</x:v>
      </x:c>
      <x:c r="F55" s="14" t="s">
        <x:v>53</x:v>
      </x:c>
      <x:c r="G55" s="14" t="s">
        <x:v>52</x:v>
      </x:c>
      <x:c r="H55" s="14" t="s">
        <x:v>47</x:v>
      </x:c>
      <x:c r="I55" s="15" t="s">
        <x:v>41</x:v>
      </x:c>
      <x:c r="J55" s="14" t="s">
        <x:v>44</x:v>
      </x:c>
      <x:c r="K55" s="14" t="s">
        <x:v>55</x:v>
      </x:c>
      <x:c r="L55" s="14" t="s">
        <x:v>54</x:v>
      </x:c>
      <x:c r="M55" s="14" t="s">
        <x:v>53</x:v>
      </x:c>
      <x:c r="N55" s="16" t="s">
        <x:v>52</x:v>
      </x:c>
      <x:c r="O55" s="17" t="s">
        <x:v>56</x:v>
      </x:c>
    </x:row>
    <x:row r="56" spans="1:15" ht="25" customHeight="1">
      <x:c r="A56" s="18">
        <x:v>1</x:v>
      </x:c>
      <x:c r="B56" s="19" t="str">
        <x:f t="array" ref="B56:B56">INDEX($B$4:$O$28,MATCH($A56,$W$4:$W$28,0),COLUMN(A$1))</x:f>
        <x:v>임 연 진</x:v>
      </x:c>
      <x:c r="C56" s="20">
        <x:f t="array" ref="C56:C56">INDEX($B$4:$O$28,MATCH($A56,$W$4:$W$28,0),COLUMN(B$1))</x:f>
        <x:v>203</x:v>
      </x:c>
      <x:c r="D56" s="20">
        <x:f t="array" ref="D56:D56">INDEX($B$4:$O$28,MATCH($A56,$W$4:$W$28,0),COLUMN(C$1))</x:f>
        <x:v>269</x:v>
      </x:c>
      <x:c r="E56" s="20">
        <x:f t="array" ref="E56:E56">INDEX($B$4:$O$28,MATCH($A56,$W$4:$W$28,0),COLUMN(D$1))</x:f>
        <x:v>226</x:v>
      </x:c>
      <x:c r="F56" s="20">
        <x:f t="array" ref="F56:F56">INDEX($B$4:$O$28,MATCH($A56,$W$4:$W$28,0),COLUMN(E$1))</x:f>
        <x:v>211</x:v>
      </x:c>
      <x:c r="G56" s="21">
        <x:f>SUM(C56:F56)</x:f>
        <x:v>909</x:v>
      </x:c>
      <x:c r="H56" s="22">
        <x:f>G56/4</x:f>
        <x:v>227.25</x:v>
      </x:c>
      <x:c r="I56" s="23">
        <x:f>IF(B56="","",IFERROR(INDEX('회원명단 및 기준에버'!D:G,MATCH(B56,'회원명단 및 기준에버'!$C:$C,0),CHOOSE(INT((MONTH($N$2)-1)/3)+1,1,2,3,4)),""))</x:f>
        <x:v>200</x:v>
      </x:c>
      <x:c r="J56" s="5">
        <x:f>IFERROR(C56+-I56,0)</x:f>
        <x:v>3</x:v>
      </x:c>
      <x:c r="K56" s="5">
        <x:f>IFERROR(D56+-I56,0)</x:f>
        <x:v>69</x:v>
      </x:c>
      <x:c r="L56" s="5">
        <x:f>IFERROR(E56+-I56,0)</x:f>
        <x:v>26</x:v>
      </x:c>
      <x:c r="M56" s="5">
        <x:f>IFERROR(F56+-I56,0)</x:f>
        <x:v>11</x:v>
      </x:c>
      <x:c r="N56" s="6">
        <x:f>SUM(J56:M56)</x:f>
        <x:v>109</x:v>
      </x:c>
      <x:c r="O56" s="24">
        <x:f>IFERROR(H56+-I56,0)</x:f>
        <x:v>27.25</x:v>
      </x:c>
    </x:row>
    <x:row r="57" spans="1:15" ht="25" customHeight="1">
      <x:c r="A57" s="18">
        <x:v>2</x:v>
      </x:c>
      <x:c r="B57" s="19" t="str">
        <x:f t="array" ref="B57:B57">INDEX($B$4:$O$28,MATCH($A57,$W$4:$W$28,0),COLUMN(A$1))</x:f>
        <x:v>최 현 수</x:v>
      </x:c>
      <x:c r="C57" s="20">
        <x:f t="array" ref="C57:C57">INDEX($B$4:$O$28,MATCH($A57,$W$4:$W$28,0),COLUMN(B$1))</x:f>
        <x:v>256</x:v>
      </x:c>
      <x:c r="D57" s="20">
        <x:f t="array" ref="D57:D57">INDEX($B$4:$O$28,MATCH($A57,$W$4:$W$28,0),COLUMN(C$1))</x:f>
        <x:v>226</x:v>
      </x:c>
      <x:c r="E57" s="20">
        <x:f t="array" ref="E57:E57">INDEX($B$4:$O$28,MATCH($A57,$W$4:$W$28,0),COLUMN(D$1))</x:f>
        <x:v>192</x:v>
      </x:c>
      <x:c r="F57" s="20">
        <x:f t="array" ref="F57:F57">INDEX($B$4:$O$28,MATCH($A57,$W$4:$W$28,0),COLUMN(E$1))</x:f>
        <x:v>211</x:v>
      </x:c>
      <x:c r="G57" s="21">
        <x:f t="shared" ref="G57:G80" si="11">SUM(C57:F57)</x:f>
        <x:v>885</x:v>
      </x:c>
      <x:c r="H57" s="22">
        <x:f t="shared" ref="H57:H80" si="12">G57/4</x:f>
        <x:v>221.25</x:v>
      </x:c>
      <x:c r="I57" s="23">
        <x:f>IF(B57="","",IFERROR(INDEX('회원명단 및 기준에버'!D:G,MATCH(B57,'회원명단 및 기준에버'!$C:$C,0),CHOOSE(INT((MONTH($N$2)-1)/3)+1,1,2,3,4)),""))</x:f>
        <x:v>200</x:v>
      </x:c>
      <x:c r="J57" s="5">
        <x:f>IFERROR(C57+-I57,0)</x:f>
        <x:v>56</x:v>
      </x:c>
      <x:c r="K57" s="5">
        <x:f>IFERROR(D57+-I57,0)</x:f>
        <x:v>26</x:v>
      </x:c>
      <x:c r="L57" s="5">
        <x:f>IFERROR(E57+-I57,0)</x:f>
        <x:v>-8</x:v>
      </x:c>
      <x:c r="M57" s="5">
        <x:f t="shared" ref="M57:M80" si="13">IFERROR(F57+-I57,0)</x:f>
        <x:v>11</x:v>
      </x:c>
      <x:c r="N57" s="6">
        <x:f t="shared" ref="N57:N80" si="14">SUM(J57:M57)</x:f>
        <x:v>85</x:v>
      </x:c>
      <x:c r="O57" s="24">
        <x:f>IFERROR(H57+-I57,0)</x:f>
        <x:v>21.25</x:v>
      </x:c>
    </x:row>
    <x:row r="58" spans="1:15" ht="25" customHeight="1">
      <x:c r="A58" s="18">
        <x:v>3</x:v>
      </x:c>
      <x:c r="B58" s="19" t="str">
        <x:f t="array" ref="B58:B58">INDEX($B$4:$O$28,MATCH($A58,$W$4:$W$28,0),COLUMN(A$1))</x:f>
        <x:v>황 인 교</x:v>
      </x:c>
      <x:c r="C58" s="20">
        <x:f t="array" ref="C58:C58">INDEX($B$4:$O$28,MATCH($A58,$W$4:$W$28,0),COLUMN(B$1))</x:f>
        <x:v>221</x:v>
      </x:c>
      <x:c r="D58" s="20">
        <x:f t="array" ref="D58:D58">INDEX($B$4:$O$28,MATCH($A58,$W$4:$W$28,0),COLUMN(C$1))</x:f>
        <x:v>190</x:v>
      </x:c>
      <x:c r="E58" s="20">
        <x:f t="array" ref="E58:E58">INDEX($B$4:$O$28,MATCH($A58,$W$4:$W$28,0),COLUMN(D$1))</x:f>
        <x:v>183</x:v>
      </x:c>
      <x:c r="F58" s="20">
        <x:f t="array" ref="F58:F58">INDEX($B$4:$O$28,MATCH($A58,$W$4:$W$28,0),COLUMN(E$1))</x:f>
        <x:v>199</x:v>
      </x:c>
      <x:c r="G58" s="21">
        <x:f t="shared" si="11"/>
        <x:v>793</x:v>
      </x:c>
      <x:c r="H58" s="22">
        <x:f t="shared" si="12"/>
        <x:v>198.25</x:v>
      </x:c>
      <x:c r="I58" s="23">
        <x:f>IF(B58="","",IFERROR(INDEX('회원명단 및 기준에버'!D:G,MATCH(B58,'회원명단 및 기준에버'!$C:$C,0),CHOOSE(INT((MONTH($N$2)-1)/3)+1,1,2,3,4)),""))</x:f>
        <x:v>184</x:v>
      </x:c>
      <x:c r="J58" s="5">
        <x:f t="shared" ref="J58:J80" si="15">IFERROR(C58+-I58,0)</x:f>
        <x:v>37</x:v>
      </x:c>
      <x:c r="K58" s="5">
        <x:f t="shared" ref="K58:K80" si="16">IFERROR(D58+-I58,0)</x:f>
        <x:v>6</x:v>
      </x:c>
      <x:c r="L58" s="5">
        <x:f t="shared" ref="L58:L80" si="17">IFERROR(E58+-I58,0)</x:f>
        <x:v>-1</x:v>
      </x:c>
      <x:c r="M58" s="5">
        <x:f t="shared" si="13"/>
        <x:v>15</x:v>
      </x:c>
      <x:c r="N58" s="6">
        <x:f t="shared" si="14"/>
        <x:v>57</x:v>
      </x:c>
      <x:c r="O58" s="24">
        <x:f t="shared" ref="O58:O80" si="18">IFERROR(H58+-I58,0)</x:f>
        <x:v>14.25</x:v>
      </x:c>
    </x:row>
    <x:row r="59" spans="1:15" ht="25" customHeight="1">
      <x:c r="A59" s="18">
        <x:v>4</x:v>
      </x:c>
      <x:c r="B59" s="19" t="str">
        <x:f t="array" ref="B59:B59">INDEX($B$4:$O$28,MATCH($A59,$W$4:$W$28,0),COLUMN(A$1))</x:f>
        <x:v>천 성 일</x:v>
      </x:c>
      <x:c r="C59" s="20">
        <x:f t="array" ref="C59:C59">INDEX($B$4:$O$28,MATCH($A59,$W$4:$W$28,0),COLUMN(B$1))</x:f>
        <x:v>190</x:v>
      </x:c>
      <x:c r="D59" s="20">
        <x:f t="array" ref="D59:D59">INDEX($B$4:$O$28,MATCH($A59,$W$4:$W$28,0),COLUMN(C$1))</x:f>
        <x:v>197</x:v>
      </x:c>
      <x:c r="E59" s="20">
        <x:f t="array" ref="E59:E59">INDEX($B$4:$O$28,MATCH($A59,$W$4:$W$28,0),COLUMN(D$1))</x:f>
        <x:v>217</x:v>
      </x:c>
      <x:c r="F59" s="20">
        <x:f t="array" ref="F59:F59">INDEX($B$4:$O$28,MATCH($A59,$W$4:$W$28,0),COLUMN(E$1))</x:f>
        <x:v>212</x:v>
      </x:c>
      <x:c r="G59" s="21">
        <x:f t="shared" si="11"/>
        <x:v>816</x:v>
      </x:c>
      <x:c r="H59" s="22">
        <x:f t="shared" si="12"/>
        <x:v>204</x:v>
      </x:c>
      <x:c r="I59" s="23">
        <x:f>IF(B59="","",IFERROR(INDEX('회원명단 및 기준에버'!D:G,MATCH(B59,'회원명단 및 기준에버'!$C:$C,0),CHOOSE(INT((MONTH($N$2)-1)/3)+1,1,2,3,4)),""))</x:f>
        <x:v>191</x:v>
      </x:c>
      <x:c r="J59" s="5">
        <x:f t="shared" si="15"/>
        <x:v>-1</x:v>
      </x:c>
      <x:c r="K59" s="5">
        <x:f t="shared" si="16"/>
        <x:v>6</x:v>
      </x:c>
      <x:c r="L59" s="5">
        <x:f t="shared" si="17"/>
        <x:v>26</x:v>
      </x:c>
      <x:c r="M59" s="5">
        <x:f t="shared" si="13"/>
        <x:v>21</x:v>
      </x:c>
      <x:c r="N59" s="6">
        <x:f t="shared" si="14"/>
        <x:v>52</x:v>
      </x:c>
      <x:c r="O59" s="24">
        <x:f t="shared" si="18"/>
        <x:v>13</x:v>
      </x:c>
    </x:row>
    <x:row r="60" spans="1:15" ht="25" customHeight="1">
      <x:c r="A60" s="18">
        <x:v>5</x:v>
      </x:c>
      <x:c r="B60" s="19" t="str">
        <x:f t="array" ref="B60:B60">INDEX($B$4:$O$28,MATCH($A60,$W$4:$W$28,0),COLUMN(A$1))</x:f>
        <x:v>박 성 현</x:v>
      </x:c>
      <x:c r="C60" s="20">
        <x:f t="array" ref="C60:C60">INDEX($B$4:$O$28,MATCH($A60,$W$4:$W$28,0),COLUMN(B$1))</x:f>
        <x:v>155</x:v>
      </x:c>
      <x:c r="D60" s="20">
        <x:f t="array" ref="D60:D60">INDEX($B$4:$O$28,MATCH($A60,$W$4:$W$28,0),COLUMN(C$1))</x:f>
        <x:v>257</x:v>
      </x:c>
      <x:c r="E60" s="20">
        <x:f t="array" ref="E60:E60">INDEX($B$4:$O$28,MATCH($A60,$W$4:$W$28,0),COLUMN(D$1))</x:f>
        <x:v>204</x:v>
      </x:c>
      <x:c r="F60" s="20">
        <x:f t="array" ref="F60:F60">INDEX($B$4:$O$28,MATCH($A60,$W$4:$W$28,0),COLUMN(E$1))</x:f>
        <x:v>178</x:v>
      </x:c>
      <x:c r="G60" s="21">
        <x:f t="shared" si="11"/>
        <x:v>794</x:v>
      </x:c>
      <x:c r="H60" s="22">
        <x:f t="shared" si="12"/>
        <x:v>198.5</x:v>
      </x:c>
      <x:c r="I60" s="23">
        <x:f>IF(B60="","",IFERROR(INDEX('회원명단 및 기준에버'!D:G,MATCH(B60,'회원명단 및 기준에버'!$C:$C,0),CHOOSE(INT((MONTH($N$2)-1)/3)+1,1,2,3,4)),""))</x:f>
        <x:v>191</x:v>
      </x:c>
      <x:c r="J60" s="5">
        <x:f t="shared" si="15"/>
        <x:v>-36</x:v>
      </x:c>
      <x:c r="K60" s="5">
        <x:f t="shared" si="16"/>
        <x:v>66</x:v>
      </x:c>
      <x:c r="L60" s="5">
        <x:f t="shared" si="17"/>
        <x:v>13</x:v>
      </x:c>
      <x:c r="M60" s="5">
        <x:f t="shared" si="13"/>
        <x:v>-13</x:v>
      </x:c>
      <x:c r="N60" s="6">
        <x:f t="shared" si="14"/>
        <x:v>30</x:v>
      </x:c>
      <x:c r="O60" s="24">
        <x:f t="shared" si="18"/>
        <x:v>7.5</x:v>
      </x:c>
    </x:row>
    <x:row r="61" spans="1:15" ht="25" customHeight="1">
      <x:c r="A61" s="18">
        <x:v>6</x:v>
      </x:c>
      <x:c r="B61" s="19" t="str">
        <x:f t="array" ref="B61:B61">INDEX($B$4:$O$28,MATCH($A61,$W$4:$W$28,0),COLUMN(A$1))</x:f>
        <x:v>손 은 주</x:v>
      </x:c>
      <x:c r="C61" s="20">
        <x:f t="array" ref="C61:C61">INDEX($B$4:$O$28,MATCH($A61,$W$4:$W$28,0),COLUMN(B$1))</x:f>
        <x:v>173</x:v>
      </x:c>
      <x:c r="D61" s="20">
        <x:f t="array" ref="D61:D61">INDEX($B$4:$O$28,MATCH($A61,$W$4:$W$28,0),COLUMN(C$1))</x:f>
        <x:v>142</x:v>
      </x:c>
      <x:c r="E61" s="20">
        <x:f t="array" ref="E61:E61">INDEX($B$4:$O$28,MATCH($A61,$W$4:$W$28,0),COLUMN(D$1))</x:f>
        <x:v>121</x:v>
      </x:c>
      <x:c r="F61" s="20">
        <x:f t="array" ref="F61:F61">INDEX($B$4:$O$28,MATCH($A61,$W$4:$W$28,0),COLUMN(E$1))</x:f>
        <x:v>156</x:v>
      </x:c>
      <x:c r="G61" s="21">
        <x:f t="shared" si="11"/>
        <x:v>592</x:v>
      </x:c>
      <x:c r="H61" s="22">
        <x:f t="shared" si="12"/>
        <x:v>148</x:v>
      </x:c>
      <x:c r="I61" s="23">
        <x:f>IF(B61="","",IFERROR(INDEX('회원명단 및 기준에버'!D:G,MATCH(B61,'회원명단 및 기준에버'!$C:$C,0),CHOOSE(INT((MONTH($N$2)-1)/3)+1,1,2,3,4)),""))</x:f>
        <x:v>144</x:v>
      </x:c>
      <x:c r="J61" s="5">
        <x:f t="shared" si="15"/>
        <x:v>29</x:v>
      </x:c>
      <x:c r="K61" s="5">
        <x:f t="shared" si="16"/>
        <x:v>-2</x:v>
      </x:c>
      <x:c r="L61" s="5">
        <x:f t="shared" si="17"/>
        <x:v>-23</x:v>
      </x:c>
      <x:c r="M61" s="5">
        <x:f t="shared" si="13"/>
        <x:v>12</x:v>
      </x:c>
      <x:c r="N61" s="6">
        <x:f t="shared" si="14"/>
        <x:v>16</x:v>
      </x:c>
      <x:c r="O61" s="24">
        <x:f t="shared" si="18"/>
        <x:v>4</x:v>
      </x:c>
    </x:row>
    <x:row r="62" spans="1:15" ht="25" customHeight="1">
      <x:c r="A62" s="18">
        <x:v>7</x:v>
      </x:c>
      <x:c r="B62" s="19" t="str">
        <x:f t="array" ref="B62:B62">INDEX($B$4:$O$28,MATCH($A62,$W$4:$W$28,0),COLUMN(A$1))</x:f>
        <x:v>이 대 용</x:v>
      </x:c>
      <x:c r="C62" s="20">
        <x:f t="array" ref="C62:C62">INDEX($B$4:$O$28,MATCH($A62,$W$4:$W$28,0),COLUMN(B$1))</x:f>
        <x:v>205</x:v>
      </x:c>
      <x:c r="D62" s="20">
        <x:f t="array" ref="D62:D62">INDEX($B$4:$O$28,MATCH($A62,$W$4:$W$28,0),COLUMN(C$1))</x:f>
        <x:v>253</x:v>
      </x:c>
      <x:c r="E62" s="20">
        <x:f t="array" ref="E62:E62">INDEX($B$4:$O$28,MATCH($A62,$W$4:$W$28,0),COLUMN(D$1))</x:f>
        <x:v>188</x:v>
      </x:c>
      <x:c r="F62" s="20">
        <x:f t="array" ref="F62:F62">INDEX($B$4:$O$28,MATCH($A62,$W$4:$W$28,0),COLUMN(E$1))</x:f>
        <x:v>168</x:v>
      </x:c>
      <x:c r="G62" s="21">
        <x:f t="shared" si="11"/>
        <x:v>814</x:v>
      </x:c>
      <x:c r="H62" s="22">
        <x:f t="shared" si="12"/>
        <x:v>203.5</x:v>
      </x:c>
      <x:c r="I62" s="23">
        <x:f>IF(B62="","",IFERROR(INDEX('회원명단 및 기준에버'!D:G,MATCH(B62,'회원명단 및 기준에버'!$C:$C,0),CHOOSE(INT((MONTH($N$2)-1)/3)+1,1,2,3,4)),""))</x:f>
        <x:v>200</x:v>
      </x:c>
      <x:c r="J62" s="5">
        <x:f t="shared" si="15"/>
        <x:v>5</x:v>
      </x:c>
      <x:c r="K62" s="5">
        <x:f t="shared" si="16"/>
        <x:v>53</x:v>
      </x:c>
      <x:c r="L62" s="5">
        <x:f t="shared" si="17"/>
        <x:v>-12</x:v>
      </x:c>
      <x:c r="M62" s="5">
        <x:f t="shared" si="13"/>
        <x:v>-32</x:v>
      </x:c>
      <x:c r="N62" s="6">
        <x:f t="shared" si="14"/>
        <x:v>14</x:v>
      </x:c>
      <x:c r="O62" s="24">
        <x:f t="shared" si="18"/>
        <x:v>3.5</x:v>
      </x:c>
    </x:row>
    <x:row r="63" spans="1:15" ht="25" customHeight="1">
      <x:c r="A63" s="18">
        <x:v>8</x:v>
      </x:c>
      <x:c r="B63" s="19" t="str">
        <x:f t="array" ref="B63:B63">INDEX($B$4:$O$28,MATCH($A63,$W$4:$W$28,0),COLUMN(A$1))</x:f>
        <x:v>이 승 미</x:v>
      </x:c>
      <x:c r="C63" s="20">
        <x:f t="array" ref="C63:C63">INDEX($B$4:$O$28,MATCH($A63,$W$4:$W$28,0),COLUMN(B$1))</x:f>
        <x:v>167</x:v>
      </x:c>
      <x:c r="D63" s="20">
        <x:f t="array" ref="D63:D63">INDEX($B$4:$O$28,MATCH($A63,$W$4:$W$28,0),COLUMN(C$1))</x:f>
        <x:v>163</x:v>
      </x:c>
      <x:c r="E63" s="20">
        <x:f t="array" ref="E63:E63">INDEX($B$4:$O$28,MATCH($A63,$W$4:$W$28,0),COLUMN(D$1))</x:f>
        <x:v>182</x:v>
      </x:c>
      <x:c r="F63" s="20">
        <x:f t="array" ref="F63:F63">INDEX($B$4:$O$28,MATCH($A63,$W$4:$W$28,0),COLUMN(E$1))</x:f>
        <x:v>160</x:v>
      </x:c>
      <x:c r="G63" s="21">
        <x:f t="shared" si="11"/>
        <x:v>672</x:v>
      </x:c>
      <x:c r="H63" s="22">
        <x:f t="shared" si="12"/>
        <x:v>168</x:v>
      </x:c>
      <x:c r="I63" s="23">
        <x:f>IF(B63="","",IFERROR(INDEX('회원명단 및 기준에버'!D:G,MATCH(B63,'회원명단 및 기준에버'!$C:$C,0),CHOOSE(INT((MONTH($N$2)-1)/3)+1,1,2,3,4)),""))</x:f>
        <x:v>165</x:v>
      </x:c>
      <x:c r="J63" s="5">
        <x:f t="shared" si="15"/>
        <x:v>2</x:v>
      </x:c>
      <x:c r="K63" s="5">
        <x:f t="shared" si="16"/>
        <x:v>-2</x:v>
      </x:c>
      <x:c r="L63" s="5">
        <x:f t="shared" si="17"/>
        <x:v>17</x:v>
      </x:c>
      <x:c r="M63" s="5">
        <x:f t="shared" si="13"/>
        <x:v>-5</x:v>
      </x:c>
      <x:c r="N63" s="6">
        <x:f t="shared" si="14"/>
        <x:v>12</x:v>
      </x:c>
      <x:c r="O63" s="24">
        <x:f t="shared" si="18"/>
        <x:v>3</x:v>
      </x:c>
    </x:row>
    <x:row r="64" spans="1:15" ht="25" customHeight="1">
      <x:c r="A64" s="18">
        <x:v>9</x:v>
      </x:c>
      <x:c r="B64" s="19" t="str">
        <x:f t="array" ref="B64:B64">INDEX($B$4:$O$28,MATCH($A64,$W$4:$W$28,0),COLUMN(A$1))</x:f>
        <x:v>김 정 희</x:v>
      </x:c>
      <x:c r="C64" s="20">
        <x:f t="array" ref="C64:C64">INDEX($B$4:$O$28,MATCH($A64,$W$4:$W$28,0),COLUMN(B$1))</x:f>
        <x:v>199</x:v>
      </x:c>
      <x:c r="D64" s="20">
        <x:f t="array" ref="D64:D64">INDEX($B$4:$O$28,MATCH($A64,$W$4:$W$28,0),COLUMN(C$1))</x:f>
        <x:v>198</x:v>
      </x:c>
      <x:c r="E64" s="20">
        <x:f t="array" ref="E64:E64">INDEX($B$4:$O$28,MATCH($A64,$W$4:$W$28,0),COLUMN(D$1))</x:f>
        <x:v>202</x:v>
      </x:c>
      <x:c r="F64" s="20">
        <x:f t="array" ref="F64:F64">INDEX($B$4:$O$28,MATCH($A64,$W$4:$W$28,0),COLUMN(E$1))</x:f>
        <x:v>0</x:v>
      </x:c>
      <x:c r="G64" s="21">
        <x:f t="shared" si="11"/>
        <x:v>599</x:v>
      </x:c>
      <x:c r="H64" s="22">
        <x:f>G64/3</x:f>
        <x:v>199.66666666666666</x:v>
      </x:c>
      <x:c r="I64" s="23">
        <x:f>IF(B64="","",IFERROR(INDEX('회원명단 및 기준에버'!D:G,MATCH(B64,'회원명단 및 기준에버'!$C:$C,0),CHOOSE(INT((MONTH($N$2)-1)/3)+1,1,2,3,4)),""))</x:f>
        <x:v>200</x:v>
      </x:c>
      <x:c r="J64" s="5">
        <x:f t="shared" si="15"/>
        <x:v>-1</x:v>
      </x:c>
      <x:c r="K64" s="5">
        <x:f t="shared" si="16"/>
        <x:v>-2</x:v>
      </x:c>
      <x:c r="L64" s="5">
        <x:f t="shared" si="17"/>
        <x:v>2</x:v>
      </x:c>
      <x:c r="M64" s="5">
        <x:v>0</x:v>
      </x:c>
      <x:c r="N64" s="6">
        <x:f t="shared" si="14"/>
        <x:v>-1</x:v>
      </x:c>
      <x:c r="O64" s="24">
        <x:f t="shared" si="18"/>
        <x:v>-0.33333333333334281</x:v>
      </x:c>
    </x:row>
    <x:row r="65" spans="1:15" ht="25" customHeight="1">
      <x:c r="A65" s="18">
        <x:v>10</x:v>
      </x:c>
      <x:c r="B65" s="19" t="str">
        <x:f t="array" ref="B65:B65">INDEX($B$4:$O$28,MATCH($A65,$W$4:$W$28,0),COLUMN(A$1))</x:f>
        <x:v>이 정 석</x:v>
      </x:c>
      <x:c r="C65" s="20">
        <x:f t="array" ref="C65:C65">INDEX($B$4:$O$28,MATCH($A65,$W$4:$W$28,0),COLUMN(B$1))</x:f>
        <x:v>179</x:v>
      </x:c>
      <x:c r="D65" s="20">
        <x:f t="array" ref="D65:D65">INDEX($B$4:$O$28,MATCH($A65,$W$4:$W$28,0),COLUMN(C$1))</x:f>
        <x:v>204</x:v>
      </x:c>
      <x:c r="E65" s="20">
        <x:f t="array" ref="E65:E65">INDEX($B$4:$O$28,MATCH($A65,$W$4:$W$28,0),COLUMN(D$1))</x:f>
        <x:v>201</x:v>
      </x:c>
      <x:c r="F65" s="20">
        <x:f t="array" ref="F65:F65">INDEX($B$4:$O$28,MATCH($A65,$W$4:$W$28,0),COLUMN(E$1))</x:f>
        <x:v>212</x:v>
      </x:c>
      <x:c r="G65" s="21">
        <x:f t="shared" si="11"/>
        <x:v>796</x:v>
      </x:c>
      <x:c r="H65" s="22">
        <x:f t="shared" si="12"/>
        <x:v>199</x:v>
      </x:c>
      <x:c r="I65" s="23">
        <x:f>IF(B65="","",IFERROR(INDEX('회원명단 및 기준에버'!D:G,MATCH(B65,'회원명단 및 기준에버'!$C:$C,0),CHOOSE(INT((MONTH($N$2)-1)/3)+1,1,2,3,4)),""))</x:f>
        <x:v>200</x:v>
      </x:c>
      <x:c r="J65" s="5">
        <x:f t="shared" si="15"/>
        <x:v>-21</x:v>
      </x:c>
      <x:c r="K65" s="5">
        <x:f t="shared" si="16"/>
        <x:v>4</x:v>
      </x:c>
      <x:c r="L65" s="5">
        <x:f t="shared" si="17"/>
        <x:v>1</x:v>
      </x:c>
      <x:c r="M65" s="5">
        <x:f t="shared" si="13"/>
        <x:v>12</x:v>
      </x:c>
      <x:c r="N65" s="6">
        <x:f t="shared" si="14"/>
        <x:v>-4</x:v>
      </x:c>
      <x:c r="O65" s="24">
        <x:f t="shared" si="18"/>
        <x:v>-1</x:v>
      </x:c>
    </x:row>
    <x:row r="66" spans="1:15" ht="25" customHeight="1">
      <x:c r="A66" s="18">
        <x:v>11</x:v>
      </x:c>
      <x:c r="B66" s="19" t="str">
        <x:f t="array" ref="B66:B66">INDEX($B$4:$O$28,MATCH($A66,$W$4:$W$28,0),COLUMN(A$1))</x:f>
        <x:v>고 경 훈</x:v>
      </x:c>
      <x:c r="C66" s="20">
        <x:f t="array" ref="C66:C66">INDEX($B$4:$O$28,MATCH($A66,$W$4:$W$28,0),COLUMN(B$1))</x:f>
        <x:v>209</x:v>
      </x:c>
      <x:c r="D66" s="20">
        <x:f t="array" ref="D66:D66">INDEX($B$4:$O$28,MATCH($A66,$W$4:$W$28,0),COLUMN(C$1))</x:f>
        <x:v>192</x:v>
      </x:c>
      <x:c r="E66" s="20">
        <x:f t="array" ref="E66:E66">INDEX($B$4:$O$28,MATCH($A66,$W$4:$W$28,0),COLUMN(D$1))</x:f>
        <x:v>182</x:v>
      </x:c>
      <x:c r="F66" s="20">
        <x:f t="array" ref="F66:F66">INDEX($B$4:$O$28,MATCH($A66,$W$4:$W$28,0),COLUMN(E$1))</x:f>
        <x:v>192</x:v>
      </x:c>
      <x:c r="G66" s="21">
        <x:f t="shared" si="11"/>
        <x:v>775</x:v>
      </x:c>
      <x:c r="H66" s="22">
        <x:f t="shared" si="12"/>
        <x:v>193.75</x:v>
      </x:c>
      <x:c r="I66" s="23">
        <x:f>IF(B66="","",IFERROR(INDEX('회원명단 및 기준에버'!D:G,MATCH(B66,'회원명단 및 기준에버'!$C:$C,0),CHOOSE(INT((MONTH($N$2)-1)/3)+1,1,2,3,4)),""))</x:f>
        <x:v>196</x:v>
      </x:c>
      <x:c r="J66" s="5">
        <x:f t="shared" si="15"/>
        <x:v>13</x:v>
      </x:c>
      <x:c r="K66" s="5">
        <x:f t="shared" si="16"/>
        <x:v>-4</x:v>
      </x:c>
      <x:c r="L66" s="5">
        <x:f t="shared" si="17"/>
        <x:v>-14</x:v>
      </x:c>
      <x:c r="M66" s="5">
        <x:f t="shared" si="13"/>
        <x:v>-4</x:v>
      </x:c>
      <x:c r="N66" s="6">
        <x:f t="shared" si="14"/>
        <x:v>-9</x:v>
      </x:c>
      <x:c r="O66" s="24">
        <x:f t="shared" si="18"/>
        <x:v>-2.25</x:v>
      </x:c>
    </x:row>
    <x:row r="67" spans="1:15" ht="25" customHeight="1">
      <x:c r="A67" s="18">
        <x:v>12</x:v>
      </x:c>
      <x:c r="B67" s="19" t="str">
        <x:f t="array" ref="B67:B67">INDEX($B$4:$O$28,MATCH($A67,$W$4:$W$28,0),COLUMN(A$1))</x:f>
        <x:v>장 영 민</x:v>
      </x:c>
      <x:c r="C67" s="20">
        <x:f t="array" ref="C67:C67">INDEX($B$4:$O$28,MATCH($A67,$W$4:$W$28,0),COLUMN(B$1))</x:f>
        <x:v>223</x:v>
      </x:c>
      <x:c r="D67" s="20">
        <x:f t="array" ref="D67:D67">INDEX($B$4:$O$28,MATCH($A67,$W$4:$W$28,0),COLUMN(C$1))</x:f>
        <x:v>149</x:v>
      </x:c>
      <x:c r="E67" s="20">
        <x:f t="array" ref="E67:E67">INDEX($B$4:$O$28,MATCH($A67,$W$4:$W$28,0),COLUMN(D$1))</x:f>
        <x:v>189</x:v>
      </x:c>
      <x:c r="F67" s="20">
        <x:f t="array" ref="F67:F67">INDEX($B$4:$O$28,MATCH($A67,$W$4:$W$28,0),COLUMN(E$1))</x:f>
        <x:v>225</x:v>
      </x:c>
      <x:c r="G67" s="21">
        <x:f t="shared" si="11"/>
        <x:v>786</x:v>
      </x:c>
      <x:c r="H67" s="22">
        <x:f t="shared" si="12"/>
        <x:v>196.5</x:v>
      </x:c>
      <x:c r="I67" s="23">
        <x:f>IF(B67="","",IFERROR(INDEX('회원명단 및 기준에버'!D:G,MATCH(B67,'회원명단 및 기준에버'!$C:$C,0),CHOOSE(INT((MONTH($N$2)-1)/3)+1,1,2,3,4)),""))</x:f>
        <x:v>200</x:v>
      </x:c>
      <x:c r="J67" s="5">
        <x:f t="shared" si="15"/>
        <x:v>23</x:v>
      </x:c>
      <x:c r="K67" s="5">
        <x:f t="shared" si="16"/>
        <x:v>-51</x:v>
      </x:c>
      <x:c r="L67" s="5">
        <x:f t="shared" si="17"/>
        <x:v>-11</x:v>
      </x:c>
      <x:c r="M67" s="5">
        <x:f t="shared" si="13"/>
        <x:v>25</x:v>
      </x:c>
      <x:c r="N67" s="6">
        <x:f t="shared" si="14"/>
        <x:v>-14</x:v>
      </x:c>
      <x:c r="O67" s="24">
        <x:f t="shared" si="18"/>
        <x:v>-3.5</x:v>
      </x:c>
    </x:row>
    <x:row r="68" spans="1:15" ht="25" customHeight="1">
      <x:c r="A68" s="18">
        <x:v>13</x:v>
      </x:c>
      <x:c r="B68" s="19" t="str">
        <x:f t="array" ref="B68:B68">INDEX($B$4:$O$28,MATCH($A68,$W$4:$W$28,0),COLUMN(A$1))</x:f>
        <x:v>변 상 필</x:v>
      </x:c>
      <x:c r="C68" s="20">
        <x:f t="array" ref="C68:C68">INDEX($B$4:$O$28,MATCH($A68,$W$4:$W$28,0),COLUMN(B$1))</x:f>
        <x:v>178</x:v>
      </x:c>
      <x:c r="D68" s="20">
        <x:f t="array" ref="D68:D68">INDEX($B$4:$O$28,MATCH($A68,$W$4:$W$28,0),COLUMN(C$1))</x:f>
        <x:v>162</x:v>
      </x:c>
      <x:c r="E68" s="20">
        <x:f t="array" ref="E68:E68">INDEX($B$4:$O$28,MATCH($A68,$W$4:$W$28,0),COLUMN(D$1))</x:f>
        <x:v>237</x:v>
      </x:c>
      <x:c r="F68" s="20">
        <x:f t="array" ref="F68:F68">INDEX($B$4:$O$28,MATCH($A68,$W$4:$W$28,0),COLUMN(E$1))</x:f>
        <x:v>209</x:v>
      </x:c>
      <x:c r="G68" s="21">
        <x:f t="shared" si="11"/>
        <x:v>786</x:v>
      </x:c>
      <x:c r="H68" s="22">
        <x:f t="shared" si="12"/>
        <x:v>196.5</x:v>
      </x:c>
      <x:c r="I68" s="23">
        <x:f>IF(B68="","",IFERROR(INDEX('회원명단 및 기준에버'!D:G,MATCH(B68,'회원명단 및 기준에버'!$C:$C,0),CHOOSE(INT((MONTH($N$2)-1)/3)+1,1,2,3,4)),""))</x:f>
        <x:v>200</x:v>
      </x:c>
      <x:c r="J68" s="5">
        <x:f t="shared" si="15"/>
        <x:v>-22</x:v>
      </x:c>
      <x:c r="K68" s="5">
        <x:f t="shared" si="16"/>
        <x:v>-38</x:v>
      </x:c>
      <x:c r="L68" s="5">
        <x:f t="shared" si="17"/>
        <x:v>37</x:v>
      </x:c>
      <x:c r="M68" s="5">
        <x:f t="shared" si="13"/>
        <x:v>9</x:v>
      </x:c>
      <x:c r="N68" s="6">
        <x:f t="shared" si="14"/>
        <x:v>-14</x:v>
      </x:c>
      <x:c r="O68" s="24">
        <x:f t="shared" si="18"/>
        <x:v>-3.5</x:v>
      </x:c>
    </x:row>
    <x:row r="69" spans="1:15" ht="25" customHeight="1">
      <x:c r="A69" s="18">
        <x:v>14</x:v>
      </x:c>
      <x:c r="B69" s="19" t="str">
        <x:f t="array" ref="B69:B69">INDEX($B$4:$O$28,MATCH($A69,$W$4:$W$28,0),COLUMN(A$1))</x:f>
        <x:v>김 미 란</x:v>
      </x:c>
      <x:c r="C69" s="20">
        <x:f t="array" ref="C69:C69">INDEX($B$4:$O$28,MATCH($A69,$W$4:$W$28,0),COLUMN(B$1))</x:f>
        <x:v>180</x:v>
      </x:c>
      <x:c r="D69" s="20">
        <x:f t="array" ref="D69:D69">INDEX($B$4:$O$28,MATCH($A69,$W$4:$W$28,0),COLUMN(C$1))</x:f>
        <x:v>156</x:v>
      </x:c>
      <x:c r="E69" s="20">
        <x:f t="array" ref="E69:E69">INDEX($B$4:$O$28,MATCH($A69,$W$4:$W$28,0),COLUMN(D$1))</x:f>
        <x:v>223</x:v>
      </x:c>
      <x:c r="F69" s="20">
        <x:f t="array" ref="F69:F69">INDEX($B$4:$O$28,MATCH($A69,$W$4:$W$28,0),COLUMN(E$1))</x:f>
        <x:v>159</x:v>
      </x:c>
      <x:c r="G69" s="21">
        <x:f t="shared" si="11"/>
        <x:v>718</x:v>
      </x:c>
      <x:c r="H69" s="22">
        <x:f t="shared" si="12"/>
        <x:v>179.5</x:v>
      </x:c>
      <x:c r="I69" s="23">
        <x:f>IF(B69="","",IFERROR(INDEX('회원명단 및 기준에버'!D:G,MATCH(B69,'회원명단 및 기준에버'!$C:$C,0),CHOOSE(INT((MONTH($N$2)-1)/3)+1,1,2,3,4)),""))</x:f>
        <x:v>183</x:v>
      </x:c>
      <x:c r="J69" s="5">
        <x:f t="shared" si="15"/>
        <x:v>-3</x:v>
      </x:c>
      <x:c r="K69" s="5">
        <x:f t="shared" si="16"/>
        <x:v>-27</x:v>
      </x:c>
      <x:c r="L69" s="5">
        <x:f t="shared" si="17"/>
        <x:v>40</x:v>
      </x:c>
      <x:c r="M69" s="5">
        <x:f t="shared" si="13"/>
        <x:v>-24</x:v>
      </x:c>
      <x:c r="N69" s="6">
        <x:f t="shared" si="14"/>
        <x:v>-14</x:v>
      </x:c>
      <x:c r="O69" s="24">
        <x:f t="shared" si="18"/>
        <x:v>-3.5</x:v>
      </x:c>
    </x:row>
    <x:row r="70" spans="1:15" ht="25" customHeight="1">
      <x:c r="A70" s="18">
        <x:v>15</x:v>
      </x:c>
      <x:c r="B70" s="19" t="str">
        <x:f t="array" ref="B70:B70">INDEX($B$4:$O$28,MATCH($A70,$W$4:$W$28,0),COLUMN(A$1))</x:f>
        <x:v>임 승 기</x:v>
      </x:c>
      <x:c r="C70" s="20">
        <x:f t="array" ref="C70:C70">INDEX($B$4:$O$28,MATCH($A70,$W$4:$W$28,0),COLUMN(B$1))</x:f>
        <x:v>198</x:v>
      </x:c>
      <x:c r="D70" s="20">
        <x:f t="array" ref="D70:D70">INDEX($B$4:$O$28,MATCH($A70,$W$4:$W$28,0),COLUMN(C$1))</x:f>
        <x:v>211</x:v>
      </x:c>
      <x:c r="E70" s="20">
        <x:f t="array" ref="E70:E70">INDEX($B$4:$O$28,MATCH($A70,$W$4:$W$28,0),COLUMN(D$1))</x:f>
        <x:v>174</x:v>
      </x:c>
      <x:c r="F70" s="20">
        <x:f t="array" ref="F70:F70">INDEX($B$4:$O$28,MATCH($A70,$W$4:$W$28,0),COLUMN(E$1))</x:f>
        <x:v>203</x:v>
      </x:c>
      <x:c r="G70" s="21">
        <x:f t="shared" si="11"/>
        <x:v>786</x:v>
      </x:c>
      <x:c r="H70" s="22">
        <x:f t="shared" si="12"/>
        <x:v>196.5</x:v>
      </x:c>
      <x:c r="I70" s="23">
        <x:f>IF(B70="","",IFERROR(INDEX('회원명단 및 기준에버'!D:G,MATCH(B70,'회원명단 및 기준에버'!$C:$C,0),CHOOSE(INT((MONTH($N$2)-1)/3)+1,1,2,3,4)),""))</x:f>
        <x:v>200</x:v>
      </x:c>
      <x:c r="J70" s="5">
        <x:f t="shared" si="15"/>
        <x:v>-2</x:v>
      </x:c>
      <x:c r="K70" s="5">
        <x:f t="shared" si="16"/>
        <x:v>11</x:v>
      </x:c>
      <x:c r="L70" s="5">
        <x:f t="shared" si="17"/>
        <x:v>-26</x:v>
      </x:c>
      <x:c r="M70" s="5">
        <x:f t="shared" si="13"/>
        <x:v>3</x:v>
      </x:c>
      <x:c r="N70" s="6">
        <x:f t="shared" si="14"/>
        <x:v>-14</x:v>
      </x:c>
      <x:c r="O70" s="24">
        <x:f t="shared" si="18"/>
        <x:v>-3.5</x:v>
      </x:c>
    </x:row>
    <x:row r="71" spans="1:15" ht="25" customHeight="1">
      <x:c r="A71" s="18">
        <x:v>16</x:v>
      </x:c>
      <x:c r="B71" s="19" t="str">
        <x:f t="array" ref="B71:B71">INDEX($B$4:$O$28,MATCH($A71,$W$4:$W$28,0),COLUMN(A$1))</x:f>
        <x:v>정 영 우</x:v>
      </x:c>
      <x:c r="C71" s="20">
        <x:f t="array" ref="C71:C71">INDEX($B$4:$O$28,MATCH($A71,$W$4:$W$28,0),COLUMN(B$1))</x:f>
        <x:v>181</x:v>
      </x:c>
      <x:c r="D71" s="20">
        <x:f t="array" ref="D71:D71">INDEX($B$4:$O$28,MATCH($A71,$W$4:$W$28,0),COLUMN(C$1))</x:f>
        <x:v>191</x:v>
      </x:c>
      <x:c r="E71" s="20">
        <x:f t="array" ref="E71:E71">INDEX($B$4:$O$28,MATCH($A71,$W$4:$W$28,0),COLUMN(D$1))</x:f>
        <x:v>192</x:v>
      </x:c>
      <x:c r="F71" s="20">
        <x:f t="array" ref="F71:F71">INDEX($B$4:$O$28,MATCH($A71,$W$4:$W$28,0),COLUMN(E$1))</x:f>
        <x:v>169</x:v>
      </x:c>
      <x:c r="G71" s="21">
        <x:f t="shared" si="11"/>
        <x:v>733</x:v>
      </x:c>
      <x:c r="H71" s="22">
        <x:f t="shared" si="12"/>
        <x:v>183.25</x:v>
      </x:c>
      <x:c r="I71" s="23">
        <x:f>IF(B71="","",IFERROR(INDEX('회원명단 및 기준에버'!D:G,MATCH(B71,'회원명단 및 기준에버'!$C:$C,0),CHOOSE(INT((MONTH($N$2)-1)/3)+1,1,2,3,4)),""))</x:f>
        <x:v>194</x:v>
      </x:c>
      <x:c r="J71" s="5">
        <x:f t="shared" si="15"/>
        <x:v>-13</x:v>
      </x:c>
      <x:c r="K71" s="5">
        <x:f t="shared" si="16"/>
        <x:v>-3</x:v>
      </x:c>
      <x:c r="L71" s="5">
        <x:f t="shared" si="17"/>
        <x:v>-2</x:v>
      </x:c>
      <x:c r="M71" s="5">
        <x:f t="shared" si="13"/>
        <x:v>-25</x:v>
      </x:c>
      <x:c r="N71" s="6">
        <x:f t="shared" si="14"/>
        <x:v>-43</x:v>
      </x:c>
      <x:c r="O71" s="24">
        <x:f t="shared" si="18"/>
        <x:v>-10.75</x:v>
      </x:c>
    </x:row>
    <x:row r="72" spans="1:15" ht="25" customHeight="1">
      <x:c r="A72" s="18">
        <x:v>17</x:v>
      </x:c>
      <x:c r="B72" s="19" t="str">
        <x:f t="array" ref="B72:B72">INDEX($B$4:$O$28,MATCH($A72,$W$4:$W$28,0),COLUMN(A$1))</x:f>
        <x:v>이 범 수</x:v>
      </x:c>
      <x:c r="C72" s="20">
        <x:f t="array" ref="C72:C72">INDEX($B$4:$O$28,MATCH($A72,$W$4:$W$28,0),COLUMN(B$1))</x:f>
        <x:v>182</x:v>
      </x:c>
      <x:c r="D72" s="20">
        <x:f t="array" ref="D72:D72">INDEX($B$4:$O$28,MATCH($A72,$W$4:$W$28,0),COLUMN(C$1))</x:f>
        <x:v>180</x:v>
      </x:c>
      <x:c r="E72" s="20">
        <x:f t="array" ref="E72:E72">INDEX($B$4:$O$28,MATCH($A72,$W$4:$W$28,0),COLUMN(D$1))</x:f>
        <x:v>207</x:v>
      </x:c>
      <x:c r="F72" s="20">
        <x:f t="array" ref="F72:F72">INDEX($B$4:$O$28,MATCH($A72,$W$4:$W$28,0),COLUMN(E$1))</x:f>
        <x:v>179</x:v>
      </x:c>
      <x:c r="G72" s="21">
        <x:f t="shared" si="11"/>
        <x:v>748</x:v>
      </x:c>
      <x:c r="H72" s="22">
        <x:f t="shared" si="12"/>
        <x:v>187</x:v>
      </x:c>
      <x:c r="I72" s="23">
        <x:f>IF(B72="","",IFERROR(INDEX('회원명단 및 기준에버'!D:G,MATCH(B72,'회원명단 및 기준에버'!$C:$C,0),CHOOSE(INT((MONTH($N$2)-1)/3)+1,1,2,3,4)),""))</x:f>
        <x:v>200</x:v>
      </x:c>
      <x:c r="J72" s="5">
        <x:f t="shared" si="15"/>
        <x:v>-18</x:v>
      </x:c>
      <x:c r="K72" s="5">
        <x:f t="shared" si="16"/>
        <x:v>-20</x:v>
      </x:c>
      <x:c r="L72" s="5">
        <x:f t="shared" si="17"/>
        <x:v>7</x:v>
      </x:c>
      <x:c r="M72" s="5">
        <x:f t="shared" si="13"/>
        <x:v>-21</x:v>
      </x:c>
      <x:c r="N72" s="6">
        <x:f t="shared" si="14"/>
        <x:v>-52</x:v>
      </x:c>
      <x:c r="O72" s="24">
        <x:f t="shared" si="18"/>
        <x:v>-13</x:v>
      </x:c>
    </x:row>
    <x:row r="73" spans="1:15" ht="25" customHeight="1">
      <x:c r="A73" s="18">
        <x:v>18</x:v>
      </x:c>
      <x:c r="B73" s="19" t="str">
        <x:f t="array" ref="B73:B73">INDEX($B$4:$O$28,MATCH($A73,$W$4:$W$28,0),COLUMN(A$1))</x:f>
        <x:v>진 명 옥</x:v>
      </x:c>
      <x:c r="C73" s="20">
        <x:f t="array" ref="C73:C73">INDEX($B$4:$O$28,MATCH($A73,$W$4:$W$28,0),COLUMN(B$1))</x:f>
        <x:v>157</x:v>
      </x:c>
      <x:c r="D73" s="20">
        <x:f t="array" ref="D73:D73">INDEX($B$4:$O$28,MATCH($A73,$W$4:$W$28,0),COLUMN(C$1))</x:f>
        <x:v>145</x:v>
      </x:c>
      <x:c r="E73" s="20">
        <x:f t="array" ref="E73:E73">INDEX($B$4:$O$28,MATCH($A73,$W$4:$W$28,0),COLUMN(D$1))</x:f>
        <x:v>196</x:v>
      </x:c>
      <x:c r="F73" s="20">
        <x:f t="array" ref="F73:F73">INDEX($B$4:$O$28,MATCH($A73,$W$4:$W$28,0),COLUMN(E$1))</x:f>
        <x:v>154</x:v>
      </x:c>
      <x:c r="G73" s="21">
        <x:f t="shared" si="11"/>
        <x:v>652</x:v>
      </x:c>
      <x:c r="H73" s="22">
        <x:f t="shared" si="12"/>
        <x:v>163</x:v>
      </x:c>
      <x:c r="I73" s="23">
        <x:f>IF(B73="","",IFERROR(INDEX('회원명단 및 기준에버'!D:G,MATCH(B73,'회원명단 및 기준에버'!$C:$C,0),CHOOSE(INT((MONTH($N$2)-1)/3)+1,1,2,3,4)),""))</x:f>
        <x:v>179</x:v>
      </x:c>
      <x:c r="J73" s="5">
        <x:f t="shared" si="15"/>
        <x:v>-22</x:v>
      </x:c>
      <x:c r="K73" s="5">
        <x:f t="shared" si="16"/>
        <x:v>-34</x:v>
      </x:c>
      <x:c r="L73" s="5">
        <x:f t="shared" si="17"/>
        <x:v>17</x:v>
      </x:c>
      <x:c r="M73" s="5">
        <x:f t="shared" si="13"/>
        <x:v>-25</x:v>
      </x:c>
      <x:c r="N73" s="6">
        <x:f t="shared" si="14"/>
        <x:v>-64</x:v>
      </x:c>
      <x:c r="O73" s="24">
        <x:f t="shared" si="18"/>
        <x:v>-16</x:v>
      </x:c>
    </x:row>
    <x:row r="74" spans="1:15" ht="25" customHeight="1">
      <x:c r="A74" s="18">
        <x:v>19</x:v>
      </x:c>
      <x:c r="B74" s="19" t="str">
        <x:f t="array" ref="B74:B74">INDEX($B$4:$O$28,MATCH($A74,$W$4:$W$28,0),COLUMN(A$1))</x:f>
        <x:v>송 정 현</x:v>
      </x:c>
      <x:c r="C74" s="20">
        <x:f t="array" ref="C74:C74">INDEX($B$4:$O$28,MATCH($A74,$W$4:$W$28,0),COLUMN(B$1))</x:f>
        <x:v>144</x:v>
      </x:c>
      <x:c r="D74" s="20">
        <x:f t="array" ref="D74:D74">INDEX($B$4:$O$28,MATCH($A74,$W$4:$W$28,0),COLUMN(C$1))</x:f>
        <x:v>144</x:v>
      </x:c>
      <x:c r="E74" s="20">
        <x:f t="array" ref="E74:E74">INDEX($B$4:$O$28,MATCH($A74,$W$4:$W$28,0),COLUMN(D$1))</x:f>
        <x:v>215</x:v>
      </x:c>
      <x:c r="F74" s="20">
        <x:f t="array" ref="F74:F74">INDEX($B$4:$O$28,MATCH($A74,$W$4:$W$28,0),COLUMN(E$1))</x:f>
        <x:v>226</x:v>
      </x:c>
      <x:c r="G74" s="21">
        <x:f t="shared" si="11"/>
        <x:v>729</x:v>
      </x:c>
      <x:c r="H74" s="22">
        <x:f t="shared" si="12"/>
        <x:v>182.25</x:v>
      </x:c>
      <x:c r="I74" s="23">
        <x:f>IF(B74="","",IFERROR(INDEX('회원명단 및 기준에버'!D:G,MATCH(B74,'회원명단 및 기준에버'!$C:$C,0),CHOOSE(INT((MONTH($N$2)-1)/3)+1,1,2,3,4)),""))</x:f>
        <x:v>200</x:v>
      </x:c>
      <x:c r="J74" s="5">
        <x:f t="shared" si="15"/>
        <x:v>-56</x:v>
      </x:c>
      <x:c r="K74" s="5">
        <x:f t="shared" si="16"/>
        <x:v>-56</x:v>
      </x:c>
      <x:c r="L74" s="5">
        <x:f t="shared" si="17"/>
        <x:v>15</x:v>
      </x:c>
      <x:c r="M74" s="5">
        <x:f t="shared" si="13"/>
        <x:v>26</x:v>
      </x:c>
      <x:c r="N74" s="6">
        <x:f t="shared" si="14"/>
        <x:v>-71</x:v>
      </x:c>
      <x:c r="O74" s="24">
        <x:f t="shared" si="18"/>
        <x:v>-17.75</x:v>
      </x:c>
    </x:row>
    <x:row r="75" spans="1:15" ht="25" customHeight="1">
      <x:c r="A75" s="18">
        <x:v>20</x:v>
      </x:c>
      <x:c r="B75" s="19" t="str">
        <x:f t="array" ref="B75:B75">INDEX($B$4:$O$28,MATCH($A75,$W$4:$W$28,0),COLUMN(A$1))</x:f>
        <x:v>나 경 주</x:v>
      </x:c>
      <x:c r="C75" s="20">
        <x:f t="array" ref="C75:C75">INDEX($B$4:$O$28,MATCH($A75,$W$4:$W$28,0),COLUMN(B$1))</x:f>
        <x:v>194</x:v>
      </x:c>
      <x:c r="D75" s="20">
        <x:f t="array" ref="D75:D75">INDEX($B$4:$O$28,MATCH($A75,$W$4:$W$28,0),COLUMN(C$1))</x:f>
        <x:v>167</x:v>
      </x:c>
      <x:c r="E75" s="20">
        <x:f t="array" ref="E75:E75">INDEX($B$4:$O$28,MATCH($A75,$W$4:$W$28,0),COLUMN(D$1))</x:f>
        <x:v>166</x:v>
      </x:c>
      <x:c r="F75" s="20">
        <x:f t="array" ref="F75:F75">INDEX($B$4:$O$28,MATCH($A75,$W$4:$W$28,0),COLUMN(E$1))</x:f>
        <x:v>179</x:v>
      </x:c>
      <x:c r="G75" s="21">
        <x:f t="shared" si="11"/>
        <x:v>706</x:v>
      </x:c>
      <x:c r="H75" s="22">
        <x:f t="shared" si="12"/>
        <x:v>176.5</x:v>
      </x:c>
      <x:c r="I75" s="23">
        <x:f>IF(B75="","",IFERROR(INDEX('회원명단 및 기준에버'!D:G,MATCH(B75,'회원명단 및 기준에버'!$C:$C,0),CHOOSE(INT((MONTH($N$2)-1)/3)+1,1,2,3,4)),""))</x:f>
        <x:v>195</x:v>
      </x:c>
      <x:c r="J75" s="5">
        <x:f t="shared" si="15"/>
        <x:v>-1</x:v>
      </x:c>
      <x:c r="K75" s="5">
        <x:f t="shared" si="16"/>
        <x:v>-28</x:v>
      </x:c>
      <x:c r="L75" s="5">
        <x:f t="shared" si="17"/>
        <x:v>-29</x:v>
      </x:c>
      <x:c r="M75" s="5">
        <x:f t="shared" si="13"/>
        <x:v>-16</x:v>
      </x:c>
      <x:c r="N75" s="6">
        <x:f t="shared" si="14"/>
        <x:v>-74</x:v>
      </x:c>
      <x:c r="O75" s="24">
        <x:f t="shared" si="18"/>
        <x:v>-18.5</x:v>
      </x:c>
    </x:row>
    <x:row r="76" spans="1:15" ht="25" customHeight="1">
      <x:c r="A76" s="18">
        <x:v>21</x:v>
      </x:c>
      <x:c r="B76" s="19" t="str">
        <x:f t="array" ref="B76:B76">INDEX($B$4:$O$28,MATCH($A76,$W$4:$W$28,0),COLUMN(A$1))</x:f>
        <x:v>김 규 희</x:v>
      </x:c>
      <x:c r="C76" s="20">
        <x:f t="array" ref="C76:C76">INDEX($B$4:$O$28,MATCH($A76,$W$4:$W$28,0),COLUMN(B$1))</x:f>
        <x:v>202</x:v>
      </x:c>
      <x:c r="D76" s="20">
        <x:f t="array" ref="D76:D76">INDEX($B$4:$O$28,MATCH($A76,$W$4:$W$28,0),COLUMN(C$1))</x:f>
        <x:v>162</x:v>
      </x:c>
      <x:c r="E76" s="20">
        <x:f t="array" ref="E76:E76">INDEX($B$4:$O$28,MATCH($A76,$W$4:$W$28,0),COLUMN(D$1))</x:f>
        <x:v>148</x:v>
      </x:c>
      <x:c r="F76" s="20">
        <x:f t="array" ref="F76:F76">INDEX($B$4:$O$28,MATCH($A76,$W$4:$W$28,0),COLUMN(E$1))</x:f>
        <x:v>135</x:v>
      </x:c>
      <x:c r="G76" s="21">
        <x:f t="shared" si="11"/>
        <x:v>647</x:v>
      </x:c>
      <x:c r="H76" s="22">
        <x:f t="shared" si="12"/>
        <x:v>161.75</x:v>
      </x:c>
      <x:c r="I76" s="23">
        <x:f>IF(B76="","",IFERROR(INDEX('회원명단 및 기준에버'!D:G,MATCH(B76,'회원명단 및 기준에버'!$C:$C,0),CHOOSE(INT((MONTH($N$2)-1)/3)+1,1,2,3,4)),""))</x:f>
        <x:v>182</x:v>
      </x:c>
      <x:c r="J76" s="5">
        <x:f t="shared" si="15"/>
        <x:v>20</x:v>
      </x:c>
      <x:c r="K76" s="5">
        <x:f t="shared" si="16"/>
        <x:v>-20</x:v>
      </x:c>
      <x:c r="L76" s="5">
        <x:f t="shared" si="17"/>
        <x:v>-34</x:v>
      </x:c>
      <x:c r="M76" s="5">
        <x:f t="shared" si="13"/>
        <x:v>-47</x:v>
      </x:c>
      <x:c r="N76" s="6">
        <x:f t="shared" si="14"/>
        <x:v>-81</x:v>
      </x:c>
      <x:c r="O76" s="24">
        <x:f t="shared" si="18"/>
        <x:v>-20.25</x:v>
      </x:c>
    </x:row>
    <x:row r="77" spans="1:15" ht="25" customHeight="1">
      <x:c r="A77" s="18">
        <x:v>22</x:v>
      </x:c>
      <x:c r="B77" s="19" t="str">
        <x:f t="array" ref="B77:B77">INDEX($B$4:$O$28,MATCH($A77,$W$4:$W$28,0),COLUMN(A$1))</x:f>
        <x:v>지 옥 명</x:v>
      </x:c>
      <x:c r="C77" s="20">
        <x:f t="array" ref="C77:C77">INDEX($B$4:$O$28,MATCH($A77,$W$4:$W$28,0),COLUMN(B$1))</x:f>
        <x:v>166</x:v>
      </x:c>
      <x:c r="D77" s="20">
        <x:f t="array" ref="D77:D77">INDEX($B$4:$O$28,MATCH($A77,$W$4:$W$28,0),COLUMN(C$1))</x:f>
        <x:v>143</x:v>
      </x:c>
      <x:c r="E77" s="20">
        <x:f t="array" ref="E77:E77">INDEX($B$4:$O$28,MATCH($A77,$W$4:$W$28,0),COLUMN(D$1))</x:f>
        <x:v>184</x:v>
      </x:c>
      <x:c r="F77" s="20">
        <x:f t="array" ref="F77:F77">INDEX($B$4:$O$28,MATCH($A77,$W$4:$W$28,0),COLUMN(E$1))</x:f>
        <x:v>131</x:v>
      </x:c>
      <x:c r="G77" s="21">
        <x:f t="shared" si="11"/>
        <x:v>624</x:v>
      </x:c>
      <x:c r="H77" s="22">
        <x:f t="shared" si="12"/>
        <x:v>156</x:v>
      </x:c>
      <x:c r="I77" s="23">
        <x:f>IF(B77="","",IFERROR(INDEX('회원명단 및 기준에버'!D:G,MATCH(B77,'회원명단 및 기준에버'!$C:$C,0),CHOOSE(INT((MONTH($N$2)-1)/3)+1,1,2,3,4)),""))</x:f>
        <x:v>177</x:v>
      </x:c>
      <x:c r="J77" s="5">
        <x:f t="shared" si="15"/>
        <x:v>-11</x:v>
      </x:c>
      <x:c r="K77" s="5">
        <x:f t="shared" si="16"/>
        <x:v>-34</x:v>
      </x:c>
      <x:c r="L77" s="5">
        <x:f t="shared" si="17"/>
        <x:v>7</x:v>
      </x:c>
      <x:c r="M77" s="5">
        <x:f t="shared" si="13"/>
        <x:v>-46</x:v>
      </x:c>
      <x:c r="N77" s="6">
        <x:f t="shared" si="14"/>
        <x:v>-84</x:v>
      </x:c>
      <x:c r="O77" s="24">
        <x:f t="shared" si="18"/>
        <x:v>-21</x:v>
      </x:c>
    </x:row>
    <x:row r="78" spans="1:15" ht="25" customHeight="1">
      <x:c r="A78" s="18">
        <x:v>23</x:v>
      </x:c>
      <x:c r="B78" s="19" t="str">
        <x:f t="array" ref="B78:B78">INDEX($B$4:$O$28,MATCH($A78,$W$4:$W$28,0),COLUMN(A$1))</x:f>
        <x:v>이 상 현</x:v>
      </x:c>
      <x:c r="C78" s="20">
        <x:f t="array" ref="C78:C78">INDEX($B$4:$O$28,MATCH($A78,$W$4:$W$28,0),COLUMN(B$1))</x:f>
        <x:v>183</x:v>
      </x:c>
      <x:c r="D78" s="20">
        <x:f t="array" ref="D78:D78">INDEX($B$4:$O$28,MATCH($A78,$W$4:$W$28,0),COLUMN(C$1))</x:f>
        <x:v>140</x:v>
      </x:c>
      <x:c r="E78" s="20">
        <x:f t="array" ref="E78:E78">INDEX($B$4:$O$28,MATCH($A78,$W$4:$W$28,0),COLUMN(D$1))</x:f>
        <x:v>197</x:v>
      </x:c>
      <x:c r="F78" s="20">
        <x:f t="array" ref="F78:F78">INDEX($B$4:$O$28,MATCH($A78,$W$4:$W$28,0),COLUMN(E$1))</x:f>
        <x:v>169</x:v>
      </x:c>
      <x:c r="G78" s="21">
        <x:f t="shared" si="11"/>
        <x:v>689</x:v>
      </x:c>
      <x:c r="H78" s="22">
        <x:f t="shared" si="12"/>
        <x:v>172.25</x:v>
      </x:c>
      <x:c r="I78" s="23">
        <x:f>IF(B78="","",IFERROR(INDEX('회원명단 및 기준에버'!D:G,MATCH(B78,'회원명단 및 기준에버'!$C:$C,0),CHOOSE(INT((MONTH($N$2)-1)/3)+1,1,2,3,4)),""))</x:f>
        <x:v>195</x:v>
      </x:c>
      <x:c r="J78" s="5">
        <x:f t="shared" si="15"/>
        <x:v>-12</x:v>
      </x:c>
      <x:c r="K78" s="5">
        <x:f t="shared" si="16"/>
        <x:v>-55</x:v>
      </x:c>
      <x:c r="L78" s="5">
        <x:f t="shared" si="17"/>
        <x:v>2</x:v>
      </x:c>
      <x:c r="M78" s="5">
        <x:f t="shared" si="13"/>
        <x:v>-26</x:v>
      </x:c>
      <x:c r="N78" s="6">
        <x:f t="shared" si="14"/>
        <x:v>-91</x:v>
      </x:c>
      <x:c r="O78" s="24">
        <x:f t="shared" si="18"/>
        <x:v>-22.75</x:v>
      </x:c>
    </x:row>
    <x:row r="79" spans="1:15" ht="25" customHeight="1">
      <x:c r="A79" s="18">
        <x:v>24</x:v>
      </x:c>
      <x:c r="B79" s="19" t="str">
        <x:f t="array" ref="B79:B79">INDEX($B$4:$O$28,MATCH($A79,$W$4:$W$28,0),COLUMN(A$1))</x:f>
        <x:v>이 우 석</x:v>
      </x:c>
      <x:c r="C79" s="20">
        <x:f t="array" ref="C79:C79">INDEX($B$4:$O$28,MATCH($A79,$W$4:$W$28,0),COLUMN(B$1))</x:f>
        <x:v>187</x:v>
      </x:c>
      <x:c r="D79" s="20">
        <x:f t="array" ref="D79:D79">INDEX($B$4:$O$28,MATCH($A79,$W$4:$W$28,0),COLUMN(C$1))</x:f>
        <x:v>159</x:v>
      </x:c>
      <x:c r="E79" s="20">
        <x:f t="array" ref="E79:E79">INDEX($B$4:$O$28,MATCH($A79,$W$4:$W$28,0),COLUMN(D$1))</x:f>
        <x:v>191</x:v>
      </x:c>
      <x:c r="F79" s="20">
        <x:f t="array" ref="F79:F79">INDEX($B$4:$O$28,MATCH($A79,$W$4:$W$28,0),COLUMN(E$1))</x:f>
        <x:v>166</x:v>
      </x:c>
      <x:c r="G79" s="21">
        <x:f t="shared" si="11"/>
        <x:v>703</x:v>
      </x:c>
      <x:c r="H79" s="22">
        <x:f t="shared" si="12"/>
        <x:v>175.75</x:v>
      </x:c>
      <x:c r="I79" s="23">
        <x:f>IF(B79="","",IFERROR(INDEX('회원명단 및 기준에버'!D:G,MATCH(B79,'회원명단 및 기준에버'!$C:$C,0),CHOOSE(INT((MONTH($N$2)-1)/3)+1,1,2,3,4)),""))</x:f>
        <x:v>199</x:v>
      </x:c>
      <x:c r="J79" s="5">
        <x:f t="shared" si="15"/>
        <x:v>-12</x:v>
      </x:c>
      <x:c r="K79" s="5">
        <x:f t="shared" si="16"/>
        <x:v>-40</x:v>
      </x:c>
      <x:c r="L79" s="5">
        <x:f t="shared" si="17"/>
        <x:v>-8</x:v>
      </x:c>
      <x:c r="M79" s="5">
        <x:f t="shared" si="13"/>
        <x:v>-33</x:v>
      </x:c>
      <x:c r="N79" s="6">
        <x:f t="shared" si="14"/>
        <x:v>-93</x:v>
      </x:c>
      <x:c r="O79" s="24">
        <x:f t="shared" si="18"/>
        <x:v>-23.25</x:v>
      </x:c>
    </x:row>
    <x:row r="80" spans="1:15" ht="25" customHeight="1">
      <x:c r="A80" s="18">
        <x:v>25</x:v>
      </x:c>
      <x:c r="B80" s="19" t="str">
        <x:f t="array" ref="B80:B80">INDEX($B$4:$O$28,MATCH($A80,$W$4:$W$28,0),COLUMN(A$1))</x:f>
        <x:v>김 태 환</x:v>
      </x:c>
      <x:c r="C80" s="20">
        <x:f t="array" ref="C80:C80">INDEX($B$4:$O$28,MATCH($A80,$W$4:$W$28,0),COLUMN(B$1))</x:f>
        <x:v>161</x:v>
      </x:c>
      <x:c r="D80" s="20">
        <x:f t="array" ref="D80:D80">INDEX($B$4:$O$28,MATCH($A80,$W$4:$W$28,0),COLUMN(C$1))</x:f>
        <x:v>173</x:v>
      </x:c>
      <x:c r="E80" s="20">
        <x:f t="array" ref="E80:E80">INDEX($B$4:$O$28,MATCH($A80,$W$4:$W$28,0),COLUMN(D$1))</x:f>
        <x:v>194</x:v>
      </x:c>
      <x:c r="F80" s="20">
        <x:f t="array" ref="F80:F80">INDEX($B$4:$O$28,MATCH($A80,$W$4:$W$28,0),COLUMN(E$1))</x:f>
        <x:v>171</x:v>
      </x:c>
      <x:c r="G80" s="21">
        <x:f t="shared" si="11"/>
        <x:v>699</x:v>
      </x:c>
      <x:c r="H80" s="22">
        <x:f t="shared" si="12"/>
        <x:v>174.75</x:v>
      </x:c>
      <x:c r="I80" s="23">
        <x:f>IF(B80="","",IFERROR(INDEX('회원명단 및 기준에버'!D:G,MATCH(B80,'회원명단 및 기준에버'!$C:$C,0),CHOOSE(INT((MONTH($N$2)-1)/3)+1,1,2,3,4)),""))</x:f>
        <x:v>199</x:v>
      </x:c>
      <x:c r="J80" s="5">
        <x:f t="shared" si="15"/>
        <x:v>-38</x:v>
      </x:c>
      <x:c r="K80" s="5">
        <x:f t="shared" si="16"/>
        <x:v>-26</x:v>
      </x:c>
      <x:c r="L80" s="5">
        <x:f t="shared" si="17"/>
        <x:v>-5</x:v>
      </x:c>
      <x:c r="M80" s="5">
        <x:f t="shared" si="13"/>
        <x:v>-28</x:v>
      </x:c>
      <x:c r="N80" s="6">
        <x:f t="shared" si="14"/>
        <x:v>-97</x:v>
      </x:c>
      <x:c r="O80" s="24">
        <x:f t="shared" si="18"/>
        <x:v>-24.25</x:v>
      </x:c>
    </x:row>
    <x:row r="81" spans="2:15" ht="24.949999999999999" customHeight="1">
      <x:c r="B81" s="120" t="s">
        <x:v>21</x:v>
      </x:c>
      <x:c r="C81" s="121"/>
      <x:c r="D81" s="121"/>
      <x:c r="E81" s="121"/>
      <x:c r="F81" s="120"/>
      <x:c r="G81" s="121"/>
      <x:c r="H81" s="121"/>
      <x:c r="I81" s="121"/>
      <x:c r="J81" s="121"/>
      <x:c r="K81" s="121"/>
      <x:c r="L81" s="121"/>
      <x:c r="M81" s="120"/>
      <x:c r="N81" s="121"/>
      <x:c r="O81" s="122"/>
    </x:row>
    <x:row r="82" spans="2:15" ht="24.949999999999999" customHeight="1">
      <x:c r="B82" s="13" t="str">
        <x:f t="shared" ref="B82:G86" si="19">IF(B30="","",B30)</x:f>
        <x:v>장 영 민</x:v>
      </x:c>
      <x:c r="C82" s="49">
        <x:f t="shared" si="19"/>
        <x:v>23</x:v>
      </x:c>
      <x:c r="D82" s="49">
        <x:f t="shared" si="19"/>
        <x:v>-51</x:v>
      </x:c>
      <x:c r="E82" s="49">
        <x:f t="shared" si="19"/>
        <x:v>-11</x:v>
      </x:c>
      <x:c r="F82" s="49">
        <x:f t="shared" si="19"/>
        <x:v>25</x:v>
      </x:c>
      <x:c r="G82" s="123">
        <x:f t="shared" si="19"/>
        <x:v>80</x:v>
      </x:c>
      <x:c r="H82" s="115"/>
      <x:c r="I82" s="50" t="str">
        <x:f t="shared" ref="I82:N86" si="20">IF(I30="","",I30)</x:f>
        <x:v>최 현 수</x:v>
      </x:c>
      <x:c r="J82" s="49">
        <x:f t="shared" si="20"/>
        <x:v>56</x:v>
      </x:c>
      <x:c r="K82" s="49">
        <x:f t="shared" si="20"/>
        <x:v>26</x:v>
      </x:c>
      <x:c r="L82" s="49">
        <x:f t="shared" si="20"/>
        <x:v>-8</x:v>
      </x:c>
      <x:c r="M82" s="49">
        <x:f t="shared" si="20"/>
        <x:v>11</x:v>
      </x:c>
      <x:c r="N82" s="129">
        <x:f t="shared" si="20"/>
        <x:v>227</x:v>
      </x:c>
      <x:c r="O82" s="126"/>
    </x:row>
    <x:row r="83" spans="2:15" ht="24.949999999999999" customHeight="1">
      <x:c r="B83" s="18" t="str">
        <x:f t="shared" si="19"/>
        <x:v>김 정 희</x:v>
      </x:c>
      <x:c r="C83" s="5">
        <x:f t="shared" si="19"/>
        <x:v>-1</x:v>
      </x:c>
      <x:c r="D83" s="5">
        <x:f t="shared" si="19"/>
        <x:v>-2</x:v>
      </x:c>
      <x:c r="E83" s="5">
        <x:f t="shared" si="19"/>
        <x:v>2</x:v>
      </x:c>
      <x:c r="F83" s="5">
        <x:f t="shared" si="19"/>
        <x:v>0</x:v>
      </x:c>
      <x:c r="G83" s="124" t="str">
        <x:f t="shared" si="19"/>
        <x:v/>
      </x:c>
      <x:c r="H83" s="116"/>
      <x:c r="I83" s="18" t="str">
        <x:f t="shared" si="20"/>
        <x:v>이 승 미</x:v>
      </x:c>
      <x:c r="J83" s="5">
        <x:f t="shared" si="20"/>
        <x:v>2</x:v>
      </x:c>
      <x:c r="K83" s="5">
        <x:f t="shared" si="20"/>
        <x:v>-2</x:v>
      </x:c>
      <x:c r="L83" s="5">
        <x:f t="shared" si="20"/>
        <x:v>17</x:v>
      </x:c>
      <x:c r="M83" s="5">
        <x:f t="shared" si="20"/>
        <x:v>-5</x:v>
      </x:c>
      <x:c r="N83" s="130" t="str">
        <x:f t="shared" si="20"/>
        <x:v/>
      </x:c>
      <x:c r="O83" s="127"/>
    </x:row>
    <x:row r="84" spans="2:15" ht="24.949999999999999" customHeight="1">
      <x:c r="B84" s="18" t="str">
        <x:f t="shared" si="19"/>
        <x:v>황 인 교</x:v>
      </x:c>
      <x:c r="C84" s="5">
        <x:f t="shared" si="19"/>
        <x:v>37</x:v>
      </x:c>
      <x:c r="D84" s="5">
        <x:f t="shared" si="19"/>
        <x:v>6</x:v>
      </x:c>
      <x:c r="E84" s="5">
        <x:f t="shared" si="19"/>
        <x:v>-1</x:v>
      </x:c>
      <x:c r="F84" s="5">
        <x:f t="shared" si="19"/>
        <x:v>15</x:v>
      </x:c>
      <x:c r="G84" s="124" t="str">
        <x:f t="shared" si="19"/>
        <x:v/>
      </x:c>
      <x:c r="H84" s="116"/>
      <x:c r="I84" s="18" t="str">
        <x:f t="shared" si="20"/>
        <x:v>박 성 현</x:v>
      </x:c>
      <x:c r="J84" s="5">
        <x:f t="shared" si="20"/>
        <x:v>-36</x:v>
      </x:c>
      <x:c r="K84" s="5">
        <x:f t="shared" si="20"/>
        <x:v>66</x:v>
      </x:c>
      <x:c r="L84" s="5">
        <x:f t="shared" si="20"/>
        <x:v>13</x:v>
      </x:c>
      <x:c r="M84" s="5">
        <x:f t="shared" si="20"/>
        <x:v>-13</x:v>
      </x:c>
      <x:c r="N84" s="130" t="str">
        <x:f t="shared" si="20"/>
        <x:v/>
      </x:c>
      <x:c r="O84" s="127"/>
    </x:row>
    <x:row r="85" spans="2:15" ht="24.949999999999999" customHeight="1">
      <x:c r="B85" s="18" t="str">
        <x:f t="shared" si="19"/>
        <x:v>천 성 일</x:v>
      </x:c>
      <x:c r="C85" s="5">
        <x:f t="shared" si="19"/>
        <x:v>-1</x:v>
      </x:c>
      <x:c r="D85" s="5">
        <x:f t="shared" si="19"/>
        <x:v>6</x:v>
      </x:c>
      <x:c r="E85" s="5">
        <x:f t="shared" si="19"/>
        <x:v>26</x:v>
      </x:c>
      <x:c r="F85" s="5">
        <x:f t="shared" si="19"/>
        <x:v>21</x:v>
      </x:c>
      <x:c r="G85" s="124" t="str">
        <x:f t="shared" si="19"/>
        <x:v/>
      </x:c>
      <x:c r="H85" s="116"/>
      <x:c r="I85" s="18" t="str">
        <x:f t="shared" si="20"/>
        <x:v>고 경 훈</x:v>
      </x:c>
      <x:c r="J85" s="5">
        <x:f t="shared" si="20"/>
        <x:v>13</x:v>
      </x:c>
      <x:c r="K85" s="5">
        <x:f t="shared" si="20"/>
        <x:v>-4</x:v>
      </x:c>
      <x:c r="L85" s="5">
        <x:f t="shared" si="20"/>
        <x:v>-14</x:v>
      </x:c>
      <x:c r="M85" s="5">
        <x:f t="shared" si="20"/>
        <x:v>-4</x:v>
      </x:c>
      <x:c r="N85" s="130" t="str">
        <x:f t="shared" si="20"/>
        <x:v/>
      </x:c>
      <x:c r="O85" s="127"/>
    </x:row>
    <x:row r="86" spans="2:15" ht="24.949999999999999" customHeight="1">
      <x:c r="B86" s="18" t="str">
        <x:f t="shared" si="19"/>
        <x:v>김 미 란</x:v>
      </x:c>
      <x:c r="C86" s="5">
        <x:f t="shared" si="19"/>
        <x:v>-3</x:v>
      </x:c>
      <x:c r="D86" s="5">
        <x:f t="shared" si="19"/>
        <x:v>-27</x:v>
      </x:c>
      <x:c r="E86" s="5">
        <x:f t="shared" si="19"/>
        <x:v>40</x:v>
      </x:c>
      <x:c r="F86" s="5">
        <x:f t="shared" si="19"/>
        <x:v>-24</x:v>
      </x:c>
      <x:c r="G86" s="124" t="str">
        <x:f t="shared" si="19"/>
        <x:v/>
      </x:c>
      <x:c r="H86" s="116"/>
      <x:c r="I86" s="18" t="str">
        <x:f t="shared" si="20"/>
        <x:v>임 연 진</x:v>
      </x:c>
      <x:c r="J86" s="5">
        <x:f t="shared" si="20"/>
        <x:v>3</x:v>
      </x:c>
      <x:c r="K86" s="5">
        <x:f t="shared" si="20"/>
        <x:v>69</x:v>
      </x:c>
      <x:c r="L86" s="5">
        <x:f t="shared" si="20"/>
        <x:v>26</x:v>
      </x:c>
      <x:c r="M86" s="5">
        <x:f t="shared" si="20"/>
        <x:v>11</x:v>
      </x:c>
      <x:c r="N86" s="130" t="str">
        <x:f t="shared" si="20"/>
        <x:v/>
      </x:c>
      <x:c r="O86" s="127"/>
    </x:row>
    <x:row r="87" spans="2:15" ht="24.949999999999999" customHeight="1">
      <x:c r="B87" s="30" t="str">
        <x:f t="shared" ref="B87:G87" si="21">IF(B35="","",B35)</x:f>
        <x:v/>
      </x:c>
      <x:c r="C87" s="51">
        <x:f t="shared" si="21"/>
        <x:v>55</x:v>
      </x:c>
      <x:c r="D87" s="51">
        <x:f t="shared" si="21"/>
        <x:v>-68</x:v>
      </x:c>
      <x:c r="E87" s="51">
        <x:f t="shared" si="21"/>
        <x:v>56</x:v>
      </x:c>
      <x:c r="F87" s="51">
        <x:f t="shared" si="21"/>
        <x:v>37</x:v>
      </x:c>
      <x:c r="G87" s="125" t="str">
        <x:f t="shared" si="21"/>
        <x:v/>
      </x:c>
      <x:c r="H87" s="117"/>
      <x:c r="I87" s="30" t="str">
        <x:f t="shared" ref="I87:N87" si="22">IF(I35="","",I35)</x:f>
        <x:v/>
      </x:c>
      <x:c r="J87" s="51">
        <x:f t="shared" si="22"/>
        <x:v>38</x:v>
      </x:c>
      <x:c r="K87" s="51">
        <x:f t="shared" si="22"/>
        <x:v>155</x:v>
      </x:c>
      <x:c r="L87" s="51">
        <x:f t="shared" si="22"/>
        <x:v>34</x:v>
      </x:c>
      <x:c r="M87" s="51">
        <x:f t="shared" si="22"/>
        <x:v>0</x:v>
      </x:c>
      <x:c r="N87" s="131" t="str">
        <x:f t="shared" si="22"/>
        <x:v/>
      </x:c>
      <x:c r="O87" s="128"/>
    </x:row>
    <x:row r="88" spans="2:15" ht="9.9499999999999993" customHeight="1"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</x:row>
    <x:row r="89" spans="2:15" ht="24.949999999999999" customHeight="1">
      <x:c r="B89" s="13" t="str">
        <x:f t="shared" ref="B89:O93" si="23">IF(B37="","",B37)</x:f>
        <x:v>이 대 용</x:v>
      </x:c>
      <x:c r="C89" s="49">
        <x:f t="shared" si="23"/>
        <x:v>5</x:v>
      </x:c>
      <x:c r="D89" s="49">
        <x:f t="shared" si="23"/>
        <x:v>53</x:v>
      </x:c>
      <x:c r="E89" s="49">
        <x:f t="shared" si="23"/>
        <x:v>-12</x:v>
      </x:c>
      <x:c r="F89" s="49">
        <x:f t="shared" si="23"/>
        <x:v>-32</x:v>
      </x:c>
      <x:c r="G89" s="129">
        <x:f t="shared" si="23"/>
        <x:v>-280</x:v>
      </x:c>
      <x:c r="H89" s="126">
        <x:f t="shared" si="23"/>
        <x:v>4</x:v>
      </x:c>
      <x:c r="I89" s="50" t="str">
        <x:f t="shared" si="23"/>
        <x:v>임 승 기</x:v>
      </x:c>
      <x:c r="J89" s="49">
        <x:f t="shared" si="23"/>
        <x:v>-2</x:v>
      </x:c>
      <x:c r="K89" s="49">
        <x:f t="shared" si="23"/>
        <x:v>11</x:v>
      </x:c>
      <x:c r="L89" s="49">
        <x:f t="shared" si="23"/>
        <x:v>-26</x:v>
      </x:c>
      <x:c r="M89" s="49">
        <x:f t="shared" si="23"/>
        <x:v>3</x:v>
      </x:c>
      <x:c r="N89" s="129">
        <x:f t="shared" si="23"/>
        <x:v>-222</x:v>
      </x:c>
      <x:c r="O89" s="126">
        <x:f t="shared" si="23"/>
        <x:v>3</x:v>
      </x:c>
    </x:row>
    <x:row r="90" spans="2:15" ht="24.949999999999999" customHeight="1">
      <x:c r="B90" s="18" t="str">
        <x:f t="shared" si="23"/>
        <x:v>지 옥 명</x:v>
      </x:c>
      <x:c r="C90" s="5">
        <x:f t="shared" si="23"/>
        <x:v>-11</x:v>
      </x:c>
      <x:c r="D90" s="5">
        <x:f t="shared" si="23"/>
        <x:v>-34</x:v>
      </x:c>
      <x:c r="E90" s="5">
        <x:f t="shared" si="23"/>
        <x:v>7</x:v>
      </x:c>
      <x:c r="F90" s="5">
        <x:f t="shared" si="23"/>
        <x:v>-46</x:v>
      </x:c>
      <x:c r="G90" s="130" t="str">
        <x:f t="shared" si="23"/>
        <x:v/>
      </x:c>
      <x:c r="H90" s="127" t="str">
        <x:f t="shared" si="23"/>
        <x:v/>
      </x:c>
      <x:c r="I90" s="18" t="str">
        <x:f t="shared" si="23"/>
        <x:v>김 규 희</x:v>
      </x:c>
      <x:c r="J90" s="5">
        <x:f t="shared" si="23"/>
        <x:v>20</x:v>
      </x:c>
      <x:c r="K90" s="5">
        <x:f t="shared" si="23"/>
        <x:v>-20</x:v>
      </x:c>
      <x:c r="L90" s="5">
        <x:f t="shared" si="23"/>
        <x:v>-34</x:v>
      </x:c>
      <x:c r="M90" s="5">
        <x:f t="shared" si="23"/>
        <x:v>-47</x:v>
      </x:c>
      <x:c r="N90" s="130" t="str">
        <x:f t="shared" si="23"/>
        <x:v/>
      </x:c>
      <x:c r="O90" s="127" t="str">
        <x:f t="shared" si="23"/>
        <x:v/>
      </x:c>
    </x:row>
    <x:row r="91" spans="2:15" ht="24.949999999999999" customHeight="1">
      <x:c r="B91" s="18" t="str">
        <x:f t="shared" si="23"/>
        <x:v>정 영 우</x:v>
      </x:c>
      <x:c r="C91" s="5">
        <x:f t="shared" si="23"/>
        <x:v>-13</x:v>
      </x:c>
      <x:c r="D91" s="5">
        <x:f t="shared" si="23"/>
        <x:v>-3</x:v>
      </x:c>
      <x:c r="E91" s="5">
        <x:f t="shared" si="23"/>
        <x:v>-2</x:v>
      </x:c>
      <x:c r="F91" s="5">
        <x:f t="shared" si="23"/>
        <x:v>-25</x:v>
      </x:c>
      <x:c r="G91" s="130" t="str">
        <x:f t="shared" si="23"/>
        <x:v/>
      </x:c>
      <x:c r="H91" s="127" t="str">
        <x:f t="shared" si="23"/>
        <x:v/>
      </x:c>
      <x:c r="I91" s="18" t="str">
        <x:f t="shared" si="23"/>
        <x:v>이 상 현</x:v>
      </x:c>
      <x:c r="J91" s="5">
        <x:f t="shared" si="23"/>
        <x:v>-12</x:v>
      </x:c>
      <x:c r="K91" s="5">
        <x:f t="shared" si="23"/>
        <x:v>-55</x:v>
      </x:c>
      <x:c r="L91" s="5">
        <x:f t="shared" si="23"/>
        <x:v>2</x:v>
      </x:c>
      <x:c r="M91" s="5">
        <x:f t="shared" si="23"/>
        <x:v>-26</x:v>
      </x:c>
      <x:c r="N91" s="130" t="str">
        <x:f t="shared" si="23"/>
        <x:v/>
      </x:c>
      <x:c r="O91" s="127" t="str">
        <x:f t="shared" si="23"/>
        <x:v/>
      </x:c>
    </x:row>
    <x:row r="92" spans="2:15" ht="24.949999999999999" customHeight="1">
      <x:c r="B92" s="18" t="str">
        <x:f t="shared" si="23"/>
        <x:v>이 우 석</x:v>
      </x:c>
      <x:c r="C92" s="5">
        <x:f t="shared" si="23"/>
        <x:v>-12</x:v>
      </x:c>
      <x:c r="D92" s="5">
        <x:f t="shared" si="23"/>
        <x:v>-40</x:v>
      </x:c>
      <x:c r="E92" s="5">
        <x:f t="shared" si="23"/>
        <x:v>-8</x:v>
      </x:c>
      <x:c r="F92" s="5">
        <x:f t="shared" si="23"/>
        <x:v>-33</x:v>
      </x:c>
      <x:c r="G92" s="130" t="str">
        <x:f t="shared" si="23"/>
        <x:v/>
      </x:c>
      <x:c r="H92" s="127" t="str">
        <x:f t="shared" si="23"/>
        <x:v/>
      </x:c>
      <x:c r="I92" s="18" t="str">
        <x:f t="shared" si="23"/>
        <x:v>이 범 수</x:v>
      </x:c>
      <x:c r="J92" s="5">
        <x:f t="shared" si="23"/>
        <x:v>-18</x:v>
      </x:c>
      <x:c r="K92" s="5">
        <x:f t="shared" si="23"/>
        <x:v>-20</x:v>
      </x:c>
      <x:c r="L92" s="5">
        <x:f t="shared" si="23"/>
        <x:v>7</x:v>
      </x:c>
      <x:c r="M92" s="5">
        <x:f t="shared" si="23"/>
        <x:v>-21</x:v>
      </x:c>
      <x:c r="N92" s="130" t="str">
        <x:f t="shared" si="23"/>
        <x:v/>
      </x:c>
      <x:c r="O92" s="127" t="str">
        <x:f t="shared" si="23"/>
        <x:v/>
      </x:c>
    </x:row>
    <x:row r="93" spans="2:15" ht="24.949999999999999" customHeight="1">
      <x:c r="B93" s="18" t="str">
        <x:f t="shared" si="23"/>
        <x:v>나 경 주</x:v>
      </x:c>
      <x:c r="C93" s="5">
        <x:f t="shared" si="23"/>
        <x:v>-1</x:v>
      </x:c>
      <x:c r="D93" s="5">
        <x:f t="shared" si="23"/>
        <x:v>-28</x:v>
      </x:c>
      <x:c r="E93" s="5">
        <x:f t="shared" si="23"/>
        <x:v>-29</x:v>
      </x:c>
      <x:c r="F93" s="5">
        <x:f t="shared" si="23"/>
        <x:v>-16</x:v>
      </x:c>
      <x:c r="G93" s="130" t="str">
        <x:f t="shared" si="23"/>
        <x:v/>
      </x:c>
      <x:c r="H93" s="127" t="str">
        <x:f t="shared" si="23"/>
        <x:v/>
      </x:c>
      <x:c r="I93" s="18" t="str">
        <x:f t="shared" si="23"/>
        <x:v>손 은 주</x:v>
      </x:c>
      <x:c r="J93" s="5">
        <x:f t="shared" si="23"/>
        <x:v>29</x:v>
      </x:c>
      <x:c r="K93" s="5">
        <x:f t="shared" si="23"/>
        <x:v>-2</x:v>
      </x:c>
      <x:c r="L93" s="5">
        <x:f t="shared" si="23"/>
        <x:v>-23</x:v>
      </x:c>
      <x:c r="M93" s="5">
        <x:f t="shared" si="23"/>
        <x:v>12</x:v>
      </x:c>
      <x:c r="N93" s="130" t="str">
        <x:f t="shared" si="23"/>
        <x:v/>
      </x:c>
      <x:c r="O93" s="127" t="str">
        <x:f t="shared" si="23"/>
        <x:v/>
      </x:c>
    </x:row>
    <x:row r="94" spans="2:15" ht="24.949999999999999" customHeight="1">
      <x:c r="B94" s="30" t="str">
        <x:f t="shared" ref="B94:O94" si="24">IF(B42="","",B42)</x:f>
        <x:v/>
      </x:c>
      <x:c r="C94" s="51">
        <x:f t="shared" si="24"/>
        <x:v>-32</x:v>
      </x:c>
      <x:c r="D94" s="51">
        <x:f t="shared" si="24"/>
        <x:v>-52</x:v>
      </x:c>
      <x:c r="E94" s="51">
        <x:f t="shared" si="24"/>
        <x:v>-44</x:v>
      </x:c>
      <x:c r="F94" s="51">
        <x:f t="shared" si="24"/>
        <x:v>-152</x:v>
      </x:c>
      <x:c r="G94" s="131" t="str">
        <x:f t="shared" si="24"/>
        <x:v/>
      </x:c>
      <x:c r="H94" s="128" t="str">
        <x:f t="shared" si="24"/>
        <x:v/>
      </x:c>
      <x:c r="I94" s="30" t="str">
        <x:f t="shared" si="24"/>
        <x:v/>
      </x:c>
      <x:c r="J94" s="51">
        <x:f t="shared" si="24"/>
        <x:v>17</x:v>
      </x:c>
      <x:c r="K94" s="51">
        <x:f t="shared" si="24"/>
        <x:v>-86</x:v>
      </x:c>
      <x:c r="L94" s="51">
        <x:f t="shared" si="24"/>
        <x:v>-74</x:v>
      </x:c>
      <x:c r="M94" s="51">
        <x:f t="shared" si="24"/>
        <x:v>-79</x:v>
      </x:c>
      <x:c r="N94" s="131" t="str">
        <x:f t="shared" si="24"/>
        <x:v/>
      </x:c>
      <x:c r="O94" s="128" t="str">
        <x:f t="shared" si="24"/>
        <x:v/>
      </x:c>
    </x:row>
    <x:row r="95" spans="10:13" ht="9.9499999999999993" customHeight="1">
      <x:c r="J95" s="52"/>
      <x:c r="K95" s="52"/>
      <x:c r="L95" s="52"/>
      <x:c r="M95" s="52"/>
    </x:row>
    <x:row r="96" spans="2:15" ht="24.949999999999999" customHeight="1">
      <x:c r="B96" s="13" t="str">
        <x:f t="shared" ref="B96:H100" si="25">IF(B44="","",B44)</x:f>
        <x:v>변 상 필</x:v>
      </x:c>
      <x:c r="C96" s="49">
        <x:f t="shared" si="25"/>
        <x:v>-22</x:v>
      </x:c>
      <x:c r="D96" s="49">
        <x:f t="shared" si="25"/>
        <x:v>-38</x:v>
      </x:c>
      <x:c r="E96" s="49">
        <x:f t="shared" si="25"/>
        <x:v>37</x:v>
      </x:c>
      <x:c r="F96" s="49">
        <x:f t="shared" si="25"/>
        <x:v>9</x:v>
      </x:c>
      <x:c r="G96" s="123">
        <x:f t="shared" si="25"/>
        <x:v>-250</x:v>
      </x:c>
      <x:c r="H96" s="115">
        <x:f t="shared" si="25"/>
        <x:v>5</x:v>
      </x:c>
      <x:c r="I96" s="11"/>
      <x:c r="J96" s="37"/>
      <x:c r="K96" s="37"/>
      <x:c r="L96" s="37"/>
      <x:c r="M96" s="37"/>
      <x:c r="N96" s="118"/>
      <x:c r="O96" s="119"/>
    </x:row>
    <x:row r="97" spans="2:15" ht="24.949999999999999" customHeight="1">
      <x:c r="B97" s="18" t="str">
        <x:f t="shared" si="25"/>
        <x:v>진 명 옥</x:v>
      </x:c>
      <x:c r="C97" s="5">
        <x:f t="shared" si="25"/>
        <x:v>-22</x:v>
      </x:c>
      <x:c r="D97" s="5">
        <x:f t="shared" si="25"/>
        <x:v>-34</x:v>
      </x:c>
      <x:c r="E97" s="5">
        <x:f t="shared" si="25"/>
        <x:v>17</x:v>
      </x:c>
      <x:c r="F97" s="5">
        <x:f t="shared" si="25"/>
        <x:v>-25</x:v>
      </x:c>
      <x:c r="G97" s="124" t="str">
        <x:f t="shared" si="25"/>
        <x:v/>
      </x:c>
      <x:c r="H97" s="116" t="str">
        <x:f t="shared" si="25"/>
        <x:v/>
      </x:c>
      <x:c r="I97" s="11"/>
      <x:c r="J97" s="37"/>
      <x:c r="K97" s="37"/>
      <x:c r="L97" s="37"/>
      <x:c r="M97" s="37"/>
      <x:c r="N97" s="118"/>
      <x:c r="O97" s="119"/>
    </x:row>
    <x:row r="98" spans="2:15" ht="24.949999999999999" customHeight="1">
      <x:c r="B98" s="18" t="str">
        <x:f t="shared" si="25"/>
        <x:v>이 정 석</x:v>
      </x:c>
      <x:c r="C98" s="5">
        <x:f t="shared" si="25"/>
        <x:v>-21</x:v>
      </x:c>
      <x:c r="D98" s="5">
        <x:f t="shared" si="25"/>
        <x:v>4</x:v>
      </x:c>
      <x:c r="E98" s="5">
        <x:f t="shared" si="25"/>
        <x:v>1</x:v>
      </x:c>
      <x:c r="F98" s="5">
        <x:f t="shared" si="25"/>
        <x:v>12</x:v>
      </x:c>
      <x:c r="G98" s="124" t="str">
        <x:f t="shared" si="25"/>
        <x:v/>
      </x:c>
      <x:c r="H98" s="116" t="str">
        <x:f t="shared" si="25"/>
        <x:v/>
      </x:c>
      <x:c r="I98" s="11"/>
      <x:c r="J98" s="37"/>
      <x:c r="K98" s="37"/>
      <x:c r="L98" s="37"/>
      <x:c r="M98" s="37"/>
      <x:c r="N98" s="118"/>
      <x:c r="O98" s="119"/>
    </x:row>
    <x:row r="99" spans="2:15" ht="24.949999999999999" customHeight="1">
      <x:c r="B99" s="18" t="str">
        <x:f t="shared" si="25"/>
        <x:v>김 태 환</x:v>
      </x:c>
      <x:c r="C99" s="5">
        <x:f t="shared" si="25"/>
        <x:v>-38</x:v>
      </x:c>
      <x:c r="D99" s="5">
        <x:f t="shared" si="25"/>
        <x:v>-26</x:v>
      </x:c>
      <x:c r="E99" s="5">
        <x:f t="shared" si="25"/>
        <x:v>-5</x:v>
      </x:c>
      <x:c r="F99" s="5">
        <x:f t="shared" si="25"/>
        <x:v>-28</x:v>
      </x:c>
      <x:c r="G99" s="124" t="str">
        <x:f t="shared" si="25"/>
        <x:v/>
      </x:c>
      <x:c r="H99" s="116" t="str">
        <x:f t="shared" si="25"/>
        <x:v/>
      </x:c>
      <x:c r="I99" s="11"/>
      <x:c r="J99" s="37"/>
      <x:c r="K99" s="37"/>
      <x:c r="L99" s="37"/>
      <x:c r="M99" s="37"/>
      <x:c r="N99" s="118"/>
      <x:c r="O99" s="119"/>
    </x:row>
    <x:row r="100" spans="2:15" ht="24.949999999999999" customHeight="1">
      <x:c r="B100" s="18" t="str">
        <x:f t="shared" si="25"/>
        <x:v>송 정 현</x:v>
      </x:c>
      <x:c r="C100" s="5">
        <x:f t="shared" si="25"/>
        <x:v>-56</x:v>
      </x:c>
      <x:c r="D100" s="5">
        <x:f t="shared" si="25"/>
        <x:v>-56</x:v>
      </x:c>
      <x:c r="E100" s="5">
        <x:f t="shared" si="25"/>
        <x:v>15</x:v>
      </x:c>
      <x:c r="F100" s="5">
        <x:f t="shared" si="25"/>
        <x:v>26</x:v>
      </x:c>
      <x:c r="G100" s="124" t="str">
        <x:f t="shared" si="25"/>
        <x:v/>
      </x:c>
      <x:c r="H100" s="116" t="str">
        <x:f t="shared" si="25"/>
        <x:v/>
      </x:c>
      <x:c r="I100" s="11"/>
      <x:c r="J100" s="37"/>
      <x:c r="K100" s="37"/>
      <x:c r="L100" s="37"/>
      <x:c r="M100" s="37"/>
      <x:c r="N100" s="118"/>
      <x:c r="O100" s="119"/>
    </x:row>
    <x:row r="101" spans="2:15" ht="24.949999999999999" customHeight="1">
      <x:c r="B101" s="30" t="str">
        <x:f t="shared" ref="B101:H101" si="26">IF(B49="","",B49)</x:f>
        <x:v/>
      </x:c>
      <x:c r="C101" s="51">
        <x:f t="shared" si="26"/>
        <x:v>-159</x:v>
      </x:c>
      <x:c r="D101" s="51">
        <x:f t="shared" si="26"/>
        <x:v>-150</x:v>
      </x:c>
      <x:c r="E101" s="51">
        <x:f t="shared" si="26"/>
        <x:v>65</x:v>
      </x:c>
      <x:c r="F101" s="51">
        <x:f t="shared" si="26"/>
        <x:v>-6</x:v>
      </x:c>
      <x:c r="G101" s="125" t="str">
        <x:f t="shared" si="26"/>
        <x:v/>
      </x:c>
      <x:c r="H101" s="117" t="str">
        <x:f t="shared" si="26"/>
        <x:v/>
      </x:c>
      <x:c r="I101" s="11"/>
      <x:c r="J101" s="38"/>
      <x:c r="K101" s="38"/>
      <x:c r="L101" s="38"/>
      <x:c r="M101" s="38"/>
      <x:c r="N101" s="118"/>
      <x:c r="O101" s="119"/>
    </x:row>
    <x:row r="102" ht="24.949999999999999" customHeight="1"/>
    <x:row r="103" ht="24.949999999999999" customHeight="1"/>
  </x:sheetData>
  <x:mergeCells count="28">
    <x:mergeCell ref="G96:G101"/>
    <x:mergeCell ref="H96:H101"/>
    <x:mergeCell ref="N96:N101"/>
    <x:mergeCell ref="O96:O101"/>
    <x:mergeCell ref="G82:G87"/>
    <x:mergeCell ref="H82:H87"/>
    <x:mergeCell ref="N82:N87"/>
    <x:mergeCell ref="O82:O87"/>
    <x:mergeCell ref="G89:G94"/>
    <x:mergeCell ref="H89:H94"/>
    <x:mergeCell ref="N89:N94"/>
    <x:mergeCell ref="O89:O94"/>
    <x:mergeCell ref="A53:O53"/>
    <x:mergeCell ref="N54:O54"/>
    <x:mergeCell ref="B81:O81"/>
    <x:mergeCell ref="G44:G49"/>
    <x:mergeCell ref="A1:O1"/>
    <x:mergeCell ref="N2:O2"/>
    <x:mergeCell ref="B29:O29"/>
    <x:mergeCell ref="H37:H42"/>
    <x:mergeCell ref="O37:O42"/>
    <x:mergeCell ref="G30:G35"/>
    <x:mergeCell ref="H30:H35"/>
    <x:mergeCell ref="N30:N35"/>
    <x:mergeCell ref="O30:O35"/>
    <x:mergeCell ref="G37:G42"/>
    <x:mergeCell ref="N37:N42"/>
    <x:mergeCell ref="H44:H49"/>
  </x:mergeCells>
  <x:conditionalFormatting sqref="C4:E28">
    <x:cfRule type="cellIs" dxfId="61" priority="20" operator="between">
      <x:formula>200</x:formula>
      <x:formula>200</x:formula>
    </x:cfRule>
  </x:conditionalFormatting>
  <x:conditionalFormatting sqref="C4:F28">
    <x:cfRule type="cellIs" dxfId="60" priority="4" operator="between">
      <x:formula>200</x:formula>
      <x:formula>300</x:formula>
    </x:cfRule>
  </x:conditionalFormatting>
  <x:conditionalFormatting sqref="C56:F80">
    <x:cfRule type="cellIs" dxfId="58" priority="6" operator="between">
      <x:formula>200</x:formula>
      <x:formula>200</x:formula>
    </x:cfRule>
    <x:cfRule type="cellIs" dxfId="59" priority="5" operator="between">
      <x:formula>200</x:formula>
      <x:formula>300</x:formula>
    </x:cfRule>
  </x:conditionalFormatting>
  <x:conditionalFormatting sqref="G56:G80">
    <x:cfRule type="cellIs" dxfId="56" priority="16" operator="greaterThan">
      <x:formula>599</x:formula>
    </x:cfRule>
    <x:cfRule type="cellIs" dxfId="57" priority="11" operator="between">
      <x:formula>600</x:formula>
      <x:formula>900</x:formula>
    </x:cfRule>
  </x:conditionalFormatting>
  <x:conditionalFormatting sqref="H4:H28">
    <x:cfRule type="cellIs" dxfId="55" priority="26" operator="greaterThan">
      <x:formula>199.9</x:formula>
    </x:cfRule>
  </x:conditionalFormatting>
  <x:conditionalFormatting sqref="H56:H80">
    <x:cfRule type="cellIs" dxfId="54" priority="14" operator="greaterThan">
      <x:formula>199.9</x:formula>
    </x:cfRule>
  </x:conditionalFormatting>
  <x:conditionalFormatting sqref="H4:I28">
    <x:cfRule type="cellIs" dxfId="53" priority="17" operator="between">
      <x:formula>200</x:formula>
      <x:formula>300</x:formula>
    </x:cfRule>
  </x:conditionalFormatting>
  <x:conditionalFormatting sqref="H56:I80">
    <x:cfRule type="cellIs" dxfId="52" priority="10" operator="between">
      <x:formula>200</x:formula>
      <x:formula>300</x:formula>
    </x:cfRule>
  </x:conditionalFormatting>
  <x:conditionalFormatting sqref="I4:I28">
    <x:cfRule type="cellIs" dxfId="51" priority="27" operator="greaterThan">
      <x:formula>199</x:formula>
    </x:cfRule>
  </x:conditionalFormatting>
  <x:conditionalFormatting sqref="I56:I80">
    <x:cfRule type="cellIs" dxfId="50" priority="15" operator="greaterThan">
      <x:formula>199</x:formula>
    </x:cfRule>
  </x:conditionalFormatting>
  <x:conditionalFormatting sqref="G4:G28">
    <x:cfRule type="cellIs" dxfId="49" priority="1" operator="between">
      <x:formula>800</x:formula>
      <x:formula>1600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X101"/>
  <x:sheetViews>
    <x:sheetView topLeftCell="A1" zoomScale="90" zoomScaleNormal="90" zoomScaleSheetLayoutView="110" workbookViewId="0">
      <x:selection activeCell="E49" activeCellId="0" sqref="E49:E49"/>
    </x:sheetView>
  </x:sheetViews>
  <x:sheetFormatPr defaultColWidth="9" defaultRowHeight="16.399999999999999"/>
  <x:cols>
    <x:col min="1" max="1" width="4.625" style="3" customWidth="1"/>
    <x:col min="2" max="2" width="12.77734375" style="3" customWidth="1"/>
    <x:col min="3" max="8" width="10.77734375" style="3" customWidth="1"/>
    <x:col min="9" max="9" width="12.77734375" style="3" customWidth="1"/>
    <x:col min="10" max="15" width="10.77734375" style="3" customWidth="1"/>
    <x:col min="16" max="16" width="9.875" style="3" bestFit="1" customWidth="1"/>
    <x:col min="17" max="17" width="9.375" style="3" customWidth="1"/>
    <x:col min="19" max="19" width="10.625" style="3" customWidth="1"/>
    <x:col min="21" max="21" width="13.125" style="3" customWidth="1"/>
    <x:col min="22" max="22" width="11" style="3" bestFit="1" customWidth="1"/>
    <x:col min="23" max="23" width="15" style="3" customWidth="1"/>
    <x:col min="24" max="24" width="9" style="3" bestFit="1" customWidth="1"/>
  </x:cols>
  <x:sheetData>
    <x:row r="1" spans="1:15" ht="60" customHeight="1">
      <x:c r="A1" s="112" t="s">
        <x:v>66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</x:row>
    <x:row r="2" spans="1:24" ht="22.5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4" t="s">
        <x:v>48</x:v>
      </x:c>
      <x:c r="M2" s="34"/>
      <x:c r="N2" s="113">
        <x:v>46107</x:v>
      </x:c>
      <x:c r="O2" s="114"/>
      <x:c r="U2" s="35" t="s">
        <x:v>18</x:v>
      </x:c>
      <x:c r="V2" s="35">
        <x:v>0</x:v>
      </x:c>
      <x:c r="W2" s="35" t="s">
        <x:v>0</x:v>
      </x:c>
      <x:c r="X2" s="35">
        <x:v>1</x:v>
      </x:c>
    </x:row>
    <x:row r="3" spans="1:24" ht="24.949999999999999" customHeight="1">
      <x:c r="A3" s="13"/>
      <x:c r="B3" s="14" t="s">
        <x:v>14</x:v>
      </x:c>
      <x:c r="C3" s="14" t="s">
        <x:v>44</x:v>
      </x:c>
      <x:c r="D3" s="14" t="s">
        <x:v>55</x:v>
      </x:c>
      <x:c r="E3" s="14" t="s">
        <x:v>54</x:v>
      </x:c>
      <x:c r="F3" s="14" t="s">
        <x:v>53</x:v>
      </x:c>
      <x:c r="G3" s="14" t="s">
        <x:v>52</x:v>
      </x:c>
      <x:c r="H3" s="14" t="s">
        <x:v>47</x:v>
      </x:c>
      <x:c r="I3" s="15" t="s">
        <x:v>41</x:v>
      </x:c>
      <x:c r="J3" s="14" t="s">
        <x:v>44</x:v>
      </x:c>
      <x:c r="K3" s="14" t="s">
        <x:v>55</x:v>
      </x:c>
      <x:c r="L3" s="14" t="s">
        <x:v>54</x:v>
      </x:c>
      <x:c r="M3" s="14" t="s">
        <x:v>53</x:v>
      </x:c>
      <x:c r="N3" s="16" t="s">
        <x:v>52</x:v>
      </x:c>
      <x:c r="O3" s="17" t="s">
        <x:v>56</x:v>
      </x:c>
      <x:c r="U3" s="36" t="s">
        <x:v>58</x:v>
      </x:c>
      <x:c r="V3" s="36"/>
      <x:c r="W3" s="36"/>
      <x:c r="X3" s="36"/>
    </x:row>
    <x:row r="4" spans="1:24" ht="24.949999999999999" customHeight="1">
      <x:c r="A4" s="18">
        <x:v>1</x:v>
      </x:c>
      <x:c r="B4" s="19" t="s">
        <x:v>7</x:v>
      </x:c>
      <x:c r="C4" s="20">
        <x:v>147</x:v>
      </x:c>
      <x:c r="D4" s="20">
        <x:v>141</x:v>
      </x:c>
      <x:c r="E4" s="20">
        <x:v>201</x:v>
      </x:c>
      <x:c r="F4" s="20">
        <x:v>192</x:v>
      </x:c>
      <x:c r="G4" s="32">
        <x:f>F4+E4+D4+C4</x:f>
        <x:v>681</x:v>
      </x:c>
      <x:c r="H4" s="22">
        <x:f>G4/4</x:f>
        <x:v>170.25</x:v>
      </x:c>
      <x:c r="I4" s="23">
        <x:f>IF(B4="","",IFERROR(INDEX('회원명단 및 기준에버'!D:G,MATCH(B4,'회원명단 및 기준에버'!$C:$C,0),CHOOSE(INT((MONTH($N$2)-1)/3)+1,1,2,3,4)),""))</x:f>
        <x:v>200</x:v>
      </x:c>
      <x:c r="J4" s="5">
        <x:f>IFERROR(C4+-I4,0)</x:f>
        <x:v>-53</x:v>
      </x:c>
      <x:c r="K4" s="5">
        <x:f>IFERROR(D4+-I4,0)</x:f>
        <x:v>-59</x:v>
      </x:c>
      <x:c r="L4" s="5">
        <x:f>IFERROR(E4+-I4,0)</x:f>
        <x:v>1</x:v>
      </x:c>
      <x:c r="M4" s="5">
        <x:f>IFERROR(F4+-I4,0)</x:f>
        <x:v>-8</x:v>
      </x:c>
      <x:c r="N4" s="6">
        <x:f>SUM(J4:M4)</x:f>
        <x:v>-119</x:v>
      </x:c>
      <x:c r="O4" s="24">
        <x:f>IFERROR(H4+-I4,0)</x:f>
        <x:v>-29.75</x:v>
      </x:c>
      <x:c r="P4" s="25"/>
      <x:c r="U4" s="59">
        <x:f t="shared" ref="U4:U28" si="0">MAX(C4:F4)-MIN(C4:F4)</x:f>
        <x:v>60</x:v>
      </x:c>
      <x:c r="V4" s="60">
        <x:f>IF($X$2=0,(G4*1000000+U4*1000+A4),(O4*1000000+U4*1000+A4))</x:f>
        <x:v>-29689999</x:v>
      </x:c>
      <x:c r="W4" s="60">
        <x:f t="shared" ref="W4:W28" si="1">_xlfn.RANK.EQ(V4,$V$4:$V$28,0)</x:f>
        <x:v>25</x:v>
      </x:c>
      <x:c r="X4" s="61"/>
    </x:row>
    <x:row r="5" spans="1:24" ht="24.949999999999999" customHeight="1">
      <x:c r="A5" s="18">
        <x:v>2</x:v>
      </x:c>
      <x:c r="B5" s="19" t="s">
        <x:v>28</x:v>
      </x:c>
      <x:c r="C5" s="20">
        <x:v>236</x:v>
      </x:c>
      <x:c r="D5" s="20">
        <x:v>202</x:v>
      </x:c>
      <x:c r="E5" s="20">
        <x:v>199</x:v>
      </x:c>
      <x:c r="F5" s="20">
        <x:v>151</x:v>
      </x:c>
      <x:c r="G5" s="21">
        <x:f t="shared" ref="G5:G28" si="2">F5+E5+D5+C5</x:f>
        <x:v>788</x:v>
      </x:c>
      <x:c r="H5" s="22">
        <x:f t="shared" ref="H5:H28" si="3">G5/4</x:f>
        <x:v>197</x:v>
      </x:c>
      <x:c r="I5" s="23">
        <x:f>IF(B5="","",IFERROR(INDEX('회원명단 및 기준에버'!D:G,MATCH(B5,'회원명단 및 기준에버'!$C:$C,0),CHOOSE(INT((MONTH($N$2)-1)/3)+1,1,2,3,4)),""))</x:f>
        <x:v>200</x:v>
      </x:c>
      <x:c r="J5" s="5">
        <x:f>IFERROR(C5+-I5,0)</x:f>
        <x:v>36</x:v>
      </x:c>
      <x:c r="K5" s="5">
        <x:f>IFERROR(D5+-I5,0)</x:f>
        <x:v>2</x:v>
      </x:c>
      <x:c r="L5" s="5">
        <x:f>IFERROR(E5+-I5,0)</x:f>
        <x:v>-1</x:v>
      </x:c>
      <x:c r="M5" s="5">
        <x:f t="shared" ref="M5:M28" si="4">IFERROR(F5+-I5,0)</x:f>
        <x:v>-49</x:v>
      </x:c>
      <x:c r="N5" s="6">
        <x:f t="shared" ref="N5:N28" si="5">SUM(J5:M5)</x:f>
        <x:v>-12</x:v>
      </x:c>
      <x:c r="O5" s="24">
        <x:f>IFERROR(H5+-I5,0)</x:f>
        <x:v>-3</x:v>
      </x:c>
      <x:c r="P5" s="25"/>
      <x:c r="U5" s="62">
        <x:f t="shared" si="0"/>
        <x:v>85</x:v>
      </x:c>
      <x:c r="V5" s="57">
        <x:f t="shared" ref="V5:V28" si="6">IF($X$2=0,(G5*1000000+U5*1000+A5),(O5*1000000+U5*1000+A5))</x:f>
        <x:v>-2914998</x:v>
      </x:c>
      <x:c r="W5" s="57">
        <x:f t="shared" si="1"/>
        <x:v>16</x:v>
      </x:c>
      <x:c r="X5" s="63"/>
    </x:row>
    <x:row r="6" spans="1:24" ht="24.949999999999999" customHeight="1">
      <x:c r="A6" s="18">
        <x:v>3</x:v>
      </x:c>
      <x:c r="B6" s="19" t="s">
        <x:v>6</x:v>
      </x:c>
      <x:c r="C6" s="20">
        <x:v>251</x:v>
      </x:c>
      <x:c r="D6" s="20">
        <x:v>200</x:v>
      </x:c>
      <x:c r="E6" s="20">
        <x:v>211</x:v>
      </x:c>
      <x:c r="F6" s="20">
        <x:v>171</x:v>
      </x:c>
      <x:c r="G6" s="21">
        <x:f t="shared" si="2"/>
        <x:v>833</x:v>
      </x:c>
      <x:c r="H6" s="22">
        <x:f t="shared" si="3"/>
        <x:v>208.25</x:v>
      </x:c>
      <x:c r="I6" s="23">
        <x:v>190</x:v>
      </x:c>
      <x:c r="J6" s="5">
        <x:f t="shared" ref="J6:J27" si="7">IFERROR(C6+-I6,0)</x:f>
        <x:v>61</x:v>
      </x:c>
      <x:c r="K6" s="5">
        <x:f t="shared" ref="K6:K27" si="8">IFERROR(D6+-I6,0)</x:f>
        <x:v>10</x:v>
      </x:c>
      <x:c r="L6" s="5">
        <x:f t="shared" ref="L6:L27" si="9">IFERROR(E6+-I6,0)</x:f>
        <x:v>21</x:v>
      </x:c>
      <x:c r="M6" s="5">
        <x:f t="shared" si="4"/>
        <x:v>-19</x:v>
      </x:c>
      <x:c r="N6" s="6">
        <x:f t="shared" si="5"/>
        <x:v>73</x:v>
      </x:c>
      <x:c r="O6" s="24">
        <x:f t="shared" ref="O6:O27" si="10">IFERROR(H6+-I6,0)</x:f>
        <x:v>18.25</x:v>
      </x:c>
      <x:c r="U6" s="62">
        <x:f t="shared" si="0"/>
        <x:v>80</x:v>
      </x:c>
      <x:c r="V6" s="57">
        <x:f t="shared" si="6"/>
        <x:v>18330003</x:v>
      </x:c>
      <x:c r="W6" s="57">
        <x:f t="shared" si="1"/>
        <x:v>3</x:v>
      </x:c>
      <x:c r="X6" s="63"/>
    </x:row>
    <x:row r="7" spans="1:24" ht="24.949999999999999" customHeight="1">
      <x:c r="A7" s="18">
        <x:v>4</x:v>
      </x:c>
      <x:c r="B7" s="19" t="s">
        <x:v>9</x:v>
      </x:c>
      <x:c r="C7" s="20">
        <x:v>192</x:v>
      </x:c>
      <x:c r="D7" s="20">
        <x:v>162</x:v>
      </x:c>
      <x:c r="E7" s="20">
        <x:v>188</x:v>
      </x:c>
      <x:c r="F7" s="20">
        <x:v>181</x:v>
      </x:c>
      <x:c r="G7" s="21">
        <x:f t="shared" si="2"/>
        <x:v>723</x:v>
      </x:c>
      <x:c r="H7" s="22">
        <x:f t="shared" si="3"/>
        <x:v>180.75</x:v>
      </x:c>
      <x:c r="I7" s="23">
        <x:f>IF(B7="","",IFERROR(INDEX('회원명단 및 기준에버'!D:G,MATCH(B7,'회원명단 및 기준에버'!$C:$C,0),CHOOSE(INT((MONTH($N$2)-1)/3)+1,1,2,3,4)),""))</x:f>
        <x:v>191</x:v>
      </x:c>
      <x:c r="J7" s="5">
        <x:f t="shared" si="7"/>
        <x:v>1</x:v>
      </x:c>
      <x:c r="K7" s="5">
        <x:f t="shared" si="8"/>
        <x:v>-29</x:v>
      </x:c>
      <x:c r="L7" s="5">
        <x:f t="shared" si="9"/>
        <x:v>-3</x:v>
      </x:c>
      <x:c r="M7" s="5">
        <x:f t="shared" si="4"/>
        <x:v>-10</x:v>
      </x:c>
      <x:c r="N7" s="6">
        <x:f t="shared" si="5"/>
        <x:v>-41</x:v>
      </x:c>
      <x:c r="O7" s="24">
        <x:f t="shared" si="10"/>
        <x:v>-10.25</x:v>
      </x:c>
      <x:c r="U7" s="62">
        <x:f t="shared" si="0"/>
        <x:v>30</x:v>
      </x:c>
      <x:c r="V7" s="57">
        <x:f t="shared" si="6"/>
        <x:v>-10219996</x:v>
      </x:c>
      <x:c r="W7" s="57">
        <x:f t="shared" si="1"/>
        <x:v>18</x:v>
      </x:c>
      <x:c r="X7" s="63"/>
    </x:row>
    <x:row r="8" spans="1:24" ht="24.949999999999999" customHeight="1">
      <x:c r="A8" s="18">
        <x:v>5</x:v>
      </x:c>
      <x:c r="B8" s="19" t="s">
        <x:v>30</x:v>
      </x:c>
      <x:c r="C8" s="20">
        <x:v>159</x:v>
      </x:c>
      <x:c r="D8" s="20">
        <x:v>151</x:v>
      </x:c>
      <x:c r="E8" s="20">
        <x:v>178</x:v>
      </x:c>
      <x:c r="F8" s="20">
        <x:v>149</x:v>
      </x:c>
      <x:c r="G8" s="21">
        <x:f t="shared" si="2"/>
        <x:v>637</x:v>
      </x:c>
      <x:c r="H8" s="22">
        <x:f t="shared" si="3"/>
        <x:v>159.25</x:v>
      </x:c>
      <x:c r="I8" s="23" t="str">
        <x:f>IF(B8="","",IFERROR(INDEX('회원명단 및 기준에버'!D:G,MATCH(B8,'회원명단 및 기준에버'!$C:$C,0),CHOOSE(INT((MONTH($N$2)-1)/3)+1,1,2,3,4)),""))</x:f>
        <x:v/>
      </x:c>
      <x:c r="J8" s="5">
        <x:f t="shared" si="7"/>
        <x:v>0</x:v>
      </x:c>
      <x:c r="K8" s="5">
        <x:f t="shared" si="8"/>
        <x:v>0</x:v>
      </x:c>
      <x:c r="L8" s="5">
        <x:f t="shared" si="9"/>
        <x:v>0</x:v>
      </x:c>
      <x:c r="M8" s="5">
        <x:f t="shared" si="4"/>
        <x:v>0</x:v>
      </x:c>
      <x:c r="N8" s="6">
        <x:f t="shared" si="5"/>
        <x:v>0</x:v>
      </x:c>
      <x:c r="O8" s="24">
        <x:f t="shared" si="10"/>
        <x:v>0</x:v>
      </x:c>
      <x:c r="U8" s="62">
        <x:f t="shared" si="0"/>
        <x:v>29</x:v>
      </x:c>
      <x:c r="V8" s="57">
        <x:f t="shared" si="6"/>
        <x:v>29005</x:v>
      </x:c>
      <x:c r="W8" s="57">
        <x:f t="shared" si="1"/>
        <x:v>13</x:v>
      </x:c>
      <x:c r="X8" s="63"/>
    </x:row>
    <x:row r="9" spans="1:24" ht="24.949999999999999" customHeight="1">
      <x:c r="A9" s="18">
        <x:v>6</x:v>
      </x:c>
      <x:c r="B9" s="19" t="s">
        <x:v>33</x:v>
      </x:c>
      <x:c r="C9" s="20">
        <x:v>159</x:v>
      </x:c>
      <x:c r="D9" s="20">
        <x:v>251</x:v>
      </x:c>
      <x:c r="E9" s="20">
        <x:v>187</x:v>
      </x:c>
      <x:c r="F9" s="20">
        <x:v>195</x:v>
      </x:c>
      <x:c r="G9" s="21">
        <x:f t="shared" si="2"/>
        <x:v>792</x:v>
      </x:c>
      <x:c r="H9" s="22">
        <x:f t="shared" si="3"/>
        <x:v>198</x:v>
      </x:c>
      <x:c r="I9" s="23">
        <x:f>IF(B9="","",IFERROR(INDEX('회원명단 및 기준에버'!D:G,MATCH(B9,'회원명단 및 기준에버'!$C:$C,0),CHOOSE(INT((MONTH($N$2)-1)/3)+1,1,2,3,4)),""))</x:f>
        <x:v>200</x:v>
      </x:c>
      <x:c r="J9" s="5">
        <x:f t="shared" si="7"/>
        <x:v>-41</x:v>
      </x:c>
      <x:c r="K9" s="5">
        <x:f t="shared" si="8"/>
        <x:v>51</x:v>
      </x:c>
      <x:c r="L9" s="5">
        <x:f t="shared" si="9"/>
        <x:v>-13</x:v>
      </x:c>
      <x:c r="M9" s="5">
        <x:f t="shared" si="4"/>
        <x:v>-5</x:v>
      </x:c>
      <x:c r="N9" s="6">
        <x:f t="shared" si="5"/>
        <x:v>-8</x:v>
      </x:c>
      <x:c r="O9" s="24">
        <x:f t="shared" si="10"/>
        <x:v>-2</x:v>
      </x:c>
      <x:c r="U9" s="62">
        <x:f t="shared" si="0"/>
        <x:v>92</x:v>
      </x:c>
      <x:c r="V9" s="57">
        <x:f t="shared" si="6"/>
        <x:v>-1907994</x:v>
      </x:c>
      <x:c r="W9" s="57">
        <x:f t="shared" si="1"/>
        <x:v>14</x:v>
      </x:c>
      <x:c r="X9" s="63"/>
    </x:row>
    <x:row r="10" spans="1:24" ht="24.949999999999999" customHeight="1">
      <x:c r="A10" s="18">
        <x:v>7</x:v>
      </x:c>
      <x:c r="B10" s="19" t="s">
        <x:v>13</x:v>
      </x:c>
      <x:c r="C10" s="20">
        <x:v>172</x:v>
      </x:c>
      <x:c r="D10" s="20">
        <x:v>182</x:v>
      </x:c>
      <x:c r="E10" s="20">
        <x:v>176</x:v>
      </x:c>
      <x:c r="F10" s="20">
        <x:v>170</x:v>
      </x:c>
      <x:c r="G10" s="21">
        <x:f t="shared" si="2"/>
        <x:v>700</x:v>
      </x:c>
      <x:c r="H10" s="22">
        <x:f t="shared" si="3"/>
        <x:v>175</x:v>
      </x:c>
      <x:c r="I10" s="23">
        <x:f>IF(B10="","",IFERROR(INDEX('회원명단 및 기준에버'!D:G,MATCH(B10,'회원명단 및 기준에버'!$C:$C,0),CHOOSE(INT((MONTH($N$2)-1)/3)+1,1,2,3,4)),""))</x:f>
        <x:v>165</x:v>
      </x:c>
      <x:c r="J10" s="5">
        <x:f t="shared" si="7"/>
        <x:v>7</x:v>
      </x:c>
      <x:c r="K10" s="5">
        <x:f t="shared" si="8"/>
        <x:v>17</x:v>
      </x:c>
      <x:c r="L10" s="5">
        <x:f t="shared" si="9"/>
        <x:v>11</x:v>
      </x:c>
      <x:c r="M10" s="5">
        <x:f t="shared" si="4"/>
        <x:v>5</x:v>
      </x:c>
      <x:c r="N10" s="6">
        <x:f t="shared" si="5"/>
        <x:v>40</x:v>
      </x:c>
      <x:c r="O10" s="24">
        <x:f t="shared" si="10"/>
        <x:v>10</x:v>
      </x:c>
      <x:c r="U10" s="62">
        <x:f t="shared" si="0"/>
        <x:v>12</x:v>
      </x:c>
      <x:c r="V10" s="57">
        <x:f t="shared" si="6"/>
        <x:v>10012007</x:v>
      </x:c>
      <x:c r="W10" s="57">
        <x:f t="shared" si="1"/>
        <x:v>8</x:v>
      </x:c>
      <x:c r="X10" s="63"/>
    </x:row>
    <x:row r="11" spans="1:24" ht="24.949999999999999" customHeight="1">
      <x:c r="A11" s="18">
        <x:v>8</x:v>
      </x:c>
      <x:c r="B11" s="19" t="s">
        <x:v>31</x:v>
      </x:c>
      <x:c r="C11" s="20">
        <x:v>190</x:v>
      </x:c>
      <x:c r="D11" s="20">
        <x:v>203</x:v>
      </x:c>
      <x:c r="E11" s="20">
        <x:v>253</x:v>
      </x:c>
      <x:c r="F11" s="20">
        <x:v>237</x:v>
      </x:c>
      <x:c r="G11" s="21">
        <x:f t="shared" si="2"/>
        <x:v>883</x:v>
      </x:c>
      <x:c r="H11" s="22">
        <x:f t="shared" si="3"/>
        <x:v>220.75</x:v>
      </x:c>
      <x:c r="I11" s="23">
        <x:f>IF(B11="","",IFERROR(INDEX('회원명단 및 기준에버'!D:G,MATCH(B11,'회원명단 및 기준에버'!$C:$C,0),CHOOSE(INT((MONTH($N$2)-1)/3)+1,1,2,3,4)),""))</x:f>
        <x:v>198</x:v>
      </x:c>
      <x:c r="J11" s="5">
        <x:f t="shared" si="7"/>
        <x:v>-8</x:v>
      </x:c>
      <x:c r="K11" s="5">
        <x:f t="shared" si="8"/>
        <x:v>5</x:v>
      </x:c>
      <x:c r="L11" s="5">
        <x:f t="shared" si="9"/>
        <x:v>55</x:v>
      </x:c>
      <x:c r="M11" s="5">
        <x:f t="shared" si="4"/>
        <x:v>39</x:v>
      </x:c>
      <x:c r="N11" s="6">
        <x:f t="shared" si="5"/>
        <x:v>91</x:v>
      </x:c>
      <x:c r="O11" s="24">
        <x:f t="shared" si="10"/>
        <x:v>22.75</x:v>
      </x:c>
      <x:c r="U11" s="62">
        <x:f t="shared" si="0"/>
        <x:v>63</x:v>
      </x:c>
      <x:c r="V11" s="57">
        <x:f t="shared" si="6"/>
        <x:v>22813008</x:v>
      </x:c>
      <x:c r="W11" s="57">
        <x:f t="shared" si="1"/>
        <x:v>1</x:v>
      </x:c>
      <x:c r="X11" s="63"/>
    </x:row>
    <x:row r="12" spans="1:24" ht="24.949999999999999" customHeight="1">
      <x:c r="A12" s="18">
        <x:v>9</x:v>
      </x:c>
      <x:c r="B12" s="19" t="s">
        <x:v>22</x:v>
      </x:c>
      <x:c r="C12" s="20">
        <x:v>194</x:v>
      </x:c>
      <x:c r="D12" s="20">
        <x:v>183</x:v>
      </x:c>
      <x:c r="E12" s="20">
        <x:v>227</x:v>
      </x:c>
      <x:c r="F12" s="20">
        <x:v>201</x:v>
      </x:c>
      <x:c r="G12" s="21">
        <x:f t="shared" si="2"/>
        <x:v>805</x:v>
      </x:c>
      <x:c r="H12" s="22">
        <x:f t="shared" si="3"/>
        <x:v>201.25</x:v>
      </x:c>
      <x:c r="I12" s="23">
        <x:f>IF(B12="","",IFERROR(INDEX('회원명단 및 기준에버'!D:G,MATCH(B12,'회원명단 및 기준에버'!$C:$C,0),CHOOSE(INT((MONTH($N$2)-1)/3)+1,1,2,3,4)),""))</x:f>
        <x:v>194</x:v>
      </x:c>
      <x:c r="J12" s="5">
        <x:f t="shared" si="7"/>
        <x:v>0</x:v>
      </x:c>
      <x:c r="K12" s="5">
        <x:f t="shared" si="8"/>
        <x:v>-11</x:v>
      </x:c>
      <x:c r="L12" s="5">
        <x:f t="shared" si="9"/>
        <x:v>33</x:v>
      </x:c>
      <x:c r="M12" s="5">
        <x:f t="shared" si="4"/>
        <x:v>7</x:v>
      </x:c>
      <x:c r="N12" s="6">
        <x:f t="shared" si="5"/>
        <x:v>29</x:v>
      </x:c>
      <x:c r="O12" s="24">
        <x:f t="shared" si="10"/>
        <x:v>7.25</x:v>
      </x:c>
      <x:c r="U12" s="62">
        <x:f t="shared" si="0"/>
        <x:v>44</x:v>
      </x:c>
      <x:c r="V12" s="57">
        <x:f t="shared" si="6"/>
        <x:v>7294009</x:v>
      </x:c>
      <x:c r="W12" s="57">
        <x:f t="shared" si="1"/>
        <x:v>11</x:v>
      </x:c>
      <x:c r="X12" s="63"/>
    </x:row>
    <x:row r="13" spans="1:24" ht="24.949999999999999" customHeight="1">
      <x:c r="A13" s="18">
        <x:v>10</x:v>
      </x:c>
      <x:c r="B13" s="19" t="s">
        <x:v>2</x:v>
      </x:c>
      <x:c r="C13" s="20">
        <x:v>196</x:v>
      </x:c>
      <x:c r="D13" s="20">
        <x:v>150</x:v>
      </x:c>
      <x:c r="E13" s="20">
        <x:v>161</x:v>
      </x:c>
      <x:c r="F13" s="20">
        <x:v>170</x:v>
      </x:c>
      <x:c r="G13" s="21">
        <x:f t="shared" si="2"/>
        <x:v>677</x:v>
      </x:c>
      <x:c r="H13" s="22">
        <x:f t="shared" si="3"/>
        <x:v>169.25</x:v>
      </x:c>
      <x:c r="I13" s="23">
        <x:f>IF(B13="","",IFERROR(INDEX('회원명단 및 기준에버'!D:G,MATCH(B13,'회원명단 및 기준에버'!$C:$C,0),CHOOSE(INT((MONTH($N$2)-1)/3)+1,1,2,3,4)),""))</x:f>
        <x:v>190</x:v>
      </x:c>
      <x:c r="J13" s="5">
        <x:f t="shared" si="7"/>
        <x:v>6</x:v>
      </x:c>
      <x:c r="K13" s="5">
        <x:f t="shared" si="8"/>
        <x:v>-40</x:v>
      </x:c>
      <x:c r="L13" s="5">
        <x:f t="shared" si="9"/>
        <x:v>-29</x:v>
      </x:c>
      <x:c r="M13" s="5">
        <x:f t="shared" si="4"/>
        <x:v>-20</x:v>
      </x:c>
      <x:c r="N13" s="6">
        <x:f t="shared" si="5"/>
        <x:v>-83</x:v>
      </x:c>
      <x:c r="O13" s="24">
        <x:f t="shared" si="10"/>
        <x:v>-20.75</x:v>
      </x:c>
      <x:c r="U13" s="62">
        <x:f t="shared" si="0"/>
        <x:v>46</x:v>
      </x:c>
      <x:c r="V13" s="57">
        <x:f t="shared" si="6"/>
        <x:v>-20703990</x:v>
      </x:c>
      <x:c r="W13" s="57">
        <x:f t="shared" si="1"/>
        <x:v>23</x:v>
      </x:c>
      <x:c r="X13" s="63"/>
    </x:row>
    <x:row r="14" spans="1:24" ht="24.949999999999999" customHeight="1">
      <x:c r="A14" s="18">
        <x:v>11</x:v>
      </x:c>
      <x:c r="B14" s="19" t="s">
        <x:v>29</x:v>
      </x:c>
      <x:c r="C14" s="20">
        <x:v>174</x:v>
      </x:c>
      <x:c r="D14" s="20">
        <x:v>223</x:v>
      </x:c>
      <x:c r="E14" s="20">
        <x:v>178</x:v>
      </x:c>
      <x:c r="F14" s="20">
        <x:v>179</x:v>
      </x:c>
      <x:c r="G14" s="21">
        <x:f t="shared" si="2"/>
        <x:v>754</x:v>
      </x:c>
      <x:c r="H14" s="22">
        <x:f t="shared" si="3"/>
        <x:v>188.5</x:v>
      </x:c>
      <x:c r="I14" s="23">
        <x:f>IF(B14="","",IFERROR(INDEX('회원명단 및 기준에버'!D:G,MATCH(B14,'회원명단 및 기준에버'!$C:$C,0),CHOOSE(INT((MONTH($N$2)-1)/3)+1,1,2,3,4)),""))</x:f>
        <x:v>200</x:v>
      </x:c>
      <x:c r="J14" s="5">
        <x:f t="shared" si="7"/>
        <x:v>-26</x:v>
      </x:c>
      <x:c r="K14" s="5">
        <x:f t="shared" si="8"/>
        <x:v>23</x:v>
      </x:c>
      <x:c r="L14" s="5">
        <x:f t="shared" si="9"/>
        <x:v>-22</x:v>
      </x:c>
      <x:c r="M14" s="5">
        <x:f t="shared" si="4"/>
        <x:v>-21</x:v>
      </x:c>
      <x:c r="N14" s="6">
        <x:f t="shared" si="5"/>
        <x:v>-46</x:v>
      </x:c>
      <x:c r="O14" s="24">
        <x:f t="shared" si="10"/>
        <x:v>-11.5</x:v>
      </x:c>
      <x:c r="U14" s="62">
        <x:f t="shared" si="0"/>
        <x:v>49</x:v>
      </x:c>
      <x:c r="V14" s="57">
        <x:f t="shared" si="6"/>
        <x:v>-11450989</x:v>
      </x:c>
      <x:c r="W14" s="57">
        <x:f t="shared" si="1"/>
        <x:v>20</x:v>
      </x:c>
      <x:c r="X14" s="63"/>
    </x:row>
    <x:row r="15" spans="1:24" ht="24.949999999999999" customHeight="1">
      <x:c r="A15" s="18">
        <x:v>12</x:v>
      </x:c>
      <x:c r="B15" s="19" t="s">
        <x:v>25</x:v>
      </x:c>
      <x:c r="C15" s="20">
        <x:v>243</x:v>
      </x:c>
      <x:c r="D15" s="20">
        <x:v>175</x:v>
      </x:c>
      <x:c r="E15" s="20">
        <x:v>192</x:v>
      </x:c>
      <x:c r="F15" s="20">
        <x:v>210</x:v>
      </x:c>
      <x:c r="G15" s="21">
        <x:f t="shared" si="2"/>
        <x:v>820</x:v>
      </x:c>
      <x:c r="H15" s="22">
        <x:f t="shared" si="3"/>
        <x:v>205</x:v>
      </x:c>
      <x:c r="I15" s="23">
        <x:f>IF(B15="","",IFERROR(INDEX('회원명단 및 기준에버'!D:G,MATCH(B15,'회원명단 및 기준에버'!$C:$C,0),CHOOSE(INT((MONTH($N$2)-1)/3)+1,1,2,3,4)),""))</x:f>
        <x:v>194</x:v>
      </x:c>
      <x:c r="J15" s="5">
        <x:f t="shared" si="7"/>
        <x:v>49</x:v>
      </x:c>
      <x:c r="K15" s="5">
        <x:f t="shared" si="8"/>
        <x:v>-19</x:v>
      </x:c>
      <x:c r="L15" s="5">
        <x:f t="shared" si="9"/>
        <x:v>-2</x:v>
      </x:c>
      <x:c r="M15" s="5">
        <x:f t="shared" si="4"/>
        <x:v>16</x:v>
      </x:c>
      <x:c r="N15" s="6">
        <x:f t="shared" si="5"/>
        <x:v>44</x:v>
      </x:c>
      <x:c r="O15" s="24">
        <x:f t="shared" si="10"/>
        <x:v>11</x:v>
      </x:c>
      <x:c r="U15" s="62">
        <x:f t="shared" si="0"/>
        <x:v>68</x:v>
      </x:c>
      <x:c r="V15" s="57">
        <x:f t="shared" si="6"/>
        <x:v>11068012</x:v>
      </x:c>
      <x:c r="W15" s="57">
        <x:f t="shared" si="1"/>
        <x:v>7</x:v>
      </x:c>
      <x:c r="X15" s="63"/>
    </x:row>
    <x:row r="16" spans="1:24" ht="24.949999999999999" customHeight="1">
      <x:c r="A16" s="18">
        <x:v>13</x:v>
      </x:c>
      <x:c r="B16" s="19" t="s">
        <x:v>11</x:v>
      </x:c>
      <x:c r="C16" s="20">
        <x:v>222</x:v>
      </x:c>
      <x:c r="D16" s="20">
        <x:v>181</x:v>
      </x:c>
      <x:c r="E16" s="20">
        <x:v>181</x:v>
      </x:c>
      <x:c r="F16" s="20">
        <x:v>184</x:v>
      </x:c>
      <x:c r="G16" s="21">
        <x:f t="shared" si="2"/>
        <x:v>768</x:v>
      </x:c>
      <x:c r="H16" s="22">
        <x:f t="shared" si="3"/>
        <x:v>192</x:v>
      </x:c>
      <x:c r="I16" s="23">
        <x:f>IF(B16="","",IFERROR(INDEX('회원명단 및 기준에버'!D:G,MATCH(B16,'회원명단 및 기준에버'!$C:$C,0),CHOOSE(INT((MONTH($N$2)-1)/3)+1,1,2,3,4)),""))</x:f>
        <x:v>188</x:v>
      </x:c>
      <x:c r="J16" s="5">
        <x:f t="shared" si="7"/>
        <x:v>34</x:v>
      </x:c>
      <x:c r="K16" s="5">
        <x:f t="shared" si="8"/>
        <x:v>-7</x:v>
      </x:c>
      <x:c r="L16" s="5">
        <x:f t="shared" si="9"/>
        <x:v>-7</x:v>
      </x:c>
      <x:c r="M16" s="5">
        <x:f t="shared" si="4"/>
        <x:v>-4</x:v>
      </x:c>
      <x:c r="N16" s="6">
        <x:f t="shared" si="5"/>
        <x:v>16</x:v>
      </x:c>
      <x:c r="O16" s="24">
        <x:f t="shared" si="10"/>
        <x:v>4</x:v>
      </x:c>
      <x:c r="U16" s="62">
        <x:f t="shared" si="0"/>
        <x:v>41</x:v>
      </x:c>
      <x:c r="V16" s="57">
        <x:f t="shared" si="6"/>
        <x:v>4041013</x:v>
      </x:c>
      <x:c r="W16" s="57">
        <x:f t="shared" si="1"/>
        <x:v>12</x:v>
      </x:c>
      <x:c r="X16" s="63"/>
    </x:row>
    <x:row r="17" spans="1:24" ht="24.949999999999999" customHeight="1">
      <x:c r="A17" s="18">
        <x:v>14</x:v>
      </x:c>
      <x:c r="B17" s="19" t="s">
        <x:v>23</x:v>
      </x:c>
      <x:c r="C17" s="20">
        <x:v>216</x:v>
      </x:c>
      <x:c r="D17" s="20">
        <x:v>169</x:v>
      </x:c>
      <x:c r="E17" s="20">
        <x:v>220</x:v>
      </x:c>
      <x:c r="F17" s="20">
        <x:v>203</x:v>
      </x:c>
      <x:c r="G17" s="21">
        <x:f t="shared" si="2"/>
        <x:v>808</x:v>
      </x:c>
      <x:c r="H17" s="22">
        <x:f t="shared" si="3"/>
        <x:v>202</x:v>
      </x:c>
      <x:c r="I17" s="23">
        <x:f>IF(B17="","",IFERROR(INDEX('회원명단 및 기준에버'!D:G,MATCH(B17,'회원명단 및 기준에버'!$C:$C,0),CHOOSE(INT((MONTH($N$2)-1)/3)+1,1,2,3,4)),""))</x:f>
        <x:v>184</x:v>
      </x:c>
      <x:c r="J17" s="5">
        <x:f t="shared" si="7"/>
        <x:v>32</x:v>
      </x:c>
      <x:c r="K17" s="5">
        <x:f t="shared" si="8"/>
        <x:v>-15</x:v>
      </x:c>
      <x:c r="L17" s="5">
        <x:f t="shared" si="9"/>
        <x:v>36</x:v>
      </x:c>
      <x:c r="M17" s="5">
        <x:f t="shared" si="4"/>
        <x:v>19</x:v>
      </x:c>
      <x:c r="N17" s="6">
        <x:f t="shared" si="5"/>
        <x:v>72</x:v>
      </x:c>
      <x:c r="O17" s="24">
        <x:f t="shared" si="10"/>
        <x:v>18</x:v>
      </x:c>
      <x:c r="U17" s="62">
        <x:f t="shared" si="0"/>
        <x:v>51</x:v>
      </x:c>
      <x:c r="V17" s="57">
        <x:f t="shared" si="6"/>
        <x:v>18051014</x:v>
      </x:c>
      <x:c r="W17" s="57">
        <x:f t="shared" si="1"/>
        <x:v>4</x:v>
      </x:c>
      <x:c r="X17" s="63"/>
    </x:row>
    <x:row r="18" spans="1:24" ht="24.949999999999999" customHeight="1">
      <x:c r="A18" s="18">
        <x:v>15</x:v>
      </x:c>
      <x:c r="B18" s="19" t="s">
        <x:v>34</x:v>
      </x:c>
      <x:c r="C18" s="20">
        <x:v>182</x:v>
      </x:c>
      <x:c r="D18" s="20">
        <x:v>178</x:v>
      </x:c>
      <x:c r="E18" s="20">
        <x:v>190</x:v>
      </x:c>
      <x:c r="F18" s="20">
        <x:v>132</x:v>
      </x:c>
      <x:c r="G18" s="21">
        <x:f t="shared" si="2"/>
        <x:v>682</x:v>
      </x:c>
      <x:c r="H18" s="22">
        <x:f t="shared" si="3"/>
        <x:v>170.5</x:v>
      </x:c>
      <x:c r="I18" s="23">
        <x:f>IF(B18="","",IFERROR(INDEX('회원명단 및 기준에버'!D:G,MATCH(B18,'회원명단 및 기준에버'!$C:$C,0),CHOOSE(INT((MONTH($N$2)-1)/3)+1,1,2,3,4)),""))</x:f>
        <x:v>182</x:v>
      </x:c>
      <x:c r="J18" s="5">
        <x:f t="shared" si="7"/>
        <x:v>0</x:v>
      </x:c>
      <x:c r="K18" s="5">
        <x:f t="shared" si="8"/>
        <x:v>-4</x:v>
      </x:c>
      <x:c r="L18" s="5">
        <x:f t="shared" si="9"/>
        <x:v>8</x:v>
      </x:c>
      <x:c r="M18" s="5">
        <x:f t="shared" si="4"/>
        <x:v>-50</x:v>
      </x:c>
      <x:c r="N18" s="6">
        <x:f t="shared" si="5"/>
        <x:v>-46</x:v>
      </x:c>
      <x:c r="O18" s="24">
        <x:f t="shared" si="10"/>
        <x:v>-11.5</x:v>
      </x:c>
      <x:c r="U18" s="62">
        <x:f t="shared" si="0"/>
        <x:v>58</x:v>
      </x:c>
      <x:c r="V18" s="57">
        <x:f t="shared" si="6"/>
        <x:v>-11441985</x:v>
      </x:c>
      <x:c r="W18" s="57">
        <x:f t="shared" si="1"/>
        <x:v>19</x:v>
      </x:c>
      <x:c r="X18" s="63"/>
    </x:row>
    <x:row r="19" spans="1:24" ht="24.949999999999999" customHeight="1">
      <x:c r="A19" s="18">
        <x:v>16</x:v>
      </x:c>
      <x:c r="B19" s="19" t="s">
        <x:v>10</x:v>
      </x:c>
      <x:c r="C19" s="20">
        <x:v>216</x:v>
      </x:c>
      <x:c r="D19" s="20">
        <x:v>225</x:v>
      </x:c>
      <x:c r="E19" s="20">
        <x:v>231</x:v>
      </x:c>
      <x:c r="F19" s="20">
        <x:v>212</x:v>
      </x:c>
      <x:c r="G19" s="21">
        <x:f t="shared" si="2"/>
        <x:v>884</x:v>
      </x:c>
      <x:c r="H19" s="22">
        <x:f t="shared" si="3"/>
        <x:v>221</x:v>
      </x:c>
      <x:c r="I19" s="23">
        <x:f>IF(B19="","",IFERROR(INDEX('회원명단 및 기준에버'!D:G,MATCH(B19,'회원명단 및 기준에버'!$C:$C,0),CHOOSE(INT((MONTH($N$2)-1)/3)+1,1,2,3,4)),""))</x:f>
        <x:v>200</x:v>
      </x:c>
      <x:c r="J19" s="5">
        <x:f t="shared" si="7"/>
        <x:v>16</x:v>
      </x:c>
      <x:c r="K19" s="5">
        <x:f t="shared" si="8"/>
        <x:v>25</x:v>
      </x:c>
      <x:c r="L19" s="5">
        <x:f t="shared" si="9"/>
        <x:v>31</x:v>
      </x:c>
      <x:c r="M19" s="5">
        <x:f t="shared" si="4"/>
        <x:v>12</x:v>
      </x:c>
      <x:c r="N19" s="6">
        <x:f t="shared" si="5"/>
        <x:v>84</x:v>
      </x:c>
      <x:c r="O19" s="24">
        <x:f t="shared" si="10"/>
        <x:v>21</x:v>
      </x:c>
      <x:c r="U19" s="62">
        <x:f t="shared" si="0"/>
        <x:v>19</x:v>
      </x:c>
      <x:c r="V19" s="57">
        <x:f t="shared" si="6"/>
        <x:v>21019016</x:v>
      </x:c>
      <x:c r="W19" s="57">
        <x:f t="shared" si="1"/>
        <x:v>2</x:v>
      </x:c>
      <x:c r="X19" s="63"/>
    </x:row>
    <x:row r="20" spans="1:24" ht="24.949999999999999" customHeight="1">
      <x:c r="A20" s="18">
        <x:v>17</x:v>
      </x:c>
      <x:c r="B20" s="19" t="s">
        <x:v>37</x:v>
      </x:c>
      <x:c r="C20" s="20">
        <x:v>144</x:v>
      </x:c>
      <x:c r="D20" s="20">
        <x:v>110</x:v>
      </x:c>
      <x:c r="E20" s="20">
        <x:v>123</x:v>
      </x:c>
      <x:c r="F20" s="20">
        <x:v>172</x:v>
      </x:c>
      <x:c r="G20" s="21">
        <x:f t="shared" si="2"/>
        <x:v>549</x:v>
      </x:c>
      <x:c r="H20" s="22">
        <x:f t="shared" si="3"/>
        <x:v>137.25</x:v>
      </x:c>
      <x:c r="I20" s="23">
        <x:f>IF(B20="","",IFERROR(INDEX('회원명단 및 기준에버'!D:G,MATCH(B20,'회원명단 및 기준에버'!$C:$C,0),CHOOSE(INT((MONTH($N$2)-1)/3)+1,1,2,3,4)),""))</x:f>
        <x:v>151</x:v>
      </x:c>
      <x:c r="J20" s="5">
        <x:f t="shared" si="7"/>
        <x:v>-7</x:v>
      </x:c>
      <x:c r="K20" s="5">
        <x:f t="shared" si="8"/>
        <x:v>-41</x:v>
      </x:c>
      <x:c r="L20" s="5">
        <x:f t="shared" si="9"/>
        <x:v>-28</x:v>
      </x:c>
      <x:c r="M20" s="5">
        <x:f t="shared" si="4"/>
        <x:v>21</x:v>
      </x:c>
      <x:c r="N20" s="6">
        <x:f t="shared" si="5"/>
        <x:v>-55</x:v>
      </x:c>
      <x:c r="O20" s="24">
        <x:f t="shared" si="10"/>
        <x:v>-13.75</x:v>
      </x:c>
      <x:c r="U20" s="62">
        <x:f t="shared" si="0"/>
        <x:v>62</x:v>
      </x:c>
      <x:c r="V20" s="57">
        <x:f t="shared" si="6"/>
        <x:v>-13687983</x:v>
      </x:c>
      <x:c r="W20" s="57">
        <x:f t="shared" si="1"/>
        <x:v>21</x:v>
      </x:c>
      <x:c r="X20" s="63"/>
    </x:row>
    <x:row r="21" spans="1:24" ht="24.949999999999999" customHeight="1">
      <x:c r="A21" s="18">
        <x:v>18</x:v>
      </x:c>
      <x:c r="B21" s="19" t="s">
        <x:v>38</x:v>
      </x:c>
      <x:c r="C21" s="20">
        <x:v>192</x:v>
      </x:c>
      <x:c r="D21" s="20">
        <x:v>145</x:v>
      </x:c>
      <x:c r="E21" s="20">
        <x:v>203</x:v>
      </x:c>
      <x:c r="F21" s="20">
        <x:v>223</x:v>
      </x:c>
      <x:c r="G21" s="21">
        <x:f t="shared" si="2"/>
        <x:v>763</x:v>
      </x:c>
      <x:c r="H21" s="22">
        <x:f t="shared" si="3"/>
        <x:v>190.75</x:v>
      </x:c>
      <x:c r="I21" s="23">
        <x:f>IF(B21="","",IFERROR(INDEX('회원명단 및 기준에버'!D:G,MATCH(B21,'회원명단 및 기준에버'!$C:$C,0),CHOOSE(INT((MONTH($N$2)-1)/3)+1,1,2,3,4)),""))</x:f>
        <x:v>195</x:v>
      </x:c>
      <x:c r="J21" s="5">
        <x:f t="shared" si="7"/>
        <x:v>-3</x:v>
      </x:c>
      <x:c r="K21" s="5">
        <x:f t="shared" si="8"/>
        <x:v>-50</x:v>
      </x:c>
      <x:c r="L21" s="5">
        <x:f t="shared" si="9"/>
        <x:v>8</x:v>
      </x:c>
      <x:c r="M21" s="5">
        <x:f t="shared" si="4"/>
        <x:v>28</x:v>
      </x:c>
      <x:c r="N21" s="6">
        <x:f t="shared" si="5"/>
        <x:v>-17</x:v>
      </x:c>
      <x:c r="O21" s="24">
        <x:f t="shared" si="10"/>
        <x:v>-4.25</x:v>
      </x:c>
      <x:c r="U21" s="62">
        <x:f t="shared" si="0"/>
        <x:v>78</x:v>
      </x:c>
      <x:c r="V21" s="57">
        <x:f t="shared" si="6"/>
        <x:v>-4171982</x:v>
      </x:c>
      <x:c r="W21" s="57">
        <x:f t="shared" si="1"/>
        <x:v>17</x:v>
      </x:c>
      <x:c r="X21" s="63"/>
    </x:row>
    <x:row r="22" spans="1:24" ht="24.949999999999999" customHeight="1">
      <x:c r="A22" s="18">
        <x:v>19</x:v>
      </x:c>
      <x:c r="B22" s="19" t="s">
        <x:v>49</x:v>
      </x:c>
      <x:c r="C22" s="20">
        <x:v>215</x:v>
      </x:c>
      <x:c r="D22" s="20">
        <x:v>158</x:v>
      </x:c>
      <x:c r="E22" s="20">
        <x:v>149</x:v>
      </x:c>
      <x:c r="F22" s="20">
        <x:v>184</x:v>
      </x:c>
      <x:c r="G22" s="21">
        <x:f t="shared" si="2"/>
        <x:v>706</x:v>
      </x:c>
      <x:c r="H22" s="22">
        <x:f t="shared" si="3"/>
        <x:v>176.5</x:v>
      </x:c>
      <x:c r="I22" s="23">
        <x:f>IF(B22="","",IFERROR(INDEX('회원명단 및 기준에버'!D:G,MATCH(B22,'회원명단 및 기준에버'!$C:$C,0),CHOOSE(INT((MONTH($N$2)-1)/3)+1,1,2,3,4)),""))</x:f>
        <x:v>200</x:v>
      </x:c>
      <x:c r="J22" s="5">
        <x:f t="shared" si="7"/>
        <x:v>15</x:v>
      </x:c>
      <x:c r="K22" s="5">
        <x:f t="shared" si="8"/>
        <x:v>-42</x:v>
      </x:c>
      <x:c r="L22" s="5">
        <x:f t="shared" si="9"/>
        <x:v>-51</x:v>
      </x:c>
      <x:c r="M22" s="5">
        <x:f t="shared" si="4"/>
        <x:v>-16</x:v>
      </x:c>
      <x:c r="N22" s="6">
        <x:f t="shared" si="5"/>
        <x:v>-94</x:v>
      </x:c>
      <x:c r="O22" s="24">
        <x:f t="shared" si="10"/>
        <x:v>-23.5</x:v>
      </x:c>
      <x:c r="U22" s="62">
        <x:f t="shared" si="0"/>
        <x:v>66</x:v>
      </x:c>
      <x:c r="V22" s="57">
        <x:f t="shared" si="6"/>
        <x:v>-23433981</x:v>
      </x:c>
      <x:c r="W22" s="57">
        <x:f t="shared" si="1"/>
        <x:v>24</x:v>
      </x:c>
      <x:c r="X22" s="63"/>
    </x:row>
    <x:row r="23" spans="1:24" ht="24.949999999999999" customHeight="1">
      <x:c r="A23" s="18">
        <x:v>20</x:v>
      </x:c>
      <x:c r="B23" s="19" t="s">
        <x:v>8</x:v>
      </x:c>
      <x:c r="C23" s="20">
        <x:v>195</x:v>
      </x:c>
      <x:c r="D23" s="20">
        <x:v>123</x:v>
      </x:c>
      <x:c r="E23" s="20">
        <x:v>141</x:v>
      </x:c>
      <x:c r="F23" s="20">
        <x:v>203</x:v>
      </x:c>
      <x:c r="G23" s="21">
        <x:f t="shared" si="2"/>
        <x:v>662</x:v>
      </x:c>
      <x:c r="H23" s="22">
        <x:f t="shared" si="3"/>
        <x:v>165.5</x:v>
      </x:c>
      <x:c r="I23" s="23">
        <x:f>IF(B23="","",IFERROR(INDEX('회원명단 및 기준에버'!D:G,MATCH(B23,'회원명단 및 기준에버'!$C:$C,0),CHOOSE(INT((MONTH($N$2)-1)/3)+1,1,2,3,4)),""))</x:f>
        <x:v>184</x:v>
      </x:c>
      <x:c r="J23" s="5">
        <x:f t="shared" si="7"/>
        <x:v>11</x:v>
      </x:c>
      <x:c r="K23" s="5">
        <x:f t="shared" si="8"/>
        <x:v>-61</x:v>
      </x:c>
      <x:c r="L23" s="5">
        <x:f t="shared" si="9"/>
        <x:v>-43</x:v>
      </x:c>
      <x:c r="M23" s="5">
        <x:f t="shared" si="4"/>
        <x:v>19</x:v>
      </x:c>
      <x:c r="N23" s="6">
        <x:f t="shared" si="5"/>
        <x:v>-74</x:v>
      </x:c>
      <x:c r="O23" s="24">
        <x:f t="shared" si="10"/>
        <x:v>-18.5</x:v>
      </x:c>
      <x:c r="U23" s="62">
        <x:f t="shared" si="0"/>
        <x:v>80</x:v>
      </x:c>
      <x:c r="V23" s="57">
        <x:f t="shared" si="6"/>
        <x:v>-18419980</x:v>
      </x:c>
      <x:c r="W23" s="57">
        <x:f t="shared" si="1"/>
        <x:v>22</x:v>
      </x:c>
      <x:c r="X23" s="63"/>
    </x:row>
    <x:row r="24" spans="1:24" ht="24.949999999999999" customHeight="1">
      <x:c r="A24" s="18">
        <x:v>21</x:v>
      </x:c>
      <x:c r="B24" s="19" t="s">
        <x:v>16</x:v>
      </x:c>
      <x:c r="C24" s="20">
        <x:v>215</x:v>
      </x:c>
      <x:c r="D24" s="20">
        <x:v>179</x:v>
      </x:c>
      <x:c r="E24" s="20">
        <x:v>236</x:v>
      </x:c>
      <x:c r="F24" s="20">
        <x:v>230</x:v>
      </x:c>
      <x:c r="G24" s="21">
        <x:f t="shared" si="2"/>
        <x:v>860</x:v>
      </x:c>
      <x:c r="H24" s="22">
        <x:f t="shared" si="3"/>
        <x:v>215</x:v>
      </x:c>
      <x:c r="I24" s="23">
        <x:f>IF(B24="","",IFERROR(INDEX('회원명단 및 기준에버'!D:G,MATCH(B24,'회원명단 및 기준에버'!$C:$C,0),CHOOSE(INT((MONTH($N$2)-1)/3)+1,1,2,3,4)),""))</x:f>
        <x:v>200</x:v>
      </x:c>
      <x:c r="J24" s="5">
        <x:f t="shared" si="7"/>
        <x:v>15</x:v>
      </x:c>
      <x:c r="K24" s="5">
        <x:f t="shared" si="8"/>
        <x:v>-21</x:v>
      </x:c>
      <x:c r="L24" s="5">
        <x:f t="shared" si="9"/>
        <x:v>36</x:v>
      </x:c>
      <x:c r="M24" s="5">
        <x:f t="shared" si="4"/>
        <x:v>30</x:v>
      </x:c>
      <x:c r="N24" s="6">
        <x:f t="shared" si="5"/>
        <x:v>60</x:v>
      </x:c>
      <x:c r="O24" s="24">
        <x:f t="shared" si="10"/>
        <x:v>15</x:v>
      </x:c>
      <x:c r="U24" s="62">
        <x:f t="shared" si="0"/>
        <x:v>57</x:v>
      </x:c>
      <x:c r="V24" s="57">
        <x:f t="shared" si="6"/>
        <x:v>15057021</x:v>
      </x:c>
      <x:c r="W24" s="57">
        <x:f t="shared" si="1"/>
        <x:v>5</x:v>
      </x:c>
      <x:c r="X24" s="63"/>
    </x:row>
    <x:row r="25" spans="1:24" ht="24.949999999999999" customHeight="1">
      <x:c r="A25" s="18">
        <x:v>22</x:v>
      </x:c>
      <x:c r="B25" s="19" t="s">
        <x:v>20</x:v>
      </x:c>
      <x:c r="C25" s="20">
        <x:v>188</x:v>
      </x:c>
      <x:c r="D25" s="20">
        <x:v>172</x:v>
      </x:c>
      <x:c r="E25" s="20">
        <x:v>178</x:v>
      </x:c>
      <x:c r="F25" s="20">
        <x:v>230</x:v>
      </x:c>
      <x:c r="G25" s="21">
        <x:f t="shared" si="2"/>
        <x:v>768</x:v>
      </x:c>
      <x:c r="H25" s="22">
        <x:f t="shared" si="3"/>
        <x:v>192</x:v>
      </x:c>
      <x:c r="I25" s="23">
        <x:f>IF(B25="","",IFERROR(INDEX('회원명단 및 기준에버'!D:G,MATCH(B25,'회원명단 및 기준에버'!$C:$C,0),CHOOSE(INT((MONTH($N$2)-1)/3)+1,1,2,3,4)),""))</x:f>
        <x:v>183</x:v>
      </x:c>
      <x:c r="J25" s="5">
        <x:f t="shared" si="7"/>
        <x:v>5</x:v>
      </x:c>
      <x:c r="K25" s="5">
        <x:f t="shared" si="8"/>
        <x:v>-11</x:v>
      </x:c>
      <x:c r="L25" s="5">
        <x:f t="shared" si="9"/>
        <x:v>-5</x:v>
      </x:c>
      <x:c r="M25" s="5">
        <x:f t="shared" si="4"/>
        <x:v>47</x:v>
      </x:c>
      <x:c r="N25" s="6">
        <x:f t="shared" si="5"/>
        <x:v>36</x:v>
      </x:c>
      <x:c r="O25" s="24">
        <x:f t="shared" si="10"/>
        <x:v>9</x:v>
      </x:c>
      <x:c r="U25" s="62">
        <x:f t="shared" si="0"/>
        <x:v>58</x:v>
      </x:c>
      <x:c r="V25" s="57">
        <x:f t="shared" si="6"/>
        <x:v>9058022</x:v>
      </x:c>
      <x:c r="W25" s="57">
        <x:f t="shared" si="1"/>
        <x:v>10</x:v>
      </x:c>
      <x:c r="X25" s="63"/>
    </x:row>
    <x:row r="26" spans="1:24" ht="24.949999999999999" customHeight="1">
      <x:c r="A26" s="18">
        <x:v>23</x:v>
      </x:c>
      <x:c r="B26" s="19" t="s">
        <x:v>17</x:v>
      </x:c>
      <x:c r="C26" s="20">
        <x:v>200</x:v>
      </x:c>
      <x:c r="D26" s="20">
        <x:v>213</x:v>
      </x:c>
      <x:c r="E26" s="20">
        <x:v>169</x:v>
      </x:c>
      <x:c r="F26" s="20">
        <x:v>143</x:v>
      </x:c>
      <x:c r="G26" s="21">
        <x:f t="shared" si="2"/>
        <x:v>725</x:v>
      </x:c>
      <x:c r="H26" s="22">
        <x:f t="shared" si="3"/>
        <x:v>181.25</x:v>
      </x:c>
      <x:c r="I26" s="23">
        <x:f>IF(B26="","",IFERROR(INDEX('회원명단 및 기준에버'!D:G,MATCH(B26,'회원명단 및 기준에버'!$C:$C,0),CHOOSE(INT((MONTH($N$2)-1)/3)+1,1,2,3,4)),""))</x:f>
        <x:v>184</x:v>
      </x:c>
      <x:c r="J26" s="5">
        <x:f t="shared" si="7"/>
        <x:v>16</x:v>
      </x:c>
      <x:c r="K26" s="5">
        <x:f t="shared" si="8"/>
        <x:v>29</x:v>
      </x:c>
      <x:c r="L26" s="5">
        <x:f t="shared" si="9"/>
        <x:v>-15</x:v>
      </x:c>
      <x:c r="M26" s="5">
        <x:f t="shared" si="4"/>
        <x:v>-41</x:v>
      </x:c>
      <x:c r="N26" s="6">
        <x:f t="shared" si="5"/>
        <x:v>-11</x:v>
      </x:c>
      <x:c r="O26" s="24">
        <x:f t="shared" si="10"/>
        <x:v>-2.75</x:v>
      </x:c>
      <x:c r="U26" s="62">
        <x:f t="shared" si="0"/>
        <x:v>70</x:v>
      </x:c>
      <x:c r="V26" s="57">
        <x:f t="shared" si="6"/>
        <x:v>-2679977</x:v>
      </x:c>
      <x:c r="W26" s="57">
        <x:f t="shared" si="1"/>
        <x:v>15</x:v>
      </x:c>
      <x:c r="X26" s="63"/>
    </x:row>
    <x:row r="27" spans="1:24" ht="24.949999999999999" customHeight="1">
      <x:c r="A27" s="18">
        <x:v>24</x:v>
      </x:c>
      <x:c r="B27" s="19" t="s">
        <x:v>3</x:v>
      </x:c>
      <x:c r="C27" s="20">
        <x:v>190</x:v>
      </x:c>
      <x:c r="D27" s="20">
        <x:v>204</x:v>
      </x:c>
      <x:c r="E27" s="20">
        <x:v>212</x:v>
      </x:c>
      <x:c r="F27" s="20">
        <x:v>201</x:v>
      </x:c>
      <x:c r="G27" s="21">
        <x:f t="shared" si="2"/>
        <x:v>807</x:v>
      </x:c>
      <x:c r="H27" s="22">
        <x:f t="shared" si="3"/>
        <x:v>201.75</x:v>
      </x:c>
      <x:c r="I27" s="23">
        <x:f>IF(B27="","",IFERROR(INDEX('회원명단 및 기준에버'!D:G,MATCH(B27,'회원명단 및 기준에버'!$C:$C,0),CHOOSE(INT((MONTH($N$2)-1)/3)+1,1,2,3,4)),""))</x:f>
        <x:v>192</x:v>
      </x:c>
      <x:c r="J27" s="5">
        <x:f t="shared" si="7"/>
        <x:v>-2</x:v>
      </x:c>
      <x:c r="K27" s="5">
        <x:f t="shared" si="8"/>
        <x:v>12</x:v>
      </x:c>
      <x:c r="L27" s="5">
        <x:f t="shared" si="9"/>
        <x:v>20</x:v>
      </x:c>
      <x:c r="M27" s="5">
        <x:f t="shared" si="4"/>
        <x:v>9</x:v>
      </x:c>
      <x:c r="N27" s="6">
        <x:f t="shared" si="5"/>
        <x:v>39</x:v>
      </x:c>
      <x:c r="O27" s="24">
        <x:f t="shared" si="10"/>
        <x:v>9.75</x:v>
      </x:c>
      <x:c r="U27" s="62">
        <x:f t="shared" si="0"/>
        <x:v>22</x:v>
      </x:c>
      <x:c r="V27" s="57">
        <x:f t="shared" si="6"/>
        <x:v>9772024</x:v>
      </x:c>
      <x:c r="W27" s="57">
        <x:f t="shared" si="1"/>
        <x:v>9</x:v>
      </x:c>
      <x:c r="X27" s="63"/>
    </x:row>
    <x:row r="28" spans="1:24" ht="24.949999999999999" customHeight="1">
      <x:c r="A28" s="18">
        <x:v>25</x:v>
      </x:c>
      <x:c r="B28" s="19" t="s">
        <x:v>12</x:v>
      </x:c>
      <x:c r="C28" s="20">
        <x:v>216</x:v>
      </x:c>
      <x:c r="D28" s="20">
        <x:v>174</x:v>
      </x:c>
      <x:c r="E28" s="20">
        <x:v>215</x:v>
      </x:c>
      <x:c r="F28" s="20">
        <x:v>228</x:v>
      </x:c>
      <x:c r="G28" s="21">
        <x:f t="shared" si="2"/>
        <x:v>833</x:v>
      </x:c>
      <x:c r="H28" s="22">
        <x:f t="shared" si="3"/>
        <x:v>208.25</x:v>
      </x:c>
      <x:c r="I28" s="23">
        <x:f>IF(B28="","",IFERROR(INDEX('회원명단 및 기준에버'!D:G,MATCH(B28,'회원명단 및 기준에버'!$C:$C,0),CHOOSE(INT((MONTH($N$2)-1)/3)+1,1,2,3,4)),""))</x:f>
        <x:v>196</x:v>
      </x:c>
      <x:c r="J28" s="5">
        <x:f>IFERROR(C28+-I28,0)</x:f>
        <x:v>20</x:v>
      </x:c>
      <x:c r="K28" s="5">
        <x:f>IFERROR(D28+-I28,0)</x:f>
        <x:v>-22</x:v>
      </x:c>
      <x:c r="L28" s="5">
        <x:f>IFERROR(E28+-I28,0)</x:f>
        <x:v>19</x:v>
      </x:c>
      <x:c r="M28" s="5">
        <x:f t="shared" si="4"/>
        <x:v>32</x:v>
      </x:c>
      <x:c r="N28" s="6">
        <x:f t="shared" si="5"/>
        <x:v>49</x:v>
      </x:c>
      <x:c r="O28" s="24">
        <x:f>IFERROR(H28+-I28,0)</x:f>
        <x:v>12.25</x:v>
      </x:c>
      <x:c r="U28" s="62">
        <x:f t="shared" si="0"/>
        <x:v>54</x:v>
      </x:c>
      <x:c r="V28" s="57">
        <x:f t="shared" si="6"/>
        <x:v>12304025</x:v>
      </x:c>
      <x:c r="W28" s="57">
        <x:f t="shared" si="1"/>
        <x:v>6</x:v>
      </x:c>
      <x:c r="X28" s="63"/>
    </x:row>
    <x:row r="29" spans="1:15" s="11" customFormat="1" ht="24.949999999999999" customHeight="1">
      <x:c r="A29" s="12"/>
      <x:c r="B29" s="120" t="s">
        <x:v>21</x:v>
      </x:c>
      <x:c r="C29" s="121"/>
      <x:c r="D29" s="121"/>
      <x:c r="E29" s="121"/>
      <x:c r="F29" s="120"/>
      <x:c r="G29" s="121"/>
      <x:c r="H29" s="121"/>
      <x:c r="I29" s="121"/>
      <x:c r="J29" s="121"/>
      <x:c r="K29" s="121"/>
      <x:c r="L29" s="121"/>
      <x:c r="M29" s="120"/>
      <x:c r="N29" s="121"/>
      <x:c r="O29" s="122"/>
    </x:row>
    <x:row r="30" spans="2:15" s="11" customFormat="1" ht="24.949999999999999" customHeight="1">
      <x:c r="B30" s="13" t="str">
        <x:f>$B4</x:f>
        <x:v>장 영 민</x:v>
      </x:c>
      <x:c r="C30" s="49">
        <x:f>IF($V$2=0,$C4,$J4)</x:f>
        <x:v>147</x:v>
      </x:c>
      <x:c r="D30" s="49">
        <x:f>IF($V$2=0,$D4,$K4)</x:f>
        <x:v>141</x:v>
      </x:c>
      <x:c r="E30" s="99">
        <x:f>IF($V$2=0,$E4,$L4)</x:f>
        <x:v>201</x:v>
      </x:c>
      <x:c r="F30" s="49">
        <x:f>IF($V$2=0,$F4,$M4)</x:f>
        <x:v>192</x:v>
      </x:c>
      <x:c r="G30" s="123">
        <x:f>E35+D35+C35+F35</x:f>
        <x:v>3662</x:v>
      </x:c>
      <x:c r="H30" s="115">
        <x:v>4</x:v>
      </x:c>
      <x:c r="I30" s="50" t="str">
        <x:f>$B9</x:f>
        <x:v>이 우 석</x:v>
      </x:c>
      <x:c r="J30" s="49">
        <x:f>IF($V$2=0,$C9,$J9)</x:f>
        <x:v>159</x:v>
      </x:c>
      <x:c r="K30" s="99">
        <x:f>IF($V$2=0,$D9,$K9)</x:f>
        <x:v>251</x:v>
      </x:c>
      <x:c r="L30" s="49">
        <x:f>IF($V$2=0,$E9,$L9)</x:f>
        <x:v>187</x:v>
      </x:c>
      <x:c r="M30" s="100">
        <x:f>IF($V$2=0,$F9,$M9)</x:f>
        <x:v>195</x:v>
      </x:c>
      <x:c r="N30" s="129">
        <x:f>L35+K35+J35+M35</x:f>
        <x:v>3857</x:v>
      </x:c>
      <x:c r="O30" s="126">
        <x:v>2</x:v>
      </x:c>
    </x:row>
    <x:row r="31" spans="2:15" s="11" customFormat="1" ht="24.949999999999999" customHeight="1">
      <x:c r="B31" s="18" t="str">
        <x:f>$B5</x:f>
        <x:v>김 정 희</x:v>
      </x:c>
      <x:c r="C31" s="97">
        <x:f>IF($V$2=0,$C5,$J5)</x:f>
        <x:v>236</x:v>
      </x:c>
      <x:c r="D31" s="97">
        <x:f>IF($V$2=0,$D5,$K5)</x:f>
        <x:v>202</x:v>
      </x:c>
      <x:c r="E31" s="5">
        <x:f>IF($V$2=0,$E5,$L5)</x:f>
        <x:v>199</x:v>
      </x:c>
      <x:c r="F31" s="5">
        <x:f>IF($V$2=0,$F5,$M5)</x:f>
        <x:v>151</x:v>
      </x:c>
      <x:c r="G31" s="124"/>
      <x:c r="H31" s="116"/>
      <x:c r="I31" s="18" t="str">
        <x:f>$B10</x:f>
        <x:v>이 승 미</x:v>
      </x:c>
      <x:c r="J31" s="5">
        <x:f>IF($V$2=0,$C10,$J10)</x:f>
        <x:v>172</x:v>
      </x:c>
      <x:c r="K31" s="5">
        <x:f>IF($V$2=0,$D10,$K10)</x:f>
        <x:v>182</x:v>
      </x:c>
      <x:c r="L31" s="5">
        <x:f>IF($V$2=0,$E10,$L10)</x:f>
        <x:v>176</x:v>
      </x:c>
      <x:c r="M31" s="5">
        <x:f>IF($V$2=0,$F10,$M10)</x:f>
        <x:v>170</x:v>
      </x:c>
      <x:c r="N31" s="130"/>
      <x:c r="O31" s="127"/>
    </x:row>
    <x:row r="32" spans="2:15" s="11" customFormat="1" ht="24.949999999999999" customHeight="1">
      <x:c r="B32" s="18" t="str">
        <x:f>$B6</x:f>
        <x:v>이 재 용</x:v>
      </x:c>
      <x:c r="C32" s="97">
        <x:f>IF($V$2=0,$C6,$J6)</x:f>
        <x:v>251</x:v>
      </x:c>
      <x:c r="D32" s="97">
        <x:f>IF($V$2=0,$D6,$K6)</x:f>
        <x:v>200</x:v>
      </x:c>
      <x:c r="E32" s="97">
        <x:f>IF($V$2=0,$E6,$L6)</x:f>
        <x:v>211</x:v>
      </x:c>
      <x:c r="F32" s="5">
        <x:f>IF($V$2=0,$F6,$M6)</x:f>
        <x:v>171</x:v>
      </x:c>
      <x:c r="G32" s="124"/>
      <x:c r="H32" s="116"/>
      <x:c r="I32" s="18" t="str">
        <x:f>$B11</x:f>
        <x:v>김 태 환</x:v>
      </x:c>
      <x:c r="J32" s="5">
        <x:f>IF($V$2=0,$C11,$J11)</x:f>
        <x:v>190</x:v>
      </x:c>
      <x:c r="K32" s="97">
        <x:f>IF($V$2=0,$D11,$K11)</x:f>
        <x:v>203</x:v>
      </x:c>
      <x:c r="L32" s="97">
        <x:f>IF($V$2=0,$E11,$L11)</x:f>
        <x:v>253</x:v>
      </x:c>
      <x:c r="M32" s="97">
        <x:f>IF($V$2=0,$F11,$M11)</x:f>
        <x:v>237</x:v>
      </x:c>
      <x:c r="N32" s="130"/>
      <x:c r="O32" s="127"/>
    </x:row>
    <x:row r="33" spans="2:15" s="11" customFormat="1" ht="24.949999999999999" customHeight="1">
      <x:c r="B33" s="18" t="str">
        <x:f>$B7</x:f>
        <x:v>천 성 일</x:v>
      </x:c>
      <x:c r="C33" s="5">
        <x:f>IF($V$2=0,$C7,$J7)</x:f>
        <x:v>192</x:v>
      </x:c>
      <x:c r="D33" s="5">
        <x:f>IF($V$2=0,$D7,$K7)</x:f>
        <x:v>162</x:v>
      </x:c>
      <x:c r="E33" s="5">
        <x:f>IF($V$2=0,$E7,$L7)</x:f>
        <x:v>188</x:v>
      </x:c>
      <x:c r="F33" s="5">
        <x:f>IF($V$2=0,$F7,$M7)</x:f>
        <x:v>181</x:v>
      </x:c>
      <x:c r="G33" s="124"/>
      <x:c r="H33" s="116"/>
      <x:c r="I33" s="18" t="str">
        <x:f>$B12</x:f>
        <x:v>강 완 규</x:v>
      </x:c>
      <x:c r="J33" s="5">
        <x:f>IF($V$2=0,$C12,$J12)</x:f>
        <x:v>194</x:v>
      </x:c>
      <x:c r="K33" s="5">
        <x:f>IF($V$2=0,$D12,$K12)</x:f>
        <x:v>183</x:v>
      </x:c>
      <x:c r="L33" s="97">
        <x:f>IF($V$2=0,$E12,$L12)</x:f>
        <x:v>227</x:v>
      </x:c>
      <x:c r="M33" s="97">
        <x:f>IF($V$2=0,$F12,$M12)</x:f>
        <x:v>201</x:v>
      </x:c>
      <x:c r="N33" s="130"/>
      <x:c r="O33" s="127"/>
    </x:row>
    <x:row r="34" spans="2:15" s="11" customFormat="1" ht="24.949999999999999" customHeight="1">
      <x:c r="B34" s="18" t="str">
        <x:f>$B8</x:f>
        <x:v>윤    주</x:v>
      </x:c>
      <x:c r="C34" s="5">
        <x:f>IF($V$2=0,$C8,$J8)</x:f>
        <x:v>159</x:v>
      </x:c>
      <x:c r="D34" s="5">
        <x:f>IF($V$2=0,$D8,$K8)</x:f>
        <x:v>151</x:v>
      </x:c>
      <x:c r="E34" s="5">
        <x:f>IF($V$2=0,$E8,$L8)</x:f>
        <x:v>178</x:v>
      </x:c>
      <x:c r="F34" s="5">
        <x:f>IF($V$2=0,$F8,$M8)</x:f>
        <x:v>149</x:v>
      </x:c>
      <x:c r="G34" s="124"/>
      <x:c r="H34" s="116"/>
      <x:c r="I34" s="18" t="str">
        <x:f>$B13</x:f>
        <x:v>박 성 현</x:v>
      </x:c>
      <x:c r="J34" s="5">
        <x:f>IF($V$2=0,$C13,$J13)</x:f>
        <x:v>196</x:v>
      </x:c>
      <x:c r="K34" s="5">
        <x:f>IF($V$2=0,$D13,$K13)</x:f>
        <x:v>150</x:v>
      </x:c>
      <x:c r="L34" s="5">
        <x:f>IF($V$2=0,$E13,$L13)</x:f>
        <x:v>161</x:v>
      </x:c>
      <x:c r="M34" s="5">
        <x:f>IF($V$2=0,$F13,$M13)</x:f>
        <x:v>170</x:v>
      </x:c>
      <x:c r="N34" s="130"/>
      <x:c r="O34" s="127"/>
    </x:row>
    <x:row r="35" spans="2:15" s="11" customFormat="1" ht="24.949999999999999" customHeight="1">
      <x:c r="B35" s="53"/>
      <x:c r="C35" s="54">
        <x:f>SUM(C30:C34)</x:f>
        <x:v>985</x:v>
      </x:c>
      <x:c r="D35" s="54">
        <x:f>SUM(D30:D34)</x:f>
        <x:v>856</x:v>
      </x:c>
      <x:c r="E35" s="54">
        <x:f>SUM(E30:E34)</x:f>
        <x:v>977</x:v>
      </x:c>
      <x:c r="F35" s="54">
        <x:f>SUM(F30:F34)</x:f>
        <x:v>844</x:v>
      </x:c>
      <x:c r="G35" s="125"/>
      <x:c r="H35" s="117"/>
      <x:c r="I35" s="53"/>
      <x:c r="J35" s="54">
        <x:f>SUM(J30:J34)</x:f>
        <x:v>911</x:v>
      </x:c>
      <x:c r="K35" s="54">
        <x:f>SUM(K30:K34)</x:f>
        <x:v>969</x:v>
      </x:c>
      <x:c r="L35" s="109">
        <x:f>SUM(L30:L34)</x:f>
        <x:v>1004</x:v>
      </x:c>
      <x:c r="M35" s="54">
        <x:f>SUM(M30:M34)</x:f>
        <x:v>973</x:v>
      </x:c>
      <x:c r="N35" s="131"/>
      <x:c r="O35" s="128"/>
    </x:row>
    <x:row r="36" s="11" customFormat="1" ht="9.9499999999999993" customHeight="1"/>
    <x:row r="37" spans="2:15" s="11" customFormat="1" ht="24.949999999999999" customHeight="1">
      <x:c r="B37" s="13" t="str">
        <x:f>$B14</x:f>
        <x:v>이 대 용</x:v>
      </x:c>
      <x:c r="C37" s="49">
        <x:f>IF($V$2=0,$C14,$J14)</x:f>
        <x:v>174</x:v>
      </x:c>
      <x:c r="D37" s="99">
        <x:f>IF($V$2=0,$D14,$K14)</x:f>
        <x:v>223</x:v>
      </x:c>
      <x:c r="E37" s="49">
        <x:f>IF($V$2=0,$E14,$L14)</x:f>
        <x:v>178</x:v>
      </x:c>
      <x:c r="F37" s="49">
        <x:f>IF($V$2=0,$F14,$M14)</x:f>
        <x:v>179</x:v>
      </x:c>
      <x:c r="G37" s="123">
        <x:f>E42+D42+C42+F42</x:f>
        <x:v>3832</x:v>
      </x:c>
      <x:c r="H37" s="115">
        <x:v>3</x:v>
      </x:c>
      <x:c r="I37" s="50" t="str">
        <x:f>$B19</x:f>
        <x:v>임 승 기</x:v>
      </x:c>
      <x:c r="J37" s="99">
        <x:f>IF($V$2=0,$C19,$J19)</x:f>
        <x:v>216</x:v>
      </x:c>
      <x:c r="K37" s="99">
        <x:f>IF($V$2=0,$D19,$K19)</x:f>
        <x:v>225</x:v>
      </x:c>
      <x:c r="L37" s="99">
        <x:f>IF($V$2=0,$E19,$L19)</x:f>
        <x:v>231</x:v>
      </x:c>
      <x:c r="M37" s="110">
        <x:f>IF($V$2=0,$F19,$M19)</x:f>
        <x:v>212</x:v>
      </x:c>
      <x:c r="N37" s="129">
        <x:f>L42+K42+J42+M42</x:f>
        <x:v>3564</x:v>
      </x:c>
      <x:c r="O37" s="126"/>
    </x:row>
    <x:row r="38" spans="2:15" s="12" customFormat="1" ht="24.949999999999999" customHeight="1">
      <x:c r="B38" s="18" t="str">
        <x:f>$B15</x:f>
        <x:v>임 연 진</x:v>
      </x:c>
      <x:c r="C38" s="97">
        <x:f>IF($V$2=0,$C15,$J15)</x:f>
        <x:v>243</x:v>
      </x:c>
      <x:c r="D38" s="5">
        <x:f>IF($V$2=0,$D15,$K15)</x:f>
        <x:v>175</x:v>
      </x:c>
      <x:c r="E38" s="5">
        <x:f>IF($V$2=0,$E15,$L15)</x:f>
        <x:v>192</x:v>
      </x:c>
      <x:c r="F38" s="97">
        <x:f>IF($V$2=0,$F15,$M15)</x:f>
        <x:v>210</x:v>
      </x:c>
      <x:c r="G38" s="124"/>
      <x:c r="H38" s="116"/>
      <x:c r="I38" s="18" t="str">
        <x:f>$B20</x:f>
        <x:v>손 은 주</x:v>
      </x:c>
      <x:c r="J38" s="5">
        <x:f>IF($V$2=0,$C20,$J20)</x:f>
        <x:v>144</x:v>
      </x:c>
      <x:c r="K38" s="5">
        <x:f>IF($V$2=0,$D20,$K20)</x:f>
        <x:v>110</x:v>
      </x:c>
      <x:c r="L38" s="5">
        <x:f>IF($V$2=0,$E20,$L20)</x:f>
        <x:v>123</x:v>
      </x:c>
      <x:c r="M38" s="5">
        <x:f>IF($V$2=0,$F20,$M20)</x:f>
        <x:v>172</x:v>
      </x:c>
      <x:c r="N38" s="130"/>
      <x:c r="O38" s="127"/>
    </x:row>
    <x:row r="39" spans="2:15" s="12" customFormat="1" ht="24.949999999999999" customHeight="1">
      <x:c r="B39" s="18" t="str">
        <x:f>$B16</x:f>
        <x:v>이 상 현</x:v>
      </x:c>
      <x:c r="C39" s="97">
        <x:f>IF($V$2=0,$C16,$J16)</x:f>
        <x:v>222</x:v>
      </x:c>
      <x:c r="D39" s="5">
        <x:f>IF($V$2=0,$D16,$K16)</x:f>
        <x:v>181</x:v>
      </x:c>
      <x:c r="E39" s="5">
        <x:f>IF($V$2=0,$E16,$L16)</x:f>
        <x:v>181</x:v>
      </x:c>
      <x:c r="F39" s="5">
        <x:f>IF($V$2=0,$F16,$M16)</x:f>
        <x:v>184</x:v>
      </x:c>
      <x:c r="G39" s="124"/>
      <x:c r="H39" s="116"/>
      <x:c r="I39" s="18" t="str">
        <x:f>$B21</x:f>
        <x:v>고 경 훈</x:v>
      </x:c>
      <x:c r="J39" s="5">
        <x:f>IF($V$2=0,$C21,$J21)</x:f>
        <x:v>192</x:v>
      </x:c>
      <x:c r="K39" s="5">
        <x:f>IF($V$2=0,$D21,$K21)</x:f>
        <x:v>145</x:v>
      </x:c>
      <x:c r="L39" s="97">
        <x:f>IF($V$2=0,$E21,$L21)</x:f>
        <x:v>203</x:v>
      </x:c>
      <x:c r="M39" s="97">
        <x:f>IF($V$2=0,$F21,$M21)</x:f>
        <x:v>223</x:v>
      </x:c>
      <x:c r="N39" s="130"/>
      <x:c r="O39" s="127"/>
    </x:row>
    <x:row r="40" spans="2:15" s="12" customFormat="1" ht="24.949999999999999" customHeight="1">
      <x:c r="B40" s="18" t="str">
        <x:f>$B17</x:f>
        <x:v>정 영 우</x:v>
      </x:c>
      <x:c r="C40" s="97">
        <x:f>IF($V$2=0,$C17,$J17)</x:f>
        <x:v>216</x:v>
      </x:c>
      <x:c r="D40" s="5">
        <x:f>IF($V$2=0,$D17,$K17)</x:f>
        <x:v>169</x:v>
      </x:c>
      <x:c r="E40" s="97">
        <x:f>IF($V$2=0,$E17,$L17)</x:f>
        <x:v>220</x:v>
      </x:c>
      <x:c r="F40" s="97">
        <x:f>IF($V$2=0,$F17,$M17)</x:f>
        <x:v>203</x:v>
      </x:c>
      <x:c r="G40" s="124"/>
      <x:c r="H40" s="116"/>
      <x:c r="I40" s="18" t="str">
        <x:f>$B22</x:f>
        <x:v>최 진</x:v>
      </x:c>
      <x:c r="J40" s="97">
        <x:f>IF($V$2=0,$C22,$J22)</x:f>
        <x:v>215</x:v>
      </x:c>
      <x:c r="K40" s="5">
        <x:f>IF($V$2=0,$D22,$K22)</x:f>
        <x:v>158</x:v>
      </x:c>
      <x:c r="L40" s="5">
        <x:f>IF($V$2=0,$E22,$L22)</x:f>
        <x:v>149</x:v>
      </x:c>
      <x:c r="M40" s="5">
        <x:f>IF($V$2=0,$F22,$M22)</x:f>
        <x:v>184</x:v>
      </x:c>
      <x:c r="N40" s="130"/>
      <x:c r="O40" s="127"/>
    </x:row>
    <x:row r="41" spans="2:15" s="12" customFormat="1" ht="24.949999999999999" customHeight="1">
      <x:c r="B41" s="18" t="str">
        <x:f>$B18</x:f>
        <x:v>김 미 란</x:v>
      </x:c>
      <x:c r="C41" s="5">
        <x:f>IF($V$2=0,$C18,$J18)</x:f>
        <x:v>182</x:v>
      </x:c>
      <x:c r="D41" s="5">
        <x:f>IF($V$2=0,$D18,$K18)</x:f>
        <x:v>178</x:v>
      </x:c>
      <x:c r="E41" s="5">
        <x:f>IF($V$2=0,$E18,$L18)</x:f>
        <x:v>190</x:v>
      </x:c>
      <x:c r="F41" s="5">
        <x:f>IF($V$2=0,$F18,$M18)</x:f>
        <x:v>132</x:v>
      </x:c>
      <x:c r="G41" s="124"/>
      <x:c r="H41" s="116"/>
      <x:c r="I41" s="18" t="str">
        <x:f>$B23</x:f>
        <x:v>엄 정 도</x:v>
      </x:c>
      <x:c r="J41" s="5">
        <x:f>IF($V$2=0,$C23,$J23)</x:f>
        <x:v>195</x:v>
      </x:c>
      <x:c r="K41" s="5">
        <x:f>IF($V$2=0,$D23,$K23)</x:f>
        <x:v>123</x:v>
      </x:c>
      <x:c r="L41" s="5">
        <x:f>IF($V$2=0,$E23,$L23)</x:f>
        <x:v>141</x:v>
      </x:c>
      <x:c r="M41" s="97">
        <x:f>IF($V$2=0,$F23,$M23)</x:f>
        <x:v>203</x:v>
      </x:c>
      <x:c r="N41" s="130"/>
      <x:c r="O41" s="127"/>
    </x:row>
    <x:row r="42" spans="2:15" s="12" customFormat="1" ht="24.949999999999999" customHeight="1">
      <x:c r="B42" s="53"/>
      <x:c r="C42" s="109">
        <x:f>SUM(C37:C41)</x:f>
        <x:v>1037</x:v>
      </x:c>
      <x:c r="D42" s="54">
        <x:f>SUM(D37:D41)</x:f>
        <x:v>926</x:v>
      </x:c>
      <x:c r="E42" s="54">
        <x:f>SUM(E37:E41)</x:f>
        <x:v>961</x:v>
      </x:c>
      <x:c r="F42" s="54">
        <x:f>SUM(F37:F41)</x:f>
        <x:v>908</x:v>
      </x:c>
      <x:c r="G42" s="125"/>
      <x:c r="H42" s="117"/>
      <x:c r="I42" s="53"/>
      <x:c r="J42" s="54">
        <x:f>SUM(J37:J41)</x:f>
        <x:v>962</x:v>
      </x:c>
      <x:c r="K42" s="54">
        <x:f>SUM(K37:K41)</x:f>
        <x:v>761</x:v>
      </x:c>
      <x:c r="L42" s="54">
        <x:f>SUM(L37:L41)</x:f>
        <x:v>847</x:v>
      </x:c>
      <x:c r="M42" s="54">
        <x:f>SUM(M37:M41)</x:f>
        <x:v>994</x:v>
      </x:c>
      <x:c r="N42" s="131"/>
      <x:c r="O42" s="128"/>
    </x:row>
    <x:row r="43" ht="9.9499999999999993" customHeight="1"/>
    <x:row r="44" spans="2:15" ht="24.949999999999999" customHeight="1">
      <x:c r="B44" s="101" t="str">
        <x:f>$B24</x:f>
        <x:v>변 상 필</x:v>
      </x:c>
      <x:c r="C44" s="105">
        <x:f>IF($V$2=0,$C24,$J24)</x:f>
        <x:v>215</x:v>
      </x:c>
      <x:c r="D44" s="102">
        <x:f>IF($V$2=0,$D24,$K24)</x:f>
        <x:v>179</x:v>
      </x:c>
      <x:c r="E44" s="105">
        <x:f>IF($V$2=0,$E24,$L24)</x:f>
        <x:v>236</x:v>
      </x:c>
      <x:c r="F44" s="105">
        <x:f>IF($V$2=0,$F24,$M24)</x:f>
        <x:v>230</x:v>
      </x:c>
      <x:c r="G44" s="132">
        <x:f>E49+D49+C49+F49</x:f>
        <x:v>3993</x:v>
      </x:c>
      <x:c r="H44" s="135">
        <x:v>1</x:v>
      </x:c>
      <x:c r="I44" s="67"/>
      <x:c r="J44" s="68"/>
      <x:c r="K44" s="68"/>
      <x:c r="L44" s="68"/>
      <x:c r="M44" s="68"/>
      <x:c r="N44" s="69"/>
      <x:c r="O44" s="70"/>
    </x:row>
    <x:row r="45" spans="2:15" ht="24.949999999999999" customHeight="1">
      <x:c r="B45" s="103" t="str">
        <x:f>$B25</x:f>
        <x:v>지 옥 명</x:v>
      </x:c>
      <x:c r="C45" s="104">
        <x:f>IF($V$2=0,$C25,$J25)</x:f>
        <x:v>188</x:v>
      </x:c>
      <x:c r="D45" s="104">
        <x:f>IF($V$2=0,$D25,$K25)</x:f>
        <x:v>172</x:v>
      </x:c>
      <x:c r="E45" s="104">
        <x:f>IF($V$2=0,$E25,$L25)</x:f>
        <x:v>178</x:v>
      </x:c>
      <x:c r="F45" s="106">
        <x:f>IF($V$2=0,$F25,$M25)</x:f>
        <x:v>230</x:v>
      </x:c>
      <x:c r="G45" s="133"/>
      <x:c r="H45" s="136"/>
      <x:c r="I45" s="71"/>
      <x:c r="J45" s="72"/>
      <x:c r="K45" s="72"/>
      <x:c r="L45" s="72"/>
      <x:c r="M45" s="72"/>
      <x:c r="N45" s="73"/>
      <x:c r="O45" s="74"/>
    </x:row>
    <x:row r="46" spans="2:15" ht="24.949999999999999" customHeight="1">
      <x:c r="B46" s="103" t="str">
        <x:f>$B26</x:f>
        <x:v>황 인 교</x:v>
      </x:c>
      <x:c r="C46" s="106">
        <x:f>IF($V$2=0,$C26,$J26)</x:f>
        <x:v>200</x:v>
      </x:c>
      <x:c r="D46" s="106">
        <x:f>IF($V$2=0,$D26,$K26)</x:f>
        <x:v>213</x:v>
      </x:c>
      <x:c r="E46" s="104">
        <x:f>IF($V$2=0,$E26,$L26)</x:f>
        <x:v>169</x:v>
      </x:c>
      <x:c r="F46" s="104">
        <x:f>IF($V$2=0,$F26,$M26)</x:f>
        <x:v>143</x:v>
      </x:c>
      <x:c r="G46" s="133"/>
      <x:c r="H46" s="136"/>
      <x:c r="I46" s="71"/>
      <x:c r="J46" s="72"/>
      <x:c r="K46" s="72"/>
      <x:c r="L46" s="72"/>
      <x:c r="M46" s="72"/>
      <x:c r="N46" s="73"/>
      <x:c r="O46" s="74"/>
    </x:row>
    <x:row r="47" spans="2:15" ht="24.949999999999999" customHeight="1">
      <x:c r="B47" s="103" t="str">
        <x:f>$B27</x:f>
        <x:v>나 경 주</x:v>
      </x:c>
      <x:c r="C47" s="104">
        <x:f>IF($V$2=0,$C27,$J27)</x:f>
        <x:v>190</x:v>
      </x:c>
      <x:c r="D47" s="106">
        <x:f>IF($V$2=0,$D27,$K27)</x:f>
        <x:v>204</x:v>
      </x:c>
      <x:c r="E47" s="106">
        <x:f>IF($V$2=0,$E27,$L27)</x:f>
        <x:v>212</x:v>
      </x:c>
      <x:c r="F47" s="106">
        <x:f>IF($V$2=0,$F27,$M27)</x:f>
        <x:v>201</x:v>
      </x:c>
      <x:c r="G47" s="133"/>
      <x:c r="H47" s="136"/>
      <x:c r="I47" s="71"/>
      <x:c r="J47" s="72"/>
      <x:c r="K47" s="72"/>
      <x:c r="L47" s="72"/>
      <x:c r="M47" s="72"/>
      <x:c r="N47" s="73"/>
      <x:c r="O47" s="74"/>
    </x:row>
    <x:row r="48" spans="2:15" ht="24.949999999999999" customHeight="1">
      <x:c r="B48" s="103" t="str">
        <x:f>$B28</x:f>
        <x:v>이 정 석</x:v>
      </x:c>
      <x:c r="C48" s="106">
        <x:f>IF($V$2=0,$C28,$J28)</x:f>
        <x:v>216</x:v>
      </x:c>
      <x:c r="D48" s="104">
        <x:f>IF($V$2=0,$D28,$K28)</x:f>
        <x:v>174</x:v>
      </x:c>
      <x:c r="E48" s="106">
        <x:f>IF($V$2=0,$E28,$L28)</x:f>
        <x:v>215</x:v>
      </x:c>
      <x:c r="F48" s="106">
        <x:f>IF($V$2=0,$F28,$M28)</x:f>
        <x:v>228</x:v>
      </x:c>
      <x:c r="G48" s="133"/>
      <x:c r="H48" s="136"/>
      <x:c r="I48" s="71"/>
      <x:c r="J48" s="72"/>
      <x:c r="K48" s="72"/>
      <x:c r="L48" s="72"/>
      <x:c r="M48" s="72"/>
      <x:c r="N48" s="73"/>
      <x:c r="O48" s="74"/>
    </x:row>
    <x:row r="49" spans="2:15" ht="24.949999999999999" customHeight="1">
      <x:c r="B49" s="80"/>
      <x:c r="C49" s="107">
        <x:f>SUM(C44:C48)</x:f>
        <x:v>1009</x:v>
      </x:c>
      <x:c r="D49" s="108">
        <x:f>SUM(D44:D48)</x:f>
        <x:v>942</x:v>
      </x:c>
      <x:c r="E49" s="107">
        <x:f>SUM(E44:E48)</x:f>
        <x:v>1010</x:v>
      </x:c>
      <x:c r="F49" s="108">
        <x:f>SUM(F44:F48)</x:f>
        <x:v>1032</x:v>
      </x:c>
      <x:c r="G49" s="134"/>
      <x:c r="H49" s="137"/>
      <x:c r="I49" s="71"/>
      <x:c r="J49" s="75"/>
      <x:c r="K49" s="75"/>
      <x:c r="L49" s="75"/>
      <x:c r="M49" s="75"/>
      <x:c r="N49" s="73"/>
      <x:c r="O49" s="74"/>
    </x:row>
    <x:row r="50" ht="24.949999999999999" customHeight="1"/>
    <x:row r="51" ht="24.949999999999999" customHeight="1"/>
    <x:row r="52" ht="24.949999999999999" customHeight="1"/>
    <x:row r="53" spans="1:15" ht="60" customHeight="1">
      <x:c r="A53" s="112" t="str">
        <x:f>A1</x:f>
        <x:v>2026 아르케 존 06회 번개 모임 점수</x:v>
      </x:c>
      <x:c r="B53" s="112"/>
      <x:c r="C53" s="112"/>
      <x:c r="D53" s="112"/>
      <x:c r="E53" s="112"/>
      <x:c r="F53" s="112"/>
      <x:c r="G53" s="112"/>
      <x:c r="H53" s="112"/>
      <x:c r="I53" s="112"/>
      <x:c r="J53" s="112"/>
      <x:c r="K53" s="112"/>
      <x:c r="L53" s="112"/>
      <x:c r="M53" s="112"/>
      <x:c r="N53" s="112"/>
      <x:c r="O53" s="112"/>
    </x:row>
    <x:row r="54" spans="1:15" ht="24.949999999999999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4" t="s">
        <x:v>48</x:v>
      </x:c>
      <x:c r="M54" s="34"/>
      <x:c r="N54" s="113">
        <x:f>N2</x:f>
        <x:v>46107</x:v>
      </x:c>
      <x:c r="O54" s="114"/>
    </x:row>
    <x:row r="55" spans="1:15" ht="24.949999999999999" customHeight="1">
      <x:c r="A55" s="13"/>
      <x:c r="B55" s="14" t="s">
        <x:v>14</x:v>
      </x:c>
      <x:c r="C55" s="14" t="s">
        <x:v>44</x:v>
      </x:c>
      <x:c r="D55" s="14" t="s">
        <x:v>55</x:v>
      </x:c>
      <x:c r="E55" s="14" t="s">
        <x:v>54</x:v>
      </x:c>
      <x:c r="F55" s="14" t="s">
        <x:v>53</x:v>
      </x:c>
      <x:c r="G55" s="14" t="s">
        <x:v>52</x:v>
      </x:c>
      <x:c r="H55" s="14" t="s">
        <x:v>47</x:v>
      </x:c>
      <x:c r="I55" s="15" t="s">
        <x:v>41</x:v>
      </x:c>
      <x:c r="J55" s="14" t="s">
        <x:v>44</x:v>
      </x:c>
      <x:c r="K55" s="14" t="s">
        <x:v>55</x:v>
      </x:c>
      <x:c r="L55" s="14" t="s">
        <x:v>54</x:v>
      </x:c>
      <x:c r="M55" s="14" t="s">
        <x:v>53</x:v>
      </x:c>
      <x:c r="N55" s="16" t="s">
        <x:v>52</x:v>
      </x:c>
      <x:c r="O55" s="17" t="s">
        <x:v>56</x:v>
      </x:c>
    </x:row>
    <x:row r="56" spans="1:15" ht="24.949999999999999" customHeight="1">
      <x:c r="A56" s="18">
        <x:v>1</x:v>
      </x:c>
      <x:c r="B56" s="19" t="str">
        <x:f t="array" ref="B56:B56">INDEX($B$4:$O$28,MATCH($A56,$W$4:$W$28,0),COLUMN(A$1))</x:f>
        <x:v>김 태 환</x:v>
      </x:c>
      <x:c r="C56" s="20">
        <x:f t="array" ref="C56:C56">INDEX($B$4:$O$28,MATCH($A56,$W$4:$W$28,0),COLUMN(B$1))</x:f>
        <x:v>190</x:v>
      </x:c>
      <x:c r="D56" s="20">
        <x:f t="array" ref="D56:D56">INDEX($B$4:$O$28,MATCH($A56,$W$4:$W$28,0),COLUMN(C$1))</x:f>
        <x:v>203</x:v>
      </x:c>
      <x:c r="E56" s="20">
        <x:f t="array" ref="E56:E56">INDEX($B$4:$O$28,MATCH($A56,$W$4:$W$28,0),COLUMN(D$1))</x:f>
        <x:v>253</x:v>
      </x:c>
      <x:c r="F56" s="20">
        <x:f t="array" ref="F56:F56">INDEX($B$4:$O$28,MATCH($A56,$W$4:$W$28,0),COLUMN(E$1))</x:f>
        <x:v>237</x:v>
      </x:c>
      <x:c r="G56" s="21">
        <x:f>SUM(C56:F56)</x:f>
        <x:v>883</x:v>
      </x:c>
      <x:c r="H56" s="22">
        <x:f>G56/4</x:f>
        <x:v>220.75</x:v>
      </x:c>
      <x:c r="I56" s="23">
        <x:f>IF(B56="","",IFERROR(INDEX('회원명단 및 기준에버'!D:G,MATCH(B56,'회원명단 및 기준에버'!$C:$C,0),CHOOSE(INT((MONTH($N$2)-1)/3)+1,1,2,3,4)),""))</x:f>
        <x:v>198</x:v>
      </x:c>
      <x:c r="J56" s="5">
        <x:f>IFERROR(C56+-I56,0)</x:f>
        <x:v>-8</x:v>
      </x:c>
      <x:c r="K56" s="5">
        <x:f>IFERROR(D56+-I56,0)</x:f>
        <x:v>5</x:v>
      </x:c>
      <x:c r="L56" s="5">
        <x:f>IFERROR(E56+-I56,0)</x:f>
        <x:v>55</x:v>
      </x:c>
      <x:c r="M56" s="5">
        <x:f>IFERROR(F56+-I56,0)</x:f>
        <x:v>39</x:v>
      </x:c>
      <x:c r="N56" s="6">
        <x:f>SUM(J56:M56)</x:f>
        <x:v>91</x:v>
      </x:c>
      <x:c r="O56" s="24">
        <x:f>IFERROR(H56+-I56,0)</x:f>
        <x:v>22.75</x:v>
      </x:c>
    </x:row>
    <x:row r="57" spans="1:15" ht="24.949999999999999" customHeight="1">
      <x:c r="A57" s="18">
        <x:v>2</x:v>
      </x:c>
      <x:c r="B57" s="19" t="str">
        <x:f t="array" ref="B57:B57">INDEX($B$4:$O$28,MATCH($A57,$W$4:$W$28,0),COLUMN(A$1))</x:f>
        <x:v>임 승 기</x:v>
      </x:c>
      <x:c r="C57" s="20">
        <x:f t="array" ref="C57:C57">INDEX($B$4:$O$28,MATCH($A57,$W$4:$W$28,0),COLUMN(B$1))</x:f>
        <x:v>216</x:v>
      </x:c>
      <x:c r="D57" s="20">
        <x:f t="array" ref="D57:D57">INDEX($B$4:$O$28,MATCH($A57,$W$4:$W$28,0),COLUMN(C$1))</x:f>
        <x:v>225</x:v>
      </x:c>
      <x:c r="E57" s="20">
        <x:f t="array" ref="E57:E57">INDEX($B$4:$O$28,MATCH($A57,$W$4:$W$28,0),COLUMN(D$1))</x:f>
        <x:v>231</x:v>
      </x:c>
      <x:c r="F57" s="20">
        <x:f t="array" ref="F57:F57">INDEX($B$4:$O$28,MATCH($A57,$W$4:$W$28,0),COLUMN(E$1))</x:f>
        <x:v>212</x:v>
      </x:c>
      <x:c r="G57" s="21">
        <x:f t="shared" ref="G57:G80" si="11">SUM(C57:F57)</x:f>
        <x:v>884</x:v>
      </x:c>
      <x:c r="H57" s="22">
        <x:f t="shared" ref="H57:H80" si="12">G57/4</x:f>
        <x:v>221</x:v>
      </x:c>
      <x:c r="I57" s="23">
        <x:f>IF(B57="","",IFERROR(INDEX('회원명단 및 기준에버'!D:G,MATCH(B57,'회원명단 및 기준에버'!$C:$C,0),CHOOSE(INT((MONTH($N$2)-1)/3)+1,1,2,3,4)),""))</x:f>
        <x:v>200</x:v>
      </x:c>
      <x:c r="J57" s="5">
        <x:f>IFERROR(C57+-I57,0)</x:f>
        <x:v>16</x:v>
      </x:c>
      <x:c r="K57" s="5">
        <x:f>IFERROR(D57+-I57,0)</x:f>
        <x:v>25</x:v>
      </x:c>
      <x:c r="L57" s="5">
        <x:f>IFERROR(E57+-I57,0)</x:f>
        <x:v>31</x:v>
      </x:c>
      <x:c r="M57" s="5">
        <x:f t="shared" ref="M57:M80" si="13">IFERROR(F57+-I57,0)</x:f>
        <x:v>12</x:v>
      </x:c>
      <x:c r="N57" s="6">
        <x:f t="shared" ref="N57:N80" si="14">SUM(J57:M57)</x:f>
        <x:v>84</x:v>
      </x:c>
      <x:c r="O57" s="24">
        <x:f>IFERROR(H57+-I57,0)</x:f>
        <x:v>21</x:v>
      </x:c>
    </x:row>
    <x:row r="58" spans="1:15" ht="24.949999999999999" customHeight="1">
      <x:c r="A58" s="18">
        <x:v>3</x:v>
      </x:c>
      <x:c r="B58" s="19" t="str">
        <x:f t="array" ref="B58:B58">INDEX($B$4:$O$28,MATCH($A58,$W$4:$W$28,0),COLUMN(A$1))</x:f>
        <x:v>이 재 용</x:v>
      </x:c>
      <x:c r="C58" s="20">
        <x:f t="array" ref="C58:C58">INDEX($B$4:$O$28,MATCH($A58,$W$4:$W$28,0),COLUMN(B$1))</x:f>
        <x:v>251</x:v>
      </x:c>
      <x:c r="D58" s="20">
        <x:f t="array" ref="D58:D58">INDEX($B$4:$O$28,MATCH($A58,$W$4:$W$28,0),COLUMN(C$1))</x:f>
        <x:v>200</x:v>
      </x:c>
      <x:c r="E58" s="20">
        <x:f t="array" ref="E58:E58">INDEX($B$4:$O$28,MATCH($A58,$W$4:$W$28,0),COLUMN(D$1))</x:f>
        <x:v>211</x:v>
      </x:c>
      <x:c r="F58" s="20">
        <x:f t="array" ref="F58:F58">INDEX($B$4:$O$28,MATCH($A58,$W$4:$W$28,0),COLUMN(E$1))</x:f>
        <x:v>171</x:v>
      </x:c>
      <x:c r="G58" s="21">
        <x:f t="shared" si="11"/>
        <x:v>833</x:v>
      </x:c>
      <x:c r="H58" s="22">
        <x:f t="shared" si="12"/>
        <x:v>208.25</x:v>
      </x:c>
      <x:c r="I58" s="23">
        <x:f>IF(B58="","",IFERROR(INDEX('회원명단 및 기준에버'!D:G,MATCH(B58,'회원명단 및 기준에버'!$C:$C,0),CHOOSE(INT((MONTH($N$2)-1)/3)+1,1,2,3,4)),""))</x:f>
        <x:v>190</x:v>
      </x:c>
      <x:c r="J58" s="5">
        <x:f t="shared" ref="J58:J80" si="15">IFERROR(C58+-I58,0)</x:f>
        <x:v>61</x:v>
      </x:c>
      <x:c r="K58" s="5">
        <x:f t="shared" ref="K58:K80" si="16">IFERROR(D58+-I58,0)</x:f>
        <x:v>10</x:v>
      </x:c>
      <x:c r="L58" s="5">
        <x:f t="shared" ref="L58:L80" si="17">IFERROR(E58+-I58,0)</x:f>
        <x:v>21</x:v>
      </x:c>
      <x:c r="M58" s="5">
        <x:f t="shared" si="13"/>
        <x:v>-19</x:v>
      </x:c>
      <x:c r="N58" s="6">
        <x:f t="shared" si="14"/>
        <x:v>73</x:v>
      </x:c>
      <x:c r="O58" s="24">
        <x:f t="shared" ref="O58:O80" si="18">IFERROR(H58+-I58,0)</x:f>
        <x:v>18.25</x:v>
      </x:c>
    </x:row>
    <x:row r="59" spans="1:15" ht="24.949999999999999" customHeight="1">
      <x:c r="A59" s="18">
        <x:v>4</x:v>
      </x:c>
      <x:c r="B59" s="19" t="str">
        <x:f t="array" ref="B59:B59">INDEX($B$4:$O$28,MATCH($A59,$W$4:$W$28,0),COLUMN(A$1))</x:f>
        <x:v>정 영 우</x:v>
      </x:c>
      <x:c r="C59" s="20">
        <x:f t="array" ref="C59:C59">INDEX($B$4:$O$28,MATCH($A59,$W$4:$W$28,0),COLUMN(B$1))</x:f>
        <x:v>216</x:v>
      </x:c>
      <x:c r="D59" s="20">
        <x:f t="array" ref="D59:D59">INDEX($B$4:$O$28,MATCH($A59,$W$4:$W$28,0),COLUMN(C$1))</x:f>
        <x:v>169</x:v>
      </x:c>
      <x:c r="E59" s="20">
        <x:f t="array" ref="E59:E59">INDEX($B$4:$O$28,MATCH($A59,$W$4:$W$28,0),COLUMN(D$1))</x:f>
        <x:v>220</x:v>
      </x:c>
      <x:c r="F59" s="20">
        <x:f t="array" ref="F59:F59">INDEX($B$4:$O$28,MATCH($A59,$W$4:$W$28,0),COLUMN(E$1))</x:f>
        <x:v>203</x:v>
      </x:c>
      <x:c r="G59" s="21">
        <x:f t="shared" si="11"/>
        <x:v>808</x:v>
      </x:c>
      <x:c r="H59" s="22">
        <x:f t="shared" si="12"/>
        <x:v>202</x:v>
      </x:c>
      <x:c r="I59" s="23">
        <x:f>IF(B59="","",IFERROR(INDEX('회원명단 및 기준에버'!D:G,MATCH(B59,'회원명단 및 기준에버'!$C:$C,0),CHOOSE(INT((MONTH($N$2)-1)/3)+1,1,2,3,4)),""))</x:f>
        <x:v>184</x:v>
      </x:c>
      <x:c r="J59" s="5">
        <x:f t="shared" si="15"/>
        <x:v>32</x:v>
      </x:c>
      <x:c r="K59" s="5">
        <x:f t="shared" si="16"/>
        <x:v>-15</x:v>
      </x:c>
      <x:c r="L59" s="5">
        <x:f t="shared" si="17"/>
        <x:v>36</x:v>
      </x:c>
      <x:c r="M59" s="5">
        <x:f t="shared" si="13"/>
        <x:v>19</x:v>
      </x:c>
      <x:c r="N59" s="6">
        <x:f t="shared" si="14"/>
        <x:v>72</x:v>
      </x:c>
      <x:c r="O59" s="24">
        <x:f t="shared" si="18"/>
        <x:v>18</x:v>
      </x:c>
    </x:row>
    <x:row r="60" spans="1:15" ht="24.949999999999999" customHeight="1">
      <x:c r="A60" s="18">
        <x:v>5</x:v>
      </x:c>
      <x:c r="B60" s="19" t="str">
        <x:f t="array" ref="B60:B60">INDEX($B$4:$O$28,MATCH($A60,$W$4:$W$28,0),COLUMN(A$1))</x:f>
        <x:v>변 상 필</x:v>
      </x:c>
      <x:c r="C60" s="20">
        <x:f t="array" ref="C60:C60">INDEX($B$4:$O$28,MATCH($A60,$W$4:$W$28,0),COLUMN(B$1))</x:f>
        <x:v>215</x:v>
      </x:c>
      <x:c r="D60" s="20">
        <x:f t="array" ref="D60:D60">INDEX($B$4:$O$28,MATCH($A60,$W$4:$W$28,0),COLUMN(C$1))</x:f>
        <x:v>179</x:v>
      </x:c>
      <x:c r="E60" s="20">
        <x:f t="array" ref="E60:E60">INDEX($B$4:$O$28,MATCH($A60,$W$4:$W$28,0),COLUMN(D$1))</x:f>
        <x:v>236</x:v>
      </x:c>
      <x:c r="F60" s="20">
        <x:f t="array" ref="F60:F60">INDEX($B$4:$O$28,MATCH($A60,$W$4:$W$28,0),COLUMN(E$1))</x:f>
        <x:v>230</x:v>
      </x:c>
      <x:c r="G60" s="21">
        <x:f t="shared" si="11"/>
        <x:v>860</x:v>
      </x:c>
      <x:c r="H60" s="22">
        <x:f t="shared" si="12"/>
        <x:v>215</x:v>
      </x:c>
      <x:c r="I60" s="23">
        <x:f>IF(B60="","",IFERROR(INDEX('회원명단 및 기준에버'!D:G,MATCH(B60,'회원명단 및 기준에버'!$C:$C,0),CHOOSE(INT((MONTH($N$2)-1)/3)+1,1,2,3,4)),""))</x:f>
        <x:v>200</x:v>
      </x:c>
      <x:c r="J60" s="5">
        <x:f t="shared" si="15"/>
        <x:v>15</x:v>
      </x:c>
      <x:c r="K60" s="5">
        <x:f t="shared" si="16"/>
        <x:v>-21</x:v>
      </x:c>
      <x:c r="L60" s="5">
        <x:f t="shared" si="17"/>
        <x:v>36</x:v>
      </x:c>
      <x:c r="M60" s="5">
        <x:f t="shared" si="13"/>
        <x:v>30</x:v>
      </x:c>
      <x:c r="N60" s="6">
        <x:f t="shared" si="14"/>
        <x:v>60</x:v>
      </x:c>
      <x:c r="O60" s="24">
        <x:f t="shared" si="18"/>
        <x:v>15</x:v>
      </x:c>
    </x:row>
    <x:row r="61" spans="1:15" ht="24.949999999999999" customHeight="1">
      <x:c r="A61" s="18">
        <x:v>6</x:v>
      </x:c>
      <x:c r="B61" s="19" t="str">
        <x:f t="array" ref="B61:B61">INDEX($B$4:$O$28,MATCH($A61,$W$4:$W$28,0),COLUMN(A$1))</x:f>
        <x:v>이 정 석</x:v>
      </x:c>
      <x:c r="C61" s="20">
        <x:f t="array" ref="C61:C61">INDEX($B$4:$O$28,MATCH($A61,$W$4:$W$28,0),COLUMN(B$1))</x:f>
        <x:v>216</x:v>
      </x:c>
      <x:c r="D61" s="20">
        <x:f t="array" ref="D61:D61">INDEX($B$4:$O$28,MATCH($A61,$W$4:$W$28,0),COLUMN(C$1))</x:f>
        <x:v>174</x:v>
      </x:c>
      <x:c r="E61" s="20">
        <x:f t="array" ref="E61:E61">INDEX($B$4:$O$28,MATCH($A61,$W$4:$W$28,0),COLUMN(D$1))</x:f>
        <x:v>215</x:v>
      </x:c>
      <x:c r="F61" s="20">
        <x:f t="array" ref="F61:F61">INDEX($B$4:$O$28,MATCH($A61,$W$4:$W$28,0),COLUMN(E$1))</x:f>
        <x:v>228</x:v>
      </x:c>
      <x:c r="G61" s="21">
        <x:f t="shared" si="11"/>
        <x:v>833</x:v>
      </x:c>
      <x:c r="H61" s="22">
        <x:f t="shared" si="12"/>
        <x:v>208.25</x:v>
      </x:c>
      <x:c r="I61" s="23">
        <x:f>IF(B61="","",IFERROR(INDEX('회원명단 및 기준에버'!D:G,MATCH(B61,'회원명단 및 기준에버'!$C:$C,0),CHOOSE(INT((MONTH($N$2)-1)/3)+1,1,2,3,4)),""))</x:f>
        <x:v>196</x:v>
      </x:c>
      <x:c r="J61" s="5">
        <x:f t="shared" si="15"/>
        <x:v>20</x:v>
      </x:c>
      <x:c r="K61" s="5">
        <x:f t="shared" si="16"/>
        <x:v>-22</x:v>
      </x:c>
      <x:c r="L61" s="5">
        <x:f t="shared" si="17"/>
        <x:v>19</x:v>
      </x:c>
      <x:c r="M61" s="5">
        <x:f t="shared" si="13"/>
        <x:v>32</x:v>
      </x:c>
      <x:c r="N61" s="6">
        <x:f t="shared" si="14"/>
        <x:v>49</x:v>
      </x:c>
      <x:c r="O61" s="24">
        <x:f t="shared" si="18"/>
        <x:v>12.25</x:v>
      </x:c>
    </x:row>
    <x:row r="62" spans="1:15" ht="24.949999999999999" customHeight="1">
      <x:c r="A62" s="18">
        <x:v>7</x:v>
      </x:c>
      <x:c r="B62" s="19" t="str">
        <x:f t="array" ref="B62:B62">INDEX($B$4:$O$28,MATCH($A62,$W$4:$W$28,0),COLUMN(A$1))</x:f>
        <x:v>임 연 진</x:v>
      </x:c>
      <x:c r="C62" s="20">
        <x:f t="array" ref="C62:C62">INDEX($B$4:$O$28,MATCH($A62,$W$4:$W$28,0),COLUMN(B$1))</x:f>
        <x:v>243</x:v>
      </x:c>
      <x:c r="D62" s="20">
        <x:f t="array" ref="D62:D62">INDEX($B$4:$O$28,MATCH($A62,$W$4:$W$28,0),COLUMN(C$1))</x:f>
        <x:v>175</x:v>
      </x:c>
      <x:c r="E62" s="20">
        <x:f t="array" ref="E62:E62">INDEX($B$4:$O$28,MATCH($A62,$W$4:$W$28,0),COLUMN(D$1))</x:f>
        <x:v>192</x:v>
      </x:c>
      <x:c r="F62" s="20">
        <x:f t="array" ref="F62:F62">INDEX($B$4:$O$28,MATCH($A62,$W$4:$W$28,0),COLUMN(E$1))</x:f>
        <x:v>210</x:v>
      </x:c>
      <x:c r="G62" s="21">
        <x:f t="shared" si="11"/>
        <x:v>820</x:v>
      </x:c>
      <x:c r="H62" s="22">
        <x:f t="shared" si="12"/>
        <x:v>205</x:v>
      </x:c>
      <x:c r="I62" s="23">
        <x:f>IF(B62="","",IFERROR(INDEX('회원명단 및 기준에버'!D:G,MATCH(B62,'회원명단 및 기준에버'!$C:$C,0),CHOOSE(INT((MONTH($N$2)-1)/3)+1,1,2,3,4)),""))</x:f>
        <x:v>194</x:v>
      </x:c>
      <x:c r="J62" s="5">
        <x:f t="shared" si="15"/>
        <x:v>49</x:v>
      </x:c>
      <x:c r="K62" s="5">
        <x:f t="shared" si="16"/>
        <x:v>-19</x:v>
      </x:c>
      <x:c r="L62" s="5">
        <x:f t="shared" si="17"/>
        <x:v>-2</x:v>
      </x:c>
      <x:c r="M62" s="5">
        <x:f t="shared" si="13"/>
        <x:v>16</x:v>
      </x:c>
      <x:c r="N62" s="6">
        <x:f t="shared" si="14"/>
        <x:v>44</x:v>
      </x:c>
      <x:c r="O62" s="24">
        <x:f t="shared" si="18"/>
        <x:v>11</x:v>
      </x:c>
    </x:row>
    <x:row r="63" spans="1:15" ht="24.949999999999999" customHeight="1">
      <x:c r="A63" s="18">
        <x:v>8</x:v>
      </x:c>
      <x:c r="B63" s="19" t="str">
        <x:f t="array" ref="B63:B63">INDEX($B$4:$O$28,MATCH($A63,$W$4:$W$28,0),COLUMN(A$1))</x:f>
        <x:v>이 승 미</x:v>
      </x:c>
      <x:c r="C63" s="20">
        <x:f t="array" ref="C63:C63">INDEX($B$4:$O$28,MATCH($A63,$W$4:$W$28,0),COLUMN(B$1))</x:f>
        <x:v>172</x:v>
      </x:c>
      <x:c r="D63" s="20">
        <x:f t="array" ref="D63:D63">INDEX($B$4:$O$28,MATCH($A63,$W$4:$W$28,0),COLUMN(C$1))</x:f>
        <x:v>182</x:v>
      </x:c>
      <x:c r="E63" s="20">
        <x:f t="array" ref="E63:E63">INDEX($B$4:$O$28,MATCH($A63,$W$4:$W$28,0),COLUMN(D$1))</x:f>
        <x:v>176</x:v>
      </x:c>
      <x:c r="F63" s="20">
        <x:f t="array" ref="F63:F63">INDEX($B$4:$O$28,MATCH($A63,$W$4:$W$28,0),COLUMN(E$1))</x:f>
        <x:v>170</x:v>
      </x:c>
      <x:c r="G63" s="21">
        <x:f t="shared" si="11"/>
        <x:v>700</x:v>
      </x:c>
      <x:c r="H63" s="22">
        <x:f t="shared" si="12"/>
        <x:v>175</x:v>
      </x:c>
      <x:c r="I63" s="23">
        <x:f>IF(B63="","",IFERROR(INDEX('회원명단 및 기준에버'!D:G,MATCH(B63,'회원명단 및 기준에버'!$C:$C,0),CHOOSE(INT((MONTH($N$2)-1)/3)+1,1,2,3,4)),""))</x:f>
        <x:v>165</x:v>
      </x:c>
      <x:c r="J63" s="5">
        <x:f t="shared" si="15"/>
        <x:v>7</x:v>
      </x:c>
      <x:c r="K63" s="5">
        <x:f t="shared" si="16"/>
        <x:v>17</x:v>
      </x:c>
      <x:c r="L63" s="5">
        <x:f t="shared" si="17"/>
        <x:v>11</x:v>
      </x:c>
      <x:c r="M63" s="5">
        <x:f t="shared" si="13"/>
        <x:v>5</x:v>
      </x:c>
      <x:c r="N63" s="6">
        <x:f t="shared" si="14"/>
        <x:v>40</x:v>
      </x:c>
      <x:c r="O63" s="24">
        <x:f t="shared" si="18"/>
        <x:v>10</x:v>
      </x:c>
    </x:row>
    <x:row r="64" spans="1:15" ht="24.949999999999999" customHeight="1">
      <x:c r="A64" s="18">
        <x:v>9</x:v>
      </x:c>
      <x:c r="B64" s="19" t="str">
        <x:f t="array" ref="B64:B64">INDEX($B$4:$O$28,MATCH($A64,$W$4:$W$28,0),COLUMN(A$1))</x:f>
        <x:v>나 경 주</x:v>
      </x:c>
      <x:c r="C64" s="20">
        <x:f t="array" ref="C64:C64">INDEX($B$4:$O$28,MATCH($A64,$W$4:$W$28,0),COLUMN(B$1))</x:f>
        <x:v>190</x:v>
      </x:c>
      <x:c r="D64" s="20">
        <x:f t="array" ref="D64:D64">INDEX($B$4:$O$28,MATCH($A64,$W$4:$W$28,0),COLUMN(C$1))</x:f>
        <x:v>204</x:v>
      </x:c>
      <x:c r="E64" s="20">
        <x:f t="array" ref="E64:E64">INDEX($B$4:$O$28,MATCH($A64,$W$4:$W$28,0),COLUMN(D$1))</x:f>
        <x:v>212</x:v>
      </x:c>
      <x:c r="F64" s="20">
        <x:f t="array" ref="F64:F64">INDEX($B$4:$O$28,MATCH($A64,$W$4:$W$28,0),COLUMN(E$1))</x:f>
        <x:v>201</x:v>
      </x:c>
      <x:c r="G64" s="21">
        <x:f t="shared" si="11"/>
        <x:v>807</x:v>
      </x:c>
      <x:c r="H64" s="22">
        <x:f t="shared" si="12"/>
        <x:v>201.75</x:v>
      </x:c>
      <x:c r="I64" s="23">
        <x:f>IF(B64="","",IFERROR(INDEX('회원명단 및 기준에버'!D:G,MATCH(B64,'회원명단 및 기준에버'!$C:$C,0),CHOOSE(INT((MONTH($N$2)-1)/3)+1,1,2,3,4)),""))</x:f>
        <x:v>192</x:v>
      </x:c>
      <x:c r="J64" s="5">
        <x:f t="shared" si="15"/>
        <x:v>-2</x:v>
      </x:c>
      <x:c r="K64" s="5">
        <x:f t="shared" si="16"/>
        <x:v>12</x:v>
      </x:c>
      <x:c r="L64" s="5">
        <x:f t="shared" si="17"/>
        <x:v>20</x:v>
      </x:c>
      <x:c r="M64" s="5">
        <x:f t="shared" si="13"/>
        <x:v>9</x:v>
      </x:c>
      <x:c r="N64" s="6">
        <x:f t="shared" si="14"/>
        <x:v>39</x:v>
      </x:c>
      <x:c r="O64" s="24">
        <x:f t="shared" si="18"/>
        <x:v>9.75</x:v>
      </x:c>
    </x:row>
    <x:row r="65" spans="1:15" ht="24.949999999999999" customHeight="1">
      <x:c r="A65" s="18">
        <x:v>10</x:v>
      </x:c>
      <x:c r="B65" s="19" t="str">
        <x:f t="array" ref="B65:B65">INDEX($B$4:$O$28,MATCH($A65,$W$4:$W$28,0),COLUMN(A$1))</x:f>
        <x:v>지 옥 명</x:v>
      </x:c>
      <x:c r="C65" s="20">
        <x:f t="array" ref="C65:C65">INDEX($B$4:$O$28,MATCH($A65,$W$4:$W$28,0),COLUMN(B$1))</x:f>
        <x:v>188</x:v>
      </x:c>
      <x:c r="D65" s="20">
        <x:f t="array" ref="D65:D65">INDEX($B$4:$O$28,MATCH($A65,$W$4:$W$28,0),COLUMN(C$1))</x:f>
        <x:v>172</x:v>
      </x:c>
      <x:c r="E65" s="20">
        <x:f t="array" ref="E65:E65">INDEX($B$4:$O$28,MATCH($A65,$W$4:$W$28,0),COLUMN(D$1))</x:f>
        <x:v>178</x:v>
      </x:c>
      <x:c r="F65" s="20">
        <x:f t="array" ref="F65:F65">INDEX($B$4:$O$28,MATCH($A65,$W$4:$W$28,0),COLUMN(E$1))</x:f>
        <x:v>230</x:v>
      </x:c>
      <x:c r="G65" s="21">
        <x:f t="shared" si="11"/>
        <x:v>768</x:v>
      </x:c>
      <x:c r="H65" s="22">
        <x:f t="shared" si="12"/>
        <x:v>192</x:v>
      </x:c>
      <x:c r="I65" s="23">
        <x:f>IF(B65="","",IFERROR(INDEX('회원명단 및 기준에버'!D:G,MATCH(B65,'회원명단 및 기준에버'!$C:$C,0),CHOOSE(INT((MONTH($N$2)-1)/3)+1,1,2,3,4)),""))</x:f>
        <x:v>183</x:v>
      </x:c>
      <x:c r="J65" s="5">
        <x:f t="shared" si="15"/>
        <x:v>5</x:v>
      </x:c>
      <x:c r="K65" s="5">
        <x:f t="shared" si="16"/>
        <x:v>-11</x:v>
      </x:c>
      <x:c r="L65" s="5">
        <x:f t="shared" si="17"/>
        <x:v>-5</x:v>
      </x:c>
      <x:c r="M65" s="5">
        <x:f t="shared" si="13"/>
        <x:v>47</x:v>
      </x:c>
      <x:c r="N65" s="6">
        <x:f t="shared" si="14"/>
        <x:v>36</x:v>
      </x:c>
      <x:c r="O65" s="24">
        <x:f t="shared" si="18"/>
        <x:v>9</x:v>
      </x:c>
    </x:row>
    <x:row r="66" spans="1:15" ht="24.949999999999999" customHeight="1">
      <x:c r="A66" s="18">
        <x:v>11</x:v>
      </x:c>
      <x:c r="B66" s="19" t="str">
        <x:f t="array" ref="B66:B66">INDEX($B$4:$O$28,MATCH($A66,$W$4:$W$28,0),COLUMN(A$1))</x:f>
        <x:v>강 완 규</x:v>
      </x:c>
      <x:c r="C66" s="20">
        <x:f t="array" ref="C66:C66">INDEX($B$4:$O$28,MATCH($A66,$W$4:$W$28,0),COLUMN(B$1))</x:f>
        <x:v>194</x:v>
      </x:c>
      <x:c r="D66" s="20">
        <x:f t="array" ref="D66:D66">INDEX($B$4:$O$28,MATCH($A66,$W$4:$W$28,0),COLUMN(C$1))</x:f>
        <x:v>183</x:v>
      </x:c>
      <x:c r="E66" s="20">
        <x:f t="array" ref="E66:E66">INDEX($B$4:$O$28,MATCH($A66,$W$4:$W$28,0),COLUMN(D$1))</x:f>
        <x:v>227</x:v>
      </x:c>
      <x:c r="F66" s="20">
        <x:f t="array" ref="F66:F66">INDEX($B$4:$O$28,MATCH($A66,$W$4:$W$28,0),COLUMN(E$1))</x:f>
        <x:v>201</x:v>
      </x:c>
      <x:c r="G66" s="21">
        <x:f t="shared" si="11"/>
        <x:v>805</x:v>
      </x:c>
      <x:c r="H66" s="22">
        <x:f t="shared" si="12"/>
        <x:v>201.25</x:v>
      </x:c>
      <x:c r="I66" s="23">
        <x:f>IF(B66="","",IFERROR(INDEX('회원명단 및 기준에버'!D:G,MATCH(B66,'회원명단 및 기준에버'!$C:$C,0),CHOOSE(INT((MONTH($N$2)-1)/3)+1,1,2,3,4)),""))</x:f>
        <x:v>194</x:v>
      </x:c>
      <x:c r="J66" s="5">
        <x:f t="shared" si="15"/>
        <x:v>0</x:v>
      </x:c>
      <x:c r="K66" s="5">
        <x:f t="shared" si="16"/>
        <x:v>-11</x:v>
      </x:c>
      <x:c r="L66" s="5">
        <x:f t="shared" si="17"/>
        <x:v>33</x:v>
      </x:c>
      <x:c r="M66" s="5">
        <x:f t="shared" si="13"/>
        <x:v>7</x:v>
      </x:c>
      <x:c r="N66" s="6">
        <x:f t="shared" si="14"/>
        <x:v>29</x:v>
      </x:c>
      <x:c r="O66" s="24">
        <x:f t="shared" si="18"/>
        <x:v>7.25</x:v>
      </x:c>
    </x:row>
    <x:row r="67" spans="1:15" ht="24.949999999999999" customHeight="1">
      <x:c r="A67" s="18">
        <x:v>12</x:v>
      </x:c>
      <x:c r="B67" s="19" t="str">
        <x:f t="array" ref="B67:B67">INDEX($B$4:$O$28,MATCH($A67,$W$4:$W$28,0),COLUMN(A$1))</x:f>
        <x:v>이 상 현</x:v>
      </x:c>
      <x:c r="C67" s="20">
        <x:f t="array" ref="C67:C67">INDEX($B$4:$O$28,MATCH($A67,$W$4:$W$28,0),COLUMN(B$1))</x:f>
        <x:v>222</x:v>
      </x:c>
      <x:c r="D67" s="20">
        <x:f t="array" ref="D67:D67">INDEX($B$4:$O$28,MATCH($A67,$W$4:$W$28,0),COLUMN(C$1))</x:f>
        <x:v>181</x:v>
      </x:c>
      <x:c r="E67" s="20">
        <x:f t="array" ref="E67:E67">INDEX($B$4:$O$28,MATCH($A67,$W$4:$W$28,0),COLUMN(D$1))</x:f>
        <x:v>181</x:v>
      </x:c>
      <x:c r="F67" s="20">
        <x:f t="array" ref="F67:F67">INDEX($B$4:$O$28,MATCH($A67,$W$4:$W$28,0),COLUMN(E$1))</x:f>
        <x:v>184</x:v>
      </x:c>
      <x:c r="G67" s="21">
        <x:f t="shared" si="11"/>
        <x:v>768</x:v>
      </x:c>
      <x:c r="H67" s="22">
        <x:f t="shared" si="12"/>
        <x:v>192</x:v>
      </x:c>
      <x:c r="I67" s="23">
        <x:f>IF(B67="","",IFERROR(INDEX('회원명단 및 기준에버'!D:G,MATCH(B67,'회원명단 및 기준에버'!$C:$C,0),CHOOSE(INT((MONTH($N$2)-1)/3)+1,1,2,3,4)),""))</x:f>
        <x:v>188</x:v>
      </x:c>
      <x:c r="J67" s="5">
        <x:f t="shared" si="15"/>
        <x:v>34</x:v>
      </x:c>
      <x:c r="K67" s="5">
        <x:f t="shared" si="16"/>
        <x:v>-7</x:v>
      </x:c>
      <x:c r="L67" s="5">
        <x:f t="shared" si="17"/>
        <x:v>-7</x:v>
      </x:c>
      <x:c r="M67" s="5">
        <x:f t="shared" si="13"/>
        <x:v>-4</x:v>
      </x:c>
      <x:c r="N67" s="6">
        <x:f t="shared" si="14"/>
        <x:v>16</x:v>
      </x:c>
      <x:c r="O67" s="24">
        <x:f t="shared" si="18"/>
        <x:v>4</x:v>
      </x:c>
    </x:row>
    <x:row r="68" spans="1:15" ht="24.949999999999999" customHeight="1">
      <x:c r="A68" s="18">
        <x:v>13</x:v>
      </x:c>
      <x:c r="B68" s="19" t="str">
        <x:f t="array" ref="B68:B68">INDEX($B$4:$O$28,MATCH($A68,$W$4:$W$28,0),COLUMN(A$1))</x:f>
        <x:v>윤    주</x:v>
      </x:c>
      <x:c r="C68" s="20">
        <x:f t="array" ref="C68:C68">INDEX($B$4:$O$28,MATCH($A68,$W$4:$W$28,0),COLUMN(B$1))</x:f>
        <x:v>159</x:v>
      </x:c>
      <x:c r="D68" s="20">
        <x:f t="array" ref="D68:D68">INDEX($B$4:$O$28,MATCH($A68,$W$4:$W$28,0),COLUMN(C$1))</x:f>
        <x:v>151</x:v>
      </x:c>
      <x:c r="E68" s="20">
        <x:f t="array" ref="E68:E68">INDEX($B$4:$O$28,MATCH($A68,$W$4:$W$28,0),COLUMN(D$1))</x:f>
        <x:v>178</x:v>
      </x:c>
      <x:c r="F68" s="20">
        <x:f t="array" ref="F68:F68">INDEX($B$4:$O$28,MATCH($A68,$W$4:$W$28,0),COLUMN(E$1))</x:f>
        <x:v>149</x:v>
      </x:c>
      <x:c r="G68" s="21">
        <x:f t="shared" si="11"/>
        <x:v>637</x:v>
      </x:c>
      <x:c r="H68" s="22">
        <x:f t="shared" si="12"/>
        <x:v>159.25</x:v>
      </x:c>
      <x:c r="I68" s="23" t="str">
        <x:f>IF(B68="","",IFERROR(INDEX('회원명단 및 기준에버'!D:G,MATCH(B68,'회원명단 및 기준에버'!$C:$C,0),CHOOSE(INT((MONTH($N$2)-1)/3)+1,1,2,3,4)),""))</x:f>
        <x:v/>
      </x:c>
      <x:c r="J68" s="5">
        <x:f t="shared" si="15"/>
        <x:v>0</x:v>
      </x:c>
      <x:c r="K68" s="5">
        <x:f t="shared" si="16"/>
        <x:v>0</x:v>
      </x:c>
      <x:c r="L68" s="5">
        <x:f t="shared" si="17"/>
        <x:v>0</x:v>
      </x:c>
      <x:c r="M68" s="5">
        <x:f t="shared" si="13"/>
        <x:v>0</x:v>
      </x:c>
      <x:c r="N68" s="6">
        <x:f t="shared" si="14"/>
        <x:v>0</x:v>
      </x:c>
      <x:c r="O68" s="24">
        <x:f t="shared" si="18"/>
        <x:v>0</x:v>
      </x:c>
    </x:row>
    <x:row r="69" spans="1:15" ht="24.949999999999999" customHeight="1">
      <x:c r="A69" s="18">
        <x:v>14</x:v>
      </x:c>
      <x:c r="B69" s="19" t="str">
        <x:f t="array" ref="B69:B69">INDEX($B$4:$O$28,MATCH($A69,$W$4:$W$28,0),COLUMN(A$1))</x:f>
        <x:v>이 우 석</x:v>
      </x:c>
      <x:c r="C69" s="20">
        <x:f t="array" ref="C69:C69">INDEX($B$4:$O$28,MATCH($A69,$W$4:$W$28,0),COLUMN(B$1))</x:f>
        <x:v>159</x:v>
      </x:c>
      <x:c r="D69" s="20">
        <x:f t="array" ref="D69:D69">INDEX($B$4:$O$28,MATCH($A69,$W$4:$W$28,0),COLUMN(C$1))</x:f>
        <x:v>251</x:v>
      </x:c>
      <x:c r="E69" s="20">
        <x:f t="array" ref="E69:E69">INDEX($B$4:$O$28,MATCH($A69,$W$4:$W$28,0),COLUMN(D$1))</x:f>
        <x:v>187</x:v>
      </x:c>
      <x:c r="F69" s="20">
        <x:f t="array" ref="F69:F69">INDEX($B$4:$O$28,MATCH($A69,$W$4:$W$28,0),COLUMN(E$1))</x:f>
        <x:v>195</x:v>
      </x:c>
      <x:c r="G69" s="21">
        <x:f t="shared" si="11"/>
        <x:v>792</x:v>
      </x:c>
      <x:c r="H69" s="22">
        <x:f t="shared" si="12"/>
        <x:v>198</x:v>
      </x:c>
      <x:c r="I69" s="23">
        <x:f>IF(B69="","",IFERROR(INDEX('회원명단 및 기준에버'!D:G,MATCH(B69,'회원명단 및 기준에버'!$C:$C,0),CHOOSE(INT((MONTH($N$2)-1)/3)+1,1,2,3,4)),""))</x:f>
        <x:v>200</x:v>
      </x:c>
      <x:c r="J69" s="5">
        <x:f t="shared" si="15"/>
        <x:v>-41</x:v>
      </x:c>
      <x:c r="K69" s="5">
        <x:f t="shared" si="16"/>
        <x:v>51</x:v>
      </x:c>
      <x:c r="L69" s="5">
        <x:f t="shared" si="17"/>
        <x:v>-13</x:v>
      </x:c>
      <x:c r="M69" s="5">
        <x:f t="shared" si="13"/>
        <x:v>-5</x:v>
      </x:c>
      <x:c r="N69" s="6">
        <x:f t="shared" si="14"/>
        <x:v>-8</x:v>
      </x:c>
      <x:c r="O69" s="24">
        <x:f t="shared" si="18"/>
        <x:v>-2</x:v>
      </x:c>
    </x:row>
    <x:row r="70" spans="1:15" ht="24.949999999999999" customHeight="1">
      <x:c r="A70" s="18">
        <x:v>15</x:v>
      </x:c>
      <x:c r="B70" s="19" t="str">
        <x:f t="array" ref="B70:B70">INDEX($B$4:$O$28,MATCH($A70,$W$4:$W$28,0),COLUMN(A$1))</x:f>
        <x:v>황 인 교</x:v>
      </x:c>
      <x:c r="C70" s="20">
        <x:f t="array" ref="C70:C70">INDEX($B$4:$O$28,MATCH($A70,$W$4:$W$28,0),COLUMN(B$1))</x:f>
        <x:v>200</x:v>
      </x:c>
      <x:c r="D70" s="20">
        <x:f t="array" ref="D70:D70">INDEX($B$4:$O$28,MATCH($A70,$W$4:$W$28,0),COLUMN(C$1))</x:f>
        <x:v>213</x:v>
      </x:c>
      <x:c r="E70" s="20">
        <x:f t="array" ref="E70:E70">INDEX($B$4:$O$28,MATCH($A70,$W$4:$W$28,0),COLUMN(D$1))</x:f>
        <x:v>169</x:v>
      </x:c>
      <x:c r="F70" s="20">
        <x:f t="array" ref="F70:F70">INDEX($B$4:$O$28,MATCH($A70,$W$4:$W$28,0),COLUMN(E$1))</x:f>
        <x:v>143</x:v>
      </x:c>
      <x:c r="G70" s="21">
        <x:f t="shared" si="11"/>
        <x:v>725</x:v>
      </x:c>
      <x:c r="H70" s="22">
        <x:f t="shared" si="12"/>
        <x:v>181.25</x:v>
      </x:c>
      <x:c r="I70" s="23">
        <x:f>IF(B70="","",IFERROR(INDEX('회원명단 및 기준에버'!D:G,MATCH(B70,'회원명단 및 기준에버'!$C:$C,0),CHOOSE(INT((MONTH($N$2)-1)/3)+1,1,2,3,4)),""))</x:f>
        <x:v>184</x:v>
      </x:c>
      <x:c r="J70" s="5">
        <x:f t="shared" si="15"/>
        <x:v>16</x:v>
      </x:c>
      <x:c r="K70" s="5">
        <x:f t="shared" si="16"/>
        <x:v>29</x:v>
      </x:c>
      <x:c r="L70" s="5">
        <x:f t="shared" si="17"/>
        <x:v>-15</x:v>
      </x:c>
      <x:c r="M70" s="5">
        <x:f t="shared" si="13"/>
        <x:v>-41</x:v>
      </x:c>
      <x:c r="N70" s="6">
        <x:f t="shared" si="14"/>
        <x:v>-11</x:v>
      </x:c>
      <x:c r="O70" s="24">
        <x:f t="shared" si="18"/>
        <x:v>-2.75</x:v>
      </x:c>
    </x:row>
    <x:row r="71" spans="1:15" ht="24.949999999999999" customHeight="1">
      <x:c r="A71" s="18">
        <x:v>16</x:v>
      </x:c>
      <x:c r="B71" s="19" t="str">
        <x:f t="array" ref="B71:B71">INDEX($B$4:$O$28,MATCH($A71,$W$4:$W$28,0),COLUMN(A$1))</x:f>
        <x:v>김 정 희</x:v>
      </x:c>
      <x:c r="C71" s="20">
        <x:f t="array" ref="C71:C71">INDEX($B$4:$O$28,MATCH($A71,$W$4:$W$28,0),COLUMN(B$1))</x:f>
        <x:v>236</x:v>
      </x:c>
      <x:c r="D71" s="20">
        <x:f t="array" ref="D71:D71">INDEX($B$4:$O$28,MATCH($A71,$W$4:$W$28,0),COLUMN(C$1))</x:f>
        <x:v>202</x:v>
      </x:c>
      <x:c r="E71" s="20">
        <x:f t="array" ref="E71:E71">INDEX($B$4:$O$28,MATCH($A71,$W$4:$W$28,0),COLUMN(D$1))</x:f>
        <x:v>199</x:v>
      </x:c>
      <x:c r="F71" s="20">
        <x:f t="array" ref="F71:F71">INDEX($B$4:$O$28,MATCH($A71,$W$4:$W$28,0),COLUMN(E$1))</x:f>
        <x:v>151</x:v>
      </x:c>
      <x:c r="G71" s="21">
        <x:f t="shared" si="11"/>
        <x:v>788</x:v>
      </x:c>
      <x:c r="H71" s="22">
        <x:f t="shared" si="12"/>
        <x:v>197</x:v>
      </x:c>
      <x:c r="I71" s="23">
        <x:f>IF(B71="","",IFERROR(INDEX('회원명단 및 기준에버'!D:G,MATCH(B71,'회원명단 및 기준에버'!$C:$C,0),CHOOSE(INT((MONTH($N$2)-1)/3)+1,1,2,3,4)),""))</x:f>
        <x:v>200</x:v>
      </x:c>
      <x:c r="J71" s="5">
        <x:f t="shared" si="15"/>
        <x:v>36</x:v>
      </x:c>
      <x:c r="K71" s="5">
        <x:f t="shared" si="16"/>
        <x:v>2</x:v>
      </x:c>
      <x:c r="L71" s="5">
        <x:f t="shared" si="17"/>
        <x:v>-1</x:v>
      </x:c>
      <x:c r="M71" s="5">
        <x:f t="shared" si="13"/>
        <x:v>-49</x:v>
      </x:c>
      <x:c r="N71" s="6">
        <x:f t="shared" si="14"/>
        <x:v>-12</x:v>
      </x:c>
      <x:c r="O71" s="24">
        <x:f t="shared" si="18"/>
        <x:v>-3</x:v>
      </x:c>
    </x:row>
    <x:row r="72" spans="1:15" ht="24.949999999999999" customHeight="1">
      <x:c r="A72" s="18">
        <x:v>17</x:v>
      </x:c>
      <x:c r="B72" s="19" t="str">
        <x:f t="array" ref="B72:B72">INDEX($B$4:$O$28,MATCH($A72,$W$4:$W$28,0),COLUMN(A$1))</x:f>
        <x:v>고 경 훈</x:v>
      </x:c>
      <x:c r="C72" s="20">
        <x:f t="array" ref="C72:C72">INDEX($B$4:$O$28,MATCH($A72,$W$4:$W$28,0),COLUMN(B$1))</x:f>
        <x:v>192</x:v>
      </x:c>
      <x:c r="D72" s="20">
        <x:f t="array" ref="D72:D72">INDEX($B$4:$O$28,MATCH($A72,$W$4:$W$28,0),COLUMN(C$1))</x:f>
        <x:v>145</x:v>
      </x:c>
      <x:c r="E72" s="20">
        <x:f t="array" ref="E72:E72">INDEX($B$4:$O$28,MATCH($A72,$W$4:$W$28,0),COLUMN(D$1))</x:f>
        <x:v>203</x:v>
      </x:c>
      <x:c r="F72" s="20">
        <x:f t="array" ref="F72:F72">INDEX($B$4:$O$28,MATCH($A72,$W$4:$W$28,0),COLUMN(E$1))</x:f>
        <x:v>223</x:v>
      </x:c>
      <x:c r="G72" s="21">
        <x:f t="shared" si="11"/>
        <x:v>763</x:v>
      </x:c>
      <x:c r="H72" s="22">
        <x:f t="shared" si="12"/>
        <x:v>190.75</x:v>
      </x:c>
      <x:c r="I72" s="23">
        <x:f>IF(B72="","",IFERROR(INDEX('회원명단 및 기준에버'!D:G,MATCH(B72,'회원명단 및 기준에버'!$C:$C,0),CHOOSE(INT((MONTH($N$2)-1)/3)+1,1,2,3,4)),""))</x:f>
        <x:v>195</x:v>
      </x:c>
      <x:c r="J72" s="5">
        <x:f t="shared" si="15"/>
        <x:v>-3</x:v>
      </x:c>
      <x:c r="K72" s="5">
        <x:f t="shared" si="16"/>
        <x:v>-50</x:v>
      </x:c>
      <x:c r="L72" s="5">
        <x:f t="shared" si="17"/>
        <x:v>8</x:v>
      </x:c>
      <x:c r="M72" s="5">
        <x:f t="shared" si="13"/>
        <x:v>28</x:v>
      </x:c>
      <x:c r="N72" s="6">
        <x:f t="shared" si="14"/>
        <x:v>-17</x:v>
      </x:c>
      <x:c r="O72" s="24">
        <x:f t="shared" si="18"/>
        <x:v>-4.25</x:v>
      </x:c>
    </x:row>
    <x:row r="73" spans="1:15" ht="24.949999999999999" customHeight="1">
      <x:c r="A73" s="18">
        <x:v>18</x:v>
      </x:c>
      <x:c r="B73" s="19" t="str">
        <x:f t="array" ref="B73:B73">INDEX($B$4:$O$28,MATCH($A73,$W$4:$W$28,0),COLUMN(A$1))</x:f>
        <x:v>천 성 일</x:v>
      </x:c>
      <x:c r="C73" s="20">
        <x:f t="array" ref="C73:C73">INDEX($B$4:$O$28,MATCH($A73,$W$4:$W$28,0),COLUMN(B$1))</x:f>
        <x:v>192</x:v>
      </x:c>
      <x:c r="D73" s="20">
        <x:f t="array" ref="D73:D73">INDEX($B$4:$O$28,MATCH($A73,$W$4:$W$28,0),COLUMN(C$1))</x:f>
        <x:v>162</x:v>
      </x:c>
      <x:c r="E73" s="20">
        <x:f t="array" ref="E73:E73">INDEX($B$4:$O$28,MATCH($A73,$W$4:$W$28,0),COLUMN(D$1))</x:f>
        <x:v>188</x:v>
      </x:c>
      <x:c r="F73" s="20">
        <x:f t="array" ref="F73:F73">INDEX($B$4:$O$28,MATCH($A73,$W$4:$W$28,0),COLUMN(E$1))</x:f>
        <x:v>181</x:v>
      </x:c>
      <x:c r="G73" s="21">
        <x:f t="shared" si="11"/>
        <x:v>723</x:v>
      </x:c>
      <x:c r="H73" s="22">
        <x:f t="shared" si="12"/>
        <x:v>180.75</x:v>
      </x:c>
      <x:c r="I73" s="23">
        <x:f>IF(B73="","",IFERROR(INDEX('회원명단 및 기준에버'!D:G,MATCH(B73,'회원명단 및 기준에버'!$C:$C,0),CHOOSE(INT((MONTH($N$2)-1)/3)+1,1,2,3,4)),""))</x:f>
        <x:v>191</x:v>
      </x:c>
      <x:c r="J73" s="5">
        <x:f t="shared" si="15"/>
        <x:v>1</x:v>
      </x:c>
      <x:c r="K73" s="5">
        <x:f t="shared" si="16"/>
        <x:v>-29</x:v>
      </x:c>
      <x:c r="L73" s="5">
        <x:f t="shared" si="17"/>
        <x:v>-3</x:v>
      </x:c>
      <x:c r="M73" s="5">
        <x:f t="shared" si="13"/>
        <x:v>-10</x:v>
      </x:c>
      <x:c r="N73" s="6">
        <x:f t="shared" si="14"/>
        <x:v>-41</x:v>
      </x:c>
      <x:c r="O73" s="24">
        <x:f t="shared" si="18"/>
        <x:v>-10.25</x:v>
      </x:c>
    </x:row>
    <x:row r="74" spans="1:15" ht="24.949999999999999" customHeight="1">
      <x:c r="A74" s="18">
        <x:v>19</x:v>
      </x:c>
      <x:c r="B74" s="19" t="str">
        <x:f t="array" ref="B74:B74">INDEX($B$4:$O$28,MATCH($A74,$W$4:$W$28,0),COLUMN(A$1))</x:f>
        <x:v>김 미 란</x:v>
      </x:c>
      <x:c r="C74" s="20">
        <x:f t="array" ref="C74:C74">INDEX($B$4:$O$28,MATCH($A74,$W$4:$W$28,0),COLUMN(B$1))</x:f>
        <x:v>182</x:v>
      </x:c>
      <x:c r="D74" s="20">
        <x:f t="array" ref="D74:D74">INDEX($B$4:$O$28,MATCH($A74,$W$4:$W$28,0),COLUMN(C$1))</x:f>
        <x:v>178</x:v>
      </x:c>
      <x:c r="E74" s="20">
        <x:f t="array" ref="E74:E74">INDEX($B$4:$O$28,MATCH($A74,$W$4:$W$28,0),COLUMN(D$1))</x:f>
        <x:v>190</x:v>
      </x:c>
      <x:c r="F74" s="20">
        <x:f t="array" ref="F74:F74">INDEX($B$4:$O$28,MATCH($A74,$W$4:$W$28,0),COLUMN(E$1))</x:f>
        <x:v>132</x:v>
      </x:c>
      <x:c r="G74" s="21">
        <x:f t="shared" si="11"/>
        <x:v>682</x:v>
      </x:c>
      <x:c r="H74" s="22">
        <x:f t="shared" si="12"/>
        <x:v>170.5</x:v>
      </x:c>
      <x:c r="I74" s="23">
        <x:f>IF(B74="","",IFERROR(INDEX('회원명단 및 기준에버'!D:G,MATCH(B74,'회원명단 및 기준에버'!$C:$C,0),CHOOSE(INT((MONTH($N$2)-1)/3)+1,1,2,3,4)),""))</x:f>
        <x:v>182</x:v>
      </x:c>
      <x:c r="J74" s="5">
        <x:f t="shared" si="15"/>
        <x:v>0</x:v>
      </x:c>
      <x:c r="K74" s="5">
        <x:f t="shared" si="16"/>
        <x:v>-4</x:v>
      </x:c>
      <x:c r="L74" s="5">
        <x:f t="shared" si="17"/>
        <x:v>8</x:v>
      </x:c>
      <x:c r="M74" s="5">
        <x:f t="shared" si="13"/>
        <x:v>-50</x:v>
      </x:c>
      <x:c r="N74" s="6">
        <x:f t="shared" si="14"/>
        <x:v>-46</x:v>
      </x:c>
      <x:c r="O74" s="24">
        <x:f t="shared" si="18"/>
        <x:v>-11.5</x:v>
      </x:c>
    </x:row>
    <x:row r="75" spans="1:15" ht="24.949999999999999" customHeight="1">
      <x:c r="A75" s="18">
        <x:v>20</x:v>
      </x:c>
      <x:c r="B75" s="19" t="str">
        <x:f t="array" ref="B75:B75">INDEX($B$4:$O$28,MATCH($A75,$W$4:$W$28,0),COLUMN(A$1))</x:f>
        <x:v>이 대 용</x:v>
      </x:c>
      <x:c r="C75" s="20">
        <x:f t="array" ref="C75:C75">INDEX($B$4:$O$28,MATCH($A75,$W$4:$W$28,0),COLUMN(B$1))</x:f>
        <x:v>174</x:v>
      </x:c>
      <x:c r="D75" s="20">
        <x:f t="array" ref="D75:D75">INDEX($B$4:$O$28,MATCH($A75,$W$4:$W$28,0),COLUMN(C$1))</x:f>
        <x:v>223</x:v>
      </x:c>
      <x:c r="E75" s="20">
        <x:f t="array" ref="E75:E75">INDEX($B$4:$O$28,MATCH($A75,$W$4:$W$28,0),COLUMN(D$1))</x:f>
        <x:v>178</x:v>
      </x:c>
      <x:c r="F75" s="20">
        <x:f t="array" ref="F75:F75">INDEX($B$4:$O$28,MATCH($A75,$W$4:$W$28,0),COLUMN(E$1))</x:f>
        <x:v>179</x:v>
      </x:c>
      <x:c r="G75" s="21">
        <x:f t="shared" si="11"/>
        <x:v>754</x:v>
      </x:c>
      <x:c r="H75" s="22">
        <x:f t="shared" si="12"/>
        <x:v>188.5</x:v>
      </x:c>
      <x:c r="I75" s="23">
        <x:f>IF(B75="","",IFERROR(INDEX('회원명단 및 기준에버'!D:G,MATCH(B75,'회원명단 및 기준에버'!$C:$C,0),CHOOSE(INT((MONTH($N$2)-1)/3)+1,1,2,3,4)),""))</x:f>
        <x:v>200</x:v>
      </x:c>
      <x:c r="J75" s="5">
        <x:f t="shared" si="15"/>
        <x:v>-26</x:v>
      </x:c>
      <x:c r="K75" s="5">
        <x:f t="shared" si="16"/>
        <x:v>23</x:v>
      </x:c>
      <x:c r="L75" s="5">
        <x:f t="shared" si="17"/>
        <x:v>-22</x:v>
      </x:c>
      <x:c r="M75" s="5">
        <x:f t="shared" si="13"/>
        <x:v>-21</x:v>
      </x:c>
      <x:c r="N75" s="6">
        <x:f t="shared" si="14"/>
        <x:v>-46</x:v>
      </x:c>
      <x:c r="O75" s="24">
        <x:f t="shared" si="18"/>
        <x:v>-11.5</x:v>
      </x:c>
    </x:row>
    <x:row r="76" spans="1:15" ht="24.949999999999999" customHeight="1">
      <x:c r="A76" s="18">
        <x:v>21</x:v>
      </x:c>
      <x:c r="B76" s="19" t="str">
        <x:f t="array" ref="B76:B76">INDEX($B$4:$O$28,MATCH($A76,$W$4:$W$28,0),COLUMN(A$1))</x:f>
        <x:v>손 은 주</x:v>
      </x:c>
      <x:c r="C76" s="20">
        <x:f t="array" ref="C76:C76">INDEX($B$4:$O$28,MATCH($A76,$W$4:$W$28,0),COLUMN(B$1))</x:f>
        <x:v>144</x:v>
      </x:c>
      <x:c r="D76" s="20">
        <x:f t="array" ref="D76:D76">INDEX($B$4:$O$28,MATCH($A76,$W$4:$W$28,0),COLUMN(C$1))</x:f>
        <x:v>110</x:v>
      </x:c>
      <x:c r="E76" s="20">
        <x:f t="array" ref="E76:E76">INDEX($B$4:$O$28,MATCH($A76,$W$4:$W$28,0),COLUMN(D$1))</x:f>
        <x:v>123</x:v>
      </x:c>
      <x:c r="F76" s="20">
        <x:f t="array" ref="F76:F76">INDEX($B$4:$O$28,MATCH($A76,$W$4:$W$28,0),COLUMN(E$1))</x:f>
        <x:v>172</x:v>
      </x:c>
      <x:c r="G76" s="21">
        <x:f t="shared" si="11"/>
        <x:v>549</x:v>
      </x:c>
      <x:c r="H76" s="22">
        <x:f t="shared" si="12"/>
        <x:v>137.25</x:v>
      </x:c>
      <x:c r="I76" s="23">
        <x:f>IF(B76="","",IFERROR(INDEX('회원명단 및 기준에버'!D:G,MATCH(B76,'회원명단 및 기준에버'!$C:$C,0),CHOOSE(INT((MONTH($N$2)-1)/3)+1,1,2,3,4)),""))</x:f>
        <x:v>151</x:v>
      </x:c>
      <x:c r="J76" s="5">
        <x:f t="shared" si="15"/>
        <x:v>-7</x:v>
      </x:c>
      <x:c r="K76" s="5">
        <x:f t="shared" si="16"/>
        <x:v>-41</x:v>
      </x:c>
      <x:c r="L76" s="5">
        <x:f t="shared" si="17"/>
        <x:v>-28</x:v>
      </x:c>
      <x:c r="M76" s="5">
        <x:f t="shared" si="13"/>
        <x:v>21</x:v>
      </x:c>
      <x:c r="N76" s="6">
        <x:f t="shared" si="14"/>
        <x:v>-55</x:v>
      </x:c>
      <x:c r="O76" s="24">
        <x:f t="shared" si="18"/>
        <x:v>-13.75</x:v>
      </x:c>
    </x:row>
    <x:row r="77" spans="1:15" ht="24.949999999999999" customHeight="1">
      <x:c r="A77" s="18">
        <x:v>22</x:v>
      </x:c>
      <x:c r="B77" s="19" t="str">
        <x:f t="array" ref="B77:B77">INDEX($B$4:$O$28,MATCH($A77,$W$4:$W$28,0),COLUMN(A$1))</x:f>
        <x:v>엄 정 도</x:v>
      </x:c>
      <x:c r="C77" s="20">
        <x:f t="array" ref="C77:C77">INDEX($B$4:$O$28,MATCH($A77,$W$4:$W$28,0),COLUMN(B$1))</x:f>
        <x:v>195</x:v>
      </x:c>
      <x:c r="D77" s="20">
        <x:f t="array" ref="D77:D77">INDEX($B$4:$O$28,MATCH($A77,$W$4:$W$28,0),COLUMN(C$1))</x:f>
        <x:v>123</x:v>
      </x:c>
      <x:c r="E77" s="20">
        <x:f t="array" ref="E77:E77">INDEX($B$4:$O$28,MATCH($A77,$W$4:$W$28,0),COLUMN(D$1))</x:f>
        <x:v>141</x:v>
      </x:c>
      <x:c r="F77" s="20">
        <x:f t="array" ref="F77:F77">INDEX($B$4:$O$28,MATCH($A77,$W$4:$W$28,0),COLUMN(E$1))</x:f>
        <x:v>203</x:v>
      </x:c>
      <x:c r="G77" s="21">
        <x:f t="shared" si="11"/>
        <x:v>662</x:v>
      </x:c>
      <x:c r="H77" s="22">
        <x:f t="shared" si="12"/>
        <x:v>165.5</x:v>
      </x:c>
      <x:c r="I77" s="23">
        <x:f>IF(B77="","",IFERROR(INDEX('회원명단 및 기준에버'!D:G,MATCH(B77,'회원명단 및 기준에버'!$C:$C,0),CHOOSE(INT((MONTH($N$2)-1)/3)+1,1,2,3,4)),""))</x:f>
        <x:v>184</x:v>
      </x:c>
      <x:c r="J77" s="5">
        <x:f t="shared" si="15"/>
        <x:v>11</x:v>
      </x:c>
      <x:c r="K77" s="5">
        <x:f t="shared" si="16"/>
        <x:v>-61</x:v>
      </x:c>
      <x:c r="L77" s="5">
        <x:f t="shared" si="17"/>
        <x:v>-43</x:v>
      </x:c>
      <x:c r="M77" s="5">
        <x:f t="shared" si="13"/>
        <x:v>19</x:v>
      </x:c>
      <x:c r="N77" s="6">
        <x:f t="shared" si="14"/>
        <x:v>-74</x:v>
      </x:c>
      <x:c r="O77" s="24">
        <x:f t="shared" si="18"/>
        <x:v>-18.5</x:v>
      </x:c>
    </x:row>
    <x:row r="78" spans="1:15" ht="24.949999999999999" customHeight="1">
      <x:c r="A78" s="18">
        <x:v>23</x:v>
      </x:c>
      <x:c r="B78" s="19" t="str">
        <x:f t="array" ref="B78:B78">INDEX($B$4:$O$28,MATCH($A78,$W$4:$W$28,0),COLUMN(A$1))</x:f>
        <x:v>박 성 현</x:v>
      </x:c>
      <x:c r="C78" s="20">
        <x:f t="array" ref="C78:C78">INDEX($B$4:$O$28,MATCH($A78,$W$4:$W$28,0),COLUMN(B$1))</x:f>
        <x:v>196</x:v>
      </x:c>
      <x:c r="D78" s="20">
        <x:f t="array" ref="D78:D78">INDEX($B$4:$O$28,MATCH($A78,$W$4:$W$28,0),COLUMN(C$1))</x:f>
        <x:v>150</x:v>
      </x:c>
      <x:c r="E78" s="20">
        <x:f t="array" ref="E78:E78">INDEX($B$4:$O$28,MATCH($A78,$W$4:$W$28,0),COLUMN(D$1))</x:f>
        <x:v>161</x:v>
      </x:c>
      <x:c r="F78" s="20">
        <x:f t="array" ref="F78:F78">INDEX($B$4:$O$28,MATCH($A78,$W$4:$W$28,0),COLUMN(E$1))</x:f>
        <x:v>170</x:v>
      </x:c>
      <x:c r="G78" s="21">
        <x:f t="shared" si="11"/>
        <x:v>677</x:v>
      </x:c>
      <x:c r="H78" s="22">
        <x:f t="shared" si="12"/>
        <x:v>169.25</x:v>
      </x:c>
      <x:c r="I78" s="23">
        <x:f>IF(B78="","",IFERROR(INDEX('회원명단 및 기준에버'!D:G,MATCH(B78,'회원명단 및 기준에버'!$C:$C,0),CHOOSE(INT((MONTH($N$2)-1)/3)+1,1,2,3,4)),""))</x:f>
        <x:v>190</x:v>
      </x:c>
      <x:c r="J78" s="5">
        <x:f t="shared" si="15"/>
        <x:v>6</x:v>
      </x:c>
      <x:c r="K78" s="5">
        <x:f t="shared" si="16"/>
        <x:v>-40</x:v>
      </x:c>
      <x:c r="L78" s="5">
        <x:f t="shared" si="17"/>
        <x:v>-29</x:v>
      </x:c>
      <x:c r="M78" s="5">
        <x:f t="shared" si="13"/>
        <x:v>-20</x:v>
      </x:c>
      <x:c r="N78" s="6">
        <x:f t="shared" si="14"/>
        <x:v>-83</x:v>
      </x:c>
      <x:c r="O78" s="24">
        <x:f t="shared" si="18"/>
        <x:v>-20.75</x:v>
      </x:c>
    </x:row>
    <x:row r="79" spans="1:15" ht="24.949999999999999" customHeight="1">
      <x:c r="A79" s="18">
        <x:v>24</x:v>
      </x:c>
      <x:c r="B79" s="19" t="str">
        <x:f t="array" ref="B79:B79">INDEX($B$4:$O$28,MATCH($A79,$W$4:$W$28,0),COLUMN(A$1))</x:f>
        <x:v>최 진</x:v>
      </x:c>
      <x:c r="C79" s="20">
        <x:f t="array" ref="C79:C79">INDEX($B$4:$O$28,MATCH($A79,$W$4:$W$28,0),COLUMN(B$1))</x:f>
        <x:v>215</x:v>
      </x:c>
      <x:c r="D79" s="20">
        <x:f t="array" ref="D79:D79">INDEX($B$4:$O$28,MATCH($A79,$W$4:$W$28,0),COLUMN(C$1))</x:f>
        <x:v>158</x:v>
      </x:c>
      <x:c r="E79" s="20">
        <x:f t="array" ref="E79:E79">INDEX($B$4:$O$28,MATCH($A79,$W$4:$W$28,0),COLUMN(D$1))</x:f>
        <x:v>149</x:v>
      </x:c>
      <x:c r="F79" s="20">
        <x:f t="array" ref="F79:F79">INDEX($B$4:$O$28,MATCH($A79,$W$4:$W$28,0),COLUMN(E$1))</x:f>
        <x:v>184</x:v>
      </x:c>
      <x:c r="G79" s="21">
        <x:f t="shared" si="11"/>
        <x:v>706</x:v>
      </x:c>
      <x:c r="H79" s="22">
        <x:f t="shared" si="12"/>
        <x:v>176.5</x:v>
      </x:c>
      <x:c r="I79" s="23">
        <x:f>IF(B79="","",IFERROR(INDEX('회원명단 및 기준에버'!D:G,MATCH(B79,'회원명단 및 기준에버'!$C:$C,0),CHOOSE(INT((MONTH($N$2)-1)/3)+1,1,2,3,4)),""))</x:f>
        <x:v>200</x:v>
      </x:c>
      <x:c r="J79" s="5">
        <x:f t="shared" si="15"/>
        <x:v>15</x:v>
      </x:c>
      <x:c r="K79" s="5">
        <x:f t="shared" si="16"/>
        <x:v>-42</x:v>
      </x:c>
      <x:c r="L79" s="5">
        <x:f t="shared" si="17"/>
        <x:v>-51</x:v>
      </x:c>
      <x:c r="M79" s="5">
        <x:f t="shared" si="13"/>
        <x:v>-16</x:v>
      </x:c>
      <x:c r="N79" s="6">
        <x:f t="shared" si="14"/>
        <x:v>-94</x:v>
      </x:c>
      <x:c r="O79" s="24">
        <x:f t="shared" si="18"/>
        <x:v>-23.5</x:v>
      </x:c>
    </x:row>
    <x:row r="80" spans="1:15" ht="24.949999999999999" customHeight="1">
      <x:c r="A80" s="18">
        <x:v>25</x:v>
      </x:c>
      <x:c r="B80" s="19" t="str">
        <x:f t="array" ref="B80:B80">INDEX($B$4:$O$28,MATCH($A80,$W$4:$W$28,0),COLUMN(A$1))</x:f>
        <x:v>장 영 민</x:v>
      </x:c>
      <x:c r="C80" s="20">
        <x:f t="array" ref="C80:C80">INDEX($B$4:$O$28,MATCH($A80,$W$4:$W$28,0),COLUMN(B$1))</x:f>
        <x:v>147</x:v>
      </x:c>
      <x:c r="D80" s="20">
        <x:f t="array" ref="D80:D80">INDEX($B$4:$O$28,MATCH($A80,$W$4:$W$28,0),COLUMN(C$1))</x:f>
        <x:v>141</x:v>
      </x:c>
      <x:c r="E80" s="20">
        <x:f t="array" ref="E80:E80">INDEX($B$4:$O$28,MATCH($A80,$W$4:$W$28,0),COLUMN(D$1))</x:f>
        <x:v>201</x:v>
      </x:c>
      <x:c r="F80" s="20">
        <x:f t="array" ref="F80:F80">INDEX($B$4:$O$28,MATCH($A80,$W$4:$W$28,0),COLUMN(E$1))</x:f>
        <x:v>192</x:v>
      </x:c>
      <x:c r="G80" s="21">
        <x:f t="shared" si="11"/>
        <x:v>681</x:v>
      </x:c>
      <x:c r="H80" s="22">
        <x:f t="shared" si="12"/>
        <x:v>170.25</x:v>
      </x:c>
      <x:c r="I80" s="23">
        <x:f>IF(B80="","",IFERROR(INDEX('회원명단 및 기준에버'!D:G,MATCH(B80,'회원명단 및 기준에버'!$C:$C,0),CHOOSE(INT((MONTH($N$2)-1)/3)+1,1,2,3,4)),""))</x:f>
        <x:v>200</x:v>
      </x:c>
      <x:c r="J80" s="5">
        <x:f t="shared" si="15"/>
        <x:v>-53</x:v>
      </x:c>
      <x:c r="K80" s="5">
        <x:f t="shared" si="16"/>
        <x:v>-59</x:v>
      </x:c>
      <x:c r="L80" s="5">
        <x:f t="shared" si="17"/>
        <x:v>1</x:v>
      </x:c>
      <x:c r="M80" s="5">
        <x:f t="shared" si="13"/>
        <x:v>-8</x:v>
      </x:c>
      <x:c r="N80" s="6">
        <x:f t="shared" si="14"/>
        <x:v>-119</x:v>
      </x:c>
      <x:c r="O80" s="24">
        <x:f t="shared" si="18"/>
        <x:v>-29.75</x:v>
      </x:c>
    </x:row>
    <x:row r="81" spans="2:15" ht="24.949999999999999" customHeight="1">
      <x:c r="B81" s="120" t="s">
        <x:v>21</x:v>
      </x:c>
      <x:c r="C81" s="121"/>
      <x:c r="D81" s="121"/>
      <x:c r="E81" s="121"/>
      <x:c r="F81" s="120"/>
      <x:c r="G81" s="121"/>
      <x:c r="H81" s="121"/>
      <x:c r="I81" s="121"/>
      <x:c r="J81" s="121"/>
      <x:c r="K81" s="121"/>
      <x:c r="L81" s="121"/>
      <x:c r="M81" s="120"/>
      <x:c r="N81" s="121"/>
      <x:c r="O81" s="122"/>
    </x:row>
    <x:row r="82" spans="2:15" ht="24.949999999999999" customHeight="1">
      <x:c r="B82" s="13" t="str">
        <x:f t="shared" ref="B82:G86" si="19">IF(B30="","",B30)</x:f>
        <x:v>장 영 민</x:v>
      </x:c>
      <x:c r="C82" s="49">
        <x:f t="shared" si="19"/>
        <x:v>147</x:v>
      </x:c>
      <x:c r="D82" s="49">
        <x:f t="shared" si="19"/>
        <x:v>141</x:v>
      </x:c>
      <x:c r="E82" s="99">
        <x:f t="shared" si="19"/>
        <x:v>201</x:v>
      </x:c>
      <x:c r="F82" s="49">
        <x:f t="shared" si="19"/>
        <x:v>192</x:v>
      </x:c>
      <x:c r="G82" s="123">
        <x:f t="shared" si="19"/>
        <x:v>3662</x:v>
      </x:c>
      <x:c r="H82" s="115">
        <x:v>4</x:v>
      </x:c>
      <x:c r="I82" s="50" t="str">
        <x:f t="shared" ref="I82:N86" si="20">IF(I30="","",I30)</x:f>
        <x:v>이 우 석</x:v>
      </x:c>
      <x:c r="J82" s="49">
        <x:f t="shared" si="20"/>
        <x:v>159</x:v>
      </x:c>
      <x:c r="K82" s="99">
        <x:f t="shared" si="20"/>
        <x:v>251</x:v>
      </x:c>
      <x:c r="L82" s="49">
        <x:f t="shared" si="20"/>
        <x:v>187</x:v>
      </x:c>
      <x:c r="M82" s="49">
        <x:f t="shared" si="20"/>
        <x:v>195</x:v>
      </x:c>
      <x:c r="N82" s="129">
        <x:f t="shared" si="20"/>
        <x:v>3857</x:v>
      </x:c>
      <x:c r="O82" s="126">
        <x:v>2</x:v>
      </x:c>
    </x:row>
    <x:row r="83" spans="2:15" ht="24.949999999999999" customHeight="1">
      <x:c r="B83" s="18" t="str">
        <x:f t="shared" si="19"/>
        <x:v>김 정 희</x:v>
      </x:c>
      <x:c r="C83" s="97">
        <x:f t="shared" si="19"/>
        <x:v>236</x:v>
      </x:c>
      <x:c r="D83" s="97">
        <x:f t="shared" si="19"/>
        <x:v>202</x:v>
      </x:c>
      <x:c r="E83" s="5">
        <x:f t="shared" si="19"/>
        <x:v>199</x:v>
      </x:c>
      <x:c r="F83" s="5">
        <x:f t="shared" si="19"/>
        <x:v>151</x:v>
      </x:c>
      <x:c r="G83" s="124" t="str">
        <x:f t="shared" si="19"/>
        <x:v/>
      </x:c>
      <x:c r="H83" s="116"/>
      <x:c r="I83" s="18" t="str">
        <x:f t="shared" si="20"/>
        <x:v>이 승 미</x:v>
      </x:c>
      <x:c r="J83" s="5">
        <x:f t="shared" si="20"/>
        <x:v>172</x:v>
      </x:c>
      <x:c r="K83" s="5">
        <x:f t="shared" si="20"/>
        <x:v>182</x:v>
      </x:c>
      <x:c r="L83" s="5">
        <x:f t="shared" si="20"/>
        <x:v>176</x:v>
      </x:c>
      <x:c r="M83" s="5">
        <x:f t="shared" si="20"/>
        <x:v>170</x:v>
      </x:c>
      <x:c r="N83" s="130" t="str">
        <x:f t="shared" si="20"/>
        <x:v/>
      </x:c>
      <x:c r="O83" s="127"/>
    </x:row>
    <x:row r="84" spans="2:15" ht="24.949999999999999" customHeight="1">
      <x:c r="B84" s="18" t="str">
        <x:f t="shared" si="19"/>
        <x:v>이 재 용</x:v>
      </x:c>
      <x:c r="C84" s="97">
        <x:f t="shared" si="19"/>
        <x:v>251</x:v>
      </x:c>
      <x:c r="D84" s="97">
        <x:f t="shared" si="19"/>
        <x:v>200</x:v>
      </x:c>
      <x:c r="E84" s="97">
        <x:f t="shared" si="19"/>
        <x:v>211</x:v>
      </x:c>
      <x:c r="F84" s="5">
        <x:f t="shared" si="19"/>
        <x:v>171</x:v>
      </x:c>
      <x:c r="G84" s="124" t="str">
        <x:f t="shared" si="19"/>
        <x:v/>
      </x:c>
      <x:c r="H84" s="116"/>
      <x:c r="I84" s="18" t="str">
        <x:f t="shared" si="20"/>
        <x:v>김 태 환</x:v>
      </x:c>
      <x:c r="J84" s="5">
        <x:f t="shared" si="20"/>
        <x:v>190</x:v>
      </x:c>
      <x:c r="K84" s="97">
        <x:f t="shared" si="20"/>
        <x:v>203</x:v>
      </x:c>
      <x:c r="L84" s="97">
        <x:f t="shared" si="20"/>
        <x:v>253</x:v>
      </x:c>
      <x:c r="M84" s="97">
        <x:f t="shared" si="20"/>
        <x:v>237</x:v>
      </x:c>
      <x:c r="N84" s="130" t="str">
        <x:f t="shared" si="20"/>
        <x:v/>
      </x:c>
      <x:c r="O84" s="127"/>
    </x:row>
    <x:row r="85" spans="2:15" ht="24.949999999999999" customHeight="1">
      <x:c r="B85" s="18" t="str">
        <x:f t="shared" si="19"/>
        <x:v>천 성 일</x:v>
      </x:c>
      <x:c r="C85" s="5">
        <x:f t="shared" si="19"/>
        <x:v>192</x:v>
      </x:c>
      <x:c r="D85" s="5">
        <x:f t="shared" si="19"/>
        <x:v>162</x:v>
      </x:c>
      <x:c r="E85" s="5">
        <x:f t="shared" si="19"/>
        <x:v>188</x:v>
      </x:c>
      <x:c r="F85" s="5">
        <x:f t="shared" si="19"/>
        <x:v>181</x:v>
      </x:c>
      <x:c r="G85" s="124" t="str">
        <x:f t="shared" si="19"/>
        <x:v/>
      </x:c>
      <x:c r="H85" s="116"/>
      <x:c r="I85" s="18" t="str">
        <x:f t="shared" si="20"/>
        <x:v>강 완 규</x:v>
      </x:c>
      <x:c r="J85" s="5">
        <x:f t="shared" si="20"/>
        <x:v>194</x:v>
      </x:c>
      <x:c r="K85" s="5">
        <x:f t="shared" si="20"/>
        <x:v>183</x:v>
      </x:c>
      <x:c r="L85" s="97">
        <x:f t="shared" si="20"/>
        <x:v>227</x:v>
      </x:c>
      <x:c r="M85" s="97">
        <x:f t="shared" si="20"/>
        <x:v>201</x:v>
      </x:c>
      <x:c r="N85" s="130" t="str">
        <x:f t="shared" si="20"/>
        <x:v/>
      </x:c>
      <x:c r="O85" s="127"/>
    </x:row>
    <x:row r="86" spans="2:15" ht="24.949999999999999" customHeight="1">
      <x:c r="B86" s="18" t="str">
        <x:f t="shared" si="19"/>
        <x:v>윤    주</x:v>
      </x:c>
      <x:c r="C86" s="5">
        <x:f t="shared" si="19"/>
        <x:v>159</x:v>
      </x:c>
      <x:c r="D86" s="5">
        <x:f t="shared" si="19"/>
        <x:v>151</x:v>
      </x:c>
      <x:c r="E86" s="5">
        <x:f t="shared" si="19"/>
        <x:v>178</x:v>
      </x:c>
      <x:c r="F86" s="5">
        <x:f t="shared" si="19"/>
        <x:v>149</x:v>
      </x:c>
      <x:c r="G86" s="124" t="str">
        <x:f t="shared" si="19"/>
        <x:v/>
      </x:c>
      <x:c r="H86" s="116"/>
      <x:c r="I86" s="18" t="str">
        <x:f t="shared" si="20"/>
        <x:v>박 성 현</x:v>
      </x:c>
      <x:c r="J86" s="5">
        <x:f t="shared" si="20"/>
        <x:v>196</x:v>
      </x:c>
      <x:c r="K86" s="5">
        <x:f t="shared" si="20"/>
        <x:v>150</x:v>
      </x:c>
      <x:c r="L86" s="5">
        <x:f t="shared" si="20"/>
        <x:v>161</x:v>
      </x:c>
      <x:c r="M86" s="5">
        <x:f t="shared" si="20"/>
        <x:v>170</x:v>
      </x:c>
      <x:c r="N86" s="130" t="str">
        <x:f t="shared" si="20"/>
        <x:v/>
      </x:c>
      <x:c r="O86" s="127"/>
    </x:row>
    <x:row r="87" spans="2:15" ht="24.949999999999999" customHeight="1">
      <x:c r="B87" s="30" t="str">
        <x:f t="shared" ref="B87:G87" si="21">IF(B35="","",B35)</x:f>
        <x:v/>
      </x:c>
      <x:c r="C87" s="51">
        <x:f t="shared" si="21"/>
        <x:v>985</x:v>
      </x:c>
      <x:c r="D87" s="51">
        <x:f t="shared" si="21"/>
        <x:v>856</x:v>
      </x:c>
      <x:c r="E87" s="51">
        <x:f t="shared" si="21"/>
        <x:v>977</x:v>
      </x:c>
      <x:c r="F87" s="51">
        <x:f t="shared" si="21"/>
        <x:v>844</x:v>
      </x:c>
      <x:c r="G87" s="125" t="str">
        <x:f t="shared" si="21"/>
        <x:v/>
      </x:c>
      <x:c r="H87" s="117"/>
      <x:c r="I87" s="30" t="str">
        <x:f t="shared" ref="I87:N87" si="22">IF(I35="","",I35)</x:f>
        <x:v/>
      </x:c>
      <x:c r="J87" s="51">
        <x:f t="shared" si="22"/>
        <x:v>911</x:v>
      </x:c>
      <x:c r="K87" s="51">
        <x:f t="shared" si="22"/>
        <x:v>969</x:v>
      </x:c>
      <x:c r="L87" s="98">
        <x:f t="shared" si="22"/>
        <x:v>1004</x:v>
      </x:c>
      <x:c r="M87" s="51">
        <x:f t="shared" si="22"/>
        <x:v>973</x:v>
      </x:c>
      <x:c r="N87" s="131" t="str">
        <x:f t="shared" si="22"/>
        <x:v/>
      </x:c>
      <x:c r="O87" s="128"/>
    </x:row>
    <x:row r="88" spans="2:15" ht="9.9499999999999993" customHeight="1"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</x:row>
    <x:row r="89" spans="2:15" ht="24.949999999999999" customHeight="1">
      <x:c r="B89" s="13" t="str">
        <x:f t="shared" ref="B89:O93" si="23">IF(B37="","",B37)</x:f>
        <x:v>이 대 용</x:v>
      </x:c>
      <x:c r="C89" s="49">
        <x:f t="shared" si="23"/>
        <x:v>174</x:v>
      </x:c>
      <x:c r="D89" s="99">
        <x:f t="shared" si="23"/>
        <x:v>223</x:v>
      </x:c>
      <x:c r="E89" s="49">
        <x:f t="shared" si="23"/>
        <x:v>178</x:v>
      </x:c>
      <x:c r="F89" s="49">
        <x:f t="shared" si="23"/>
        <x:v>179</x:v>
      </x:c>
      <x:c r="G89" s="129">
        <x:f t="shared" si="23"/>
        <x:v>3832</x:v>
      </x:c>
      <x:c r="H89" s="126">
        <x:v>3</x:v>
      </x:c>
      <x:c r="I89" s="50" t="str">
        <x:f t="shared" si="23"/>
        <x:v>임 승 기</x:v>
      </x:c>
      <x:c r="J89" s="99">
        <x:f t="shared" si="23"/>
        <x:v>216</x:v>
      </x:c>
      <x:c r="K89" s="99">
        <x:f t="shared" si="23"/>
        <x:v>225</x:v>
      </x:c>
      <x:c r="L89" s="99">
        <x:f t="shared" si="23"/>
        <x:v>231</x:v>
      </x:c>
      <x:c r="M89" s="99">
        <x:f t="shared" si="23"/>
        <x:v>212</x:v>
      </x:c>
      <x:c r="N89" s="129">
        <x:f t="shared" si="23"/>
        <x:v>3564</x:v>
      </x:c>
      <x:c r="O89" s="126" t="str">
        <x:f t="shared" si="23"/>
        <x:v/>
      </x:c>
    </x:row>
    <x:row r="90" spans="2:15" ht="24.949999999999999" customHeight="1">
      <x:c r="B90" s="18" t="str">
        <x:f t="shared" si="23"/>
        <x:v>임 연 진</x:v>
      </x:c>
      <x:c r="C90" s="97">
        <x:f t="shared" si="23"/>
        <x:v>243</x:v>
      </x:c>
      <x:c r="D90" s="5">
        <x:f t="shared" si="23"/>
        <x:v>175</x:v>
      </x:c>
      <x:c r="E90" s="5">
        <x:f t="shared" si="23"/>
        <x:v>192</x:v>
      </x:c>
      <x:c r="F90" s="97">
        <x:f t="shared" si="23"/>
        <x:v>210</x:v>
      </x:c>
      <x:c r="G90" s="130" t="str">
        <x:f t="shared" si="23"/>
        <x:v/>
      </x:c>
      <x:c r="H90" s="127" t="str">
        <x:f t="shared" si="23"/>
        <x:v/>
      </x:c>
      <x:c r="I90" s="18" t="str">
        <x:f t="shared" si="23"/>
        <x:v>손 은 주</x:v>
      </x:c>
      <x:c r="J90" s="5">
        <x:f t="shared" si="23"/>
        <x:v>144</x:v>
      </x:c>
      <x:c r="K90" s="5">
        <x:f t="shared" si="23"/>
        <x:v>110</x:v>
      </x:c>
      <x:c r="L90" s="5">
        <x:f t="shared" si="23"/>
        <x:v>123</x:v>
      </x:c>
      <x:c r="M90" s="5">
        <x:f t="shared" si="23"/>
        <x:v>172</x:v>
      </x:c>
      <x:c r="N90" s="130" t="str">
        <x:f t="shared" si="23"/>
        <x:v/>
      </x:c>
      <x:c r="O90" s="127" t="str">
        <x:f t="shared" si="23"/>
        <x:v/>
      </x:c>
    </x:row>
    <x:row r="91" spans="2:15" ht="24.949999999999999" customHeight="1">
      <x:c r="B91" s="18" t="str">
        <x:f t="shared" si="23"/>
        <x:v>이 상 현</x:v>
      </x:c>
      <x:c r="C91" s="97">
        <x:f t="shared" si="23"/>
        <x:v>222</x:v>
      </x:c>
      <x:c r="D91" s="5">
        <x:f t="shared" si="23"/>
        <x:v>181</x:v>
      </x:c>
      <x:c r="E91" s="5">
        <x:f t="shared" si="23"/>
        <x:v>181</x:v>
      </x:c>
      <x:c r="F91" s="5">
        <x:f t="shared" si="23"/>
        <x:v>184</x:v>
      </x:c>
      <x:c r="G91" s="130" t="str">
        <x:f t="shared" si="23"/>
        <x:v/>
      </x:c>
      <x:c r="H91" s="127" t="str">
        <x:f t="shared" si="23"/>
        <x:v/>
      </x:c>
      <x:c r="I91" s="18" t="str">
        <x:f t="shared" si="23"/>
        <x:v>고 경 훈</x:v>
      </x:c>
      <x:c r="J91" s="5">
        <x:f t="shared" si="23"/>
        <x:v>192</x:v>
      </x:c>
      <x:c r="K91" s="5">
        <x:f t="shared" si="23"/>
        <x:v>145</x:v>
      </x:c>
      <x:c r="L91" s="97">
        <x:f t="shared" si="23"/>
        <x:v>203</x:v>
      </x:c>
      <x:c r="M91" s="97">
        <x:f t="shared" si="23"/>
        <x:v>223</x:v>
      </x:c>
      <x:c r="N91" s="130" t="str">
        <x:f t="shared" si="23"/>
        <x:v/>
      </x:c>
      <x:c r="O91" s="127" t="str">
        <x:f t="shared" si="23"/>
        <x:v/>
      </x:c>
    </x:row>
    <x:row r="92" spans="2:15" ht="24.949999999999999" customHeight="1">
      <x:c r="B92" s="18" t="str">
        <x:f t="shared" si="23"/>
        <x:v>정 영 우</x:v>
      </x:c>
      <x:c r="C92" s="97">
        <x:f t="shared" si="23"/>
        <x:v>216</x:v>
      </x:c>
      <x:c r="D92" s="5">
        <x:f t="shared" si="23"/>
        <x:v>169</x:v>
      </x:c>
      <x:c r="E92" s="97">
        <x:f t="shared" si="23"/>
        <x:v>220</x:v>
      </x:c>
      <x:c r="F92" s="97">
        <x:f t="shared" si="23"/>
        <x:v>203</x:v>
      </x:c>
      <x:c r="G92" s="130" t="str">
        <x:f t="shared" si="23"/>
        <x:v/>
      </x:c>
      <x:c r="H92" s="127" t="str">
        <x:f t="shared" si="23"/>
        <x:v/>
      </x:c>
      <x:c r="I92" s="18" t="str">
        <x:f t="shared" si="23"/>
        <x:v>최 진</x:v>
      </x:c>
      <x:c r="J92" s="97">
        <x:f t="shared" si="23"/>
        <x:v>215</x:v>
      </x:c>
      <x:c r="K92" s="5">
        <x:f t="shared" si="23"/>
        <x:v>158</x:v>
      </x:c>
      <x:c r="L92" s="5">
        <x:f t="shared" si="23"/>
        <x:v>149</x:v>
      </x:c>
      <x:c r="M92" s="5">
        <x:f t="shared" si="23"/>
        <x:v>184</x:v>
      </x:c>
      <x:c r="N92" s="130" t="str">
        <x:f t="shared" si="23"/>
        <x:v/>
      </x:c>
      <x:c r="O92" s="127" t="str">
        <x:f t="shared" si="23"/>
        <x:v/>
      </x:c>
    </x:row>
    <x:row r="93" spans="2:15" ht="24.949999999999999" customHeight="1">
      <x:c r="B93" s="18" t="str">
        <x:f t="shared" si="23"/>
        <x:v>김 미 란</x:v>
      </x:c>
      <x:c r="C93" s="5">
        <x:f t="shared" si="23"/>
        <x:v>182</x:v>
      </x:c>
      <x:c r="D93" s="5">
        <x:f t="shared" si="23"/>
        <x:v>178</x:v>
      </x:c>
      <x:c r="E93" s="5">
        <x:f t="shared" si="23"/>
        <x:v>190</x:v>
      </x:c>
      <x:c r="F93" s="5">
        <x:f t="shared" si="23"/>
        <x:v>132</x:v>
      </x:c>
      <x:c r="G93" s="130" t="str">
        <x:f t="shared" si="23"/>
        <x:v/>
      </x:c>
      <x:c r="H93" s="127" t="str">
        <x:f t="shared" si="23"/>
        <x:v/>
      </x:c>
      <x:c r="I93" s="18" t="str">
        <x:f t="shared" si="23"/>
        <x:v>엄 정 도</x:v>
      </x:c>
      <x:c r="J93" s="5">
        <x:f t="shared" si="23"/>
        <x:v>195</x:v>
      </x:c>
      <x:c r="K93" s="5">
        <x:f t="shared" si="23"/>
        <x:v>123</x:v>
      </x:c>
      <x:c r="L93" s="5">
        <x:f t="shared" si="23"/>
        <x:v>141</x:v>
      </x:c>
      <x:c r="M93" s="97">
        <x:f t="shared" si="23"/>
        <x:v>203</x:v>
      </x:c>
      <x:c r="N93" s="130" t="str">
        <x:f t="shared" si="23"/>
        <x:v/>
      </x:c>
      <x:c r="O93" s="127" t="str">
        <x:f t="shared" si="23"/>
        <x:v/>
      </x:c>
    </x:row>
    <x:row r="94" spans="2:15" ht="24.949999999999999" customHeight="1">
      <x:c r="B94" s="30" t="str">
        <x:f t="shared" ref="B94:O94" si="24">IF(B42="","",B42)</x:f>
        <x:v/>
      </x:c>
      <x:c r="C94" s="98">
        <x:f t="shared" si="24"/>
        <x:v>1037</x:v>
      </x:c>
      <x:c r="D94" s="51">
        <x:f t="shared" si="24"/>
        <x:v>926</x:v>
      </x:c>
      <x:c r="E94" s="51">
        <x:f t="shared" si="24"/>
        <x:v>961</x:v>
      </x:c>
      <x:c r="F94" s="51">
        <x:f t="shared" si="24"/>
        <x:v>908</x:v>
      </x:c>
      <x:c r="G94" s="131" t="str">
        <x:f t="shared" si="24"/>
        <x:v/>
      </x:c>
      <x:c r="H94" s="128" t="str">
        <x:f t="shared" si="24"/>
        <x:v/>
      </x:c>
      <x:c r="I94" s="30" t="str">
        <x:f t="shared" si="24"/>
        <x:v/>
      </x:c>
      <x:c r="J94" s="51">
        <x:f t="shared" si="24"/>
        <x:v>962</x:v>
      </x:c>
      <x:c r="K94" s="51">
        <x:f t="shared" si="24"/>
        <x:v>761</x:v>
      </x:c>
      <x:c r="L94" s="51">
        <x:f t="shared" si="24"/>
        <x:v>847</x:v>
      </x:c>
      <x:c r="M94" s="51">
        <x:f t="shared" si="24"/>
        <x:v>994</x:v>
      </x:c>
      <x:c r="N94" s="131" t="str">
        <x:f t="shared" si="24"/>
        <x:v/>
      </x:c>
      <x:c r="O94" s="128" t="str">
        <x:f t="shared" si="24"/>
        <x:v/>
      </x:c>
    </x:row>
    <x:row r="95" spans="10:13" ht="9.9499999999999993" customHeight="1">
      <x:c r="J95" s="52"/>
      <x:c r="K95" s="52"/>
      <x:c r="L95" s="52"/>
      <x:c r="M95" s="52"/>
    </x:row>
    <x:row r="96" spans="2:15" ht="24.949999999999999" customHeight="1">
      <x:c r="B96" s="13" t="str">
        <x:f t="shared" ref="B96:H100" si="25">IF(B44="","",B44)</x:f>
        <x:v>변 상 필</x:v>
      </x:c>
      <x:c r="C96" s="99">
        <x:f t="shared" si="25"/>
        <x:v>215</x:v>
      </x:c>
      <x:c r="D96" s="49">
        <x:f t="shared" si="25"/>
        <x:v>179</x:v>
      </x:c>
      <x:c r="E96" s="99">
        <x:f t="shared" si="25"/>
        <x:v>236</x:v>
      </x:c>
      <x:c r="F96" s="99">
        <x:f t="shared" si="25"/>
        <x:v>230</x:v>
      </x:c>
      <x:c r="G96" s="123">
        <x:f t="shared" si="25"/>
        <x:v>3993</x:v>
      </x:c>
      <x:c r="H96" s="115">
        <x:v>1</x:v>
      </x:c>
      <x:c r="I96" s="11"/>
      <x:c r="J96" s="37"/>
      <x:c r="K96" s="37"/>
      <x:c r="L96" s="37"/>
      <x:c r="M96" s="37"/>
      <x:c r="N96" s="118"/>
      <x:c r="O96" s="119"/>
    </x:row>
    <x:row r="97" spans="2:15" ht="24.949999999999999" customHeight="1">
      <x:c r="B97" s="18" t="str">
        <x:f t="shared" si="25"/>
        <x:v>지 옥 명</x:v>
      </x:c>
      <x:c r="C97" s="5">
        <x:f t="shared" si="25"/>
        <x:v>188</x:v>
      </x:c>
      <x:c r="D97" s="5">
        <x:f t="shared" si="25"/>
        <x:v>172</x:v>
      </x:c>
      <x:c r="E97" s="5">
        <x:f t="shared" si="25"/>
        <x:v>178</x:v>
      </x:c>
      <x:c r="F97" s="97">
        <x:f t="shared" si="25"/>
        <x:v>230</x:v>
      </x:c>
      <x:c r="G97" s="124" t="str">
        <x:f t="shared" si="25"/>
        <x:v/>
      </x:c>
      <x:c r="H97" s="116" t="str">
        <x:f t="shared" si="25"/>
        <x:v/>
      </x:c>
      <x:c r="I97" s="11"/>
      <x:c r="J97" s="37"/>
      <x:c r="K97" s="37"/>
      <x:c r="L97" s="37"/>
      <x:c r="M97" s="37"/>
      <x:c r="N97" s="118"/>
      <x:c r="O97" s="119"/>
    </x:row>
    <x:row r="98" spans="2:15" ht="24.949999999999999" customHeight="1">
      <x:c r="B98" s="18" t="str">
        <x:f t="shared" si="25"/>
        <x:v>황 인 교</x:v>
      </x:c>
      <x:c r="C98" s="97">
        <x:f t="shared" si="25"/>
        <x:v>200</x:v>
      </x:c>
      <x:c r="D98" s="97">
        <x:f t="shared" si="25"/>
        <x:v>213</x:v>
      </x:c>
      <x:c r="E98" s="5">
        <x:f t="shared" si="25"/>
        <x:v>169</x:v>
      </x:c>
      <x:c r="F98" s="5">
        <x:f t="shared" si="25"/>
        <x:v>143</x:v>
      </x:c>
      <x:c r="G98" s="124" t="str">
        <x:f t="shared" si="25"/>
        <x:v/>
      </x:c>
      <x:c r="H98" s="116" t="str">
        <x:f t="shared" si="25"/>
        <x:v/>
      </x:c>
      <x:c r="I98" s="11"/>
      <x:c r="J98" s="37"/>
      <x:c r="K98" s="37"/>
      <x:c r="L98" s="37"/>
      <x:c r="M98" s="37"/>
      <x:c r="N98" s="118"/>
      <x:c r="O98" s="119"/>
    </x:row>
    <x:row r="99" spans="2:15" ht="24.949999999999999" customHeight="1">
      <x:c r="B99" s="18" t="str">
        <x:f t="shared" si="25"/>
        <x:v>나 경 주</x:v>
      </x:c>
      <x:c r="C99" s="5">
        <x:f t="shared" si="25"/>
        <x:v>190</x:v>
      </x:c>
      <x:c r="D99" s="97">
        <x:f t="shared" si="25"/>
        <x:v>204</x:v>
      </x:c>
      <x:c r="E99" s="97">
        <x:f t="shared" si="25"/>
        <x:v>212</x:v>
      </x:c>
      <x:c r="F99" s="97">
        <x:f t="shared" si="25"/>
        <x:v>201</x:v>
      </x:c>
      <x:c r="G99" s="124" t="str">
        <x:f t="shared" si="25"/>
        <x:v/>
      </x:c>
      <x:c r="H99" s="116" t="str">
        <x:f t="shared" si="25"/>
        <x:v/>
      </x:c>
      <x:c r="I99" s="11"/>
      <x:c r="J99" s="37"/>
      <x:c r="K99" s="37"/>
      <x:c r="L99" s="37"/>
      <x:c r="M99" s="37"/>
      <x:c r="N99" s="118"/>
      <x:c r="O99" s="119"/>
    </x:row>
    <x:row r="100" spans="2:15" ht="24.949999999999999" customHeight="1">
      <x:c r="B100" s="18" t="str">
        <x:f t="shared" si="25"/>
        <x:v>이 정 석</x:v>
      </x:c>
      <x:c r="C100" s="97">
        <x:f t="shared" si="25"/>
        <x:v>216</x:v>
      </x:c>
      <x:c r="D100" s="5">
        <x:f t="shared" si="25"/>
        <x:v>174</x:v>
      </x:c>
      <x:c r="E100" s="97">
        <x:f t="shared" si="25"/>
        <x:v>215</x:v>
      </x:c>
      <x:c r="F100" s="97">
        <x:f t="shared" si="25"/>
        <x:v>228</x:v>
      </x:c>
      <x:c r="G100" s="124" t="str">
        <x:f t="shared" si="25"/>
        <x:v/>
      </x:c>
      <x:c r="H100" s="116" t="str">
        <x:f t="shared" si="25"/>
        <x:v/>
      </x:c>
      <x:c r="I100" s="11"/>
      <x:c r="J100" s="37"/>
      <x:c r="K100" s="37"/>
      <x:c r="L100" s="37"/>
      <x:c r="M100" s="37"/>
      <x:c r="N100" s="118"/>
      <x:c r="O100" s="119"/>
    </x:row>
    <x:row r="101" spans="2:15" ht="24.949999999999999" customHeight="1">
      <x:c r="B101" s="30" t="str">
        <x:f t="shared" ref="B101:H101" si="26">IF(B49="","",B49)</x:f>
        <x:v/>
      </x:c>
      <x:c r="C101" s="98">
        <x:f t="shared" si="26"/>
        <x:v>1009</x:v>
      </x:c>
      <x:c r="D101" s="51">
        <x:f t="shared" si="26"/>
        <x:v>942</x:v>
      </x:c>
      <x:c r="E101" s="98">
        <x:f t="shared" si="26"/>
        <x:v>1010</x:v>
      </x:c>
      <x:c r="F101" s="51">
        <x:f t="shared" si="26"/>
        <x:v>1032</x:v>
      </x:c>
      <x:c r="G101" s="125" t="str">
        <x:f t="shared" si="26"/>
        <x:v/>
      </x:c>
      <x:c r="H101" s="117" t="str">
        <x:f t="shared" si="26"/>
        <x:v/>
      </x:c>
      <x:c r="I101" s="11"/>
      <x:c r="J101" s="38"/>
      <x:c r="K101" s="38"/>
      <x:c r="L101" s="38"/>
      <x:c r="M101" s="38"/>
      <x:c r="N101" s="118"/>
      <x:c r="O101" s="119"/>
    </x:row>
    <x:row r="102" ht="24.949999999999999" customHeight="1"/>
    <x:row r="103" ht="24.949999999999999" customHeight="1"/>
  </x:sheetData>
  <x:mergeCells count="28">
    <x:mergeCell ref="G96:G101"/>
    <x:mergeCell ref="H96:H101"/>
    <x:mergeCell ref="N96:N101"/>
    <x:mergeCell ref="O96:O101"/>
    <x:mergeCell ref="G82:G87"/>
    <x:mergeCell ref="H82:H87"/>
    <x:mergeCell ref="N82:N87"/>
    <x:mergeCell ref="O82:O87"/>
    <x:mergeCell ref="G89:G94"/>
    <x:mergeCell ref="H89:H94"/>
    <x:mergeCell ref="N89:N94"/>
    <x:mergeCell ref="O89:O94"/>
    <x:mergeCell ref="A53:O53"/>
    <x:mergeCell ref="N54:O54"/>
    <x:mergeCell ref="B81:O81"/>
    <x:mergeCell ref="G44:G49"/>
    <x:mergeCell ref="A1:O1"/>
    <x:mergeCell ref="N2:O2"/>
    <x:mergeCell ref="B29:O29"/>
    <x:mergeCell ref="H37:H42"/>
    <x:mergeCell ref="O37:O42"/>
    <x:mergeCell ref="G30:G35"/>
    <x:mergeCell ref="H30:H35"/>
    <x:mergeCell ref="N30:N35"/>
    <x:mergeCell ref="O30:O35"/>
    <x:mergeCell ref="G37:G42"/>
    <x:mergeCell ref="N37:N42"/>
    <x:mergeCell ref="H44:H49"/>
  </x:mergeCells>
  <x:conditionalFormatting sqref="C4:E28">
    <x:cfRule type="cellIs" dxfId="61" priority="20" operator="between">
      <x:formula>200</x:formula>
      <x:formula>200</x:formula>
    </x:cfRule>
  </x:conditionalFormatting>
  <x:conditionalFormatting sqref="C4:F28">
    <x:cfRule type="cellIs" dxfId="60" priority="4" operator="between">
      <x:formula>200</x:formula>
      <x:formula>300</x:formula>
    </x:cfRule>
  </x:conditionalFormatting>
  <x:conditionalFormatting sqref="C56:F80">
    <x:cfRule type="cellIs" dxfId="58" priority="6" operator="between">
      <x:formula>200</x:formula>
      <x:formula>200</x:formula>
    </x:cfRule>
    <x:cfRule type="cellIs" dxfId="59" priority="5" operator="between">
      <x:formula>200</x:formula>
      <x:formula>300</x:formula>
    </x:cfRule>
  </x:conditionalFormatting>
  <x:conditionalFormatting sqref="G56:G80">
    <x:cfRule type="cellIs" dxfId="56" priority="16" operator="greaterThan">
      <x:formula>599</x:formula>
    </x:cfRule>
    <x:cfRule type="cellIs" dxfId="57" priority="11" operator="between">
      <x:formula>600</x:formula>
      <x:formula>900</x:formula>
    </x:cfRule>
  </x:conditionalFormatting>
  <x:conditionalFormatting sqref="H4:H28">
    <x:cfRule type="cellIs" dxfId="55" priority="26" operator="greaterThan">
      <x:formula>199.9</x:formula>
    </x:cfRule>
  </x:conditionalFormatting>
  <x:conditionalFormatting sqref="H56:H80">
    <x:cfRule type="cellIs" dxfId="54" priority="14" operator="greaterThan">
      <x:formula>199.9</x:formula>
    </x:cfRule>
  </x:conditionalFormatting>
  <x:conditionalFormatting sqref="H4:I28">
    <x:cfRule type="cellIs" dxfId="53" priority="17" operator="between">
      <x:formula>200</x:formula>
      <x:formula>300</x:formula>
    </x:cfRule>
  </x:conditionalFormatting>
  <x:conditionalFormatting sqref="H56:I80">
    <x:cfRule type="cellIs" dxfId="52" priority="10" operator="between">
      <x:formula>200</x:formula>
      <x:formula>300</x:formula>
    </x:cfRule>
  </x:conditionalFormatting>
  <x:conditionalFormatting sqref="I4:I28">
    <x:cfRule type="cellIs" dxfId="51" priority="27" operator="greaterThan">
      <x:formula>199</x:formula>
    </x:cfRule>
  </x:conditionalFormatting>
  <x:conditionalFormatting sqref="I56:I80">
    <x:cfRule type="cellIs" dxfId="50" priority="15" operator="greaterThan">
      <x:formula>199</x:formula>
    </x:cfRule>
  </x:conditionalFormatting>
  <x:conditionalFormatting sqref="G4:G28">
    <x:cfRule type="cellIs" dxfId="49" priority="1" operator="between">
      <x:formula>800</x:formula>
      <x:formula>1600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X77"/>
  <x:sheetViews>
    <x:sheetView topLeftCell="A59" zoomScale="90" zoomScaleNormal="90" zoomScaleSheetLayoutView="110" workbookViewId="0">
      <x:selection activeCell="H72" activeCellId="0" sqref="H72:H77"/>
    </x:sheetView>
  </x:sheetViews>
  <x:sheetFormatPr defaultColWidth="9" defaultRowHeight="16.399999999999999"/>
  <x:cols>
    <x:col min="1" max="1" width="4.625" style="3" customWidth="1"/>
    <x:col min="2" max="2" width="14.625" style="3" customWidth="1"/>
    <x:col min="3" max="8" width="11.625" style="3" customWidth="1"/>
    <x:col min="9" max="9" width="14.625" style="3" customWidth="1"/>
    <x:col min="10" max="15" width="11.625" style="3" customWidth="1"/>
    <x:col min="16" max="16" width="9.875" style="3" bestFit="1" customWidth="1"/>
    <x:col min="17" max="17" width="9.375" style="3" customWidth="1"/>
    <x:col min="19" max="19" width="10.625" style="3" customWidth="1"/>
    <x:col min="21" max="21" width="13.125" style="3" customWidth="1"/>
    <x:col min="22" max="22" width="11" style="3" bestFit="1" customWidth="1"/>
    <x:col min="23" max="23" width="15" style="3" customWidth="1"/>
    <x:col min="24" max="24" width="9" style="3" bestFit="1" customWidth="1"/>
  </x:cols>
  <x:sheetData>
    <x:row r="1" spans="1:15" ht="60" customHeight="1">
      <x:c r="A1" s="112" t="s">
        <x:v>63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</x:row>
    <x:row r="2" spans="1:24" ht="22.5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4" t="s">
        <x:v>48</x:v>
      </x:c>
      <x:c r="M2" s="34"/>
      <x:c r="N2" s="113">
        <x:v>46093</x:v>
      </x:c>
      <x:c r="O2" s="114"/>
      <x:c r="U2" s="35" t="s">
        <x:v>18</x:v>
      </x:c>
      <x:c r="V2" s="35">
        <x:v>1</x:v>
      </x:c>
      <x:c r="W2" s="35" t="s">
        <x:v>0</x:v>
      </x:c>
      <x:c r="X2" s="35">
        <x:v>1</x:v>
      </x:c>
    </x:row>
    <x:row r="3" spans="1:24" ht="24.949999999999999" customHeight="1">
      <x:c r="A3" s="13"/>
      <x:c r="B3" s="14" t="s">
        <x:v>14</x:v>
      </x:c>
      <x:c r="C3" s="14" t="s">
        <x:v>44</x:v>
      </x:c>
      <x:c r="D3" s="14" t="s">
        <x:v>55</x:v>
      </x:c>
      <x:c r="E3" s="14" t="s">
        <x:v>54</x:v>
      </x:c>
      <x:c r="F3" s="14" t="s">
        <x:v>53</x:v>
      </x:c>
      <x:c r="G3" s="14" t="s">
        <x:v>52</x:v>
      </x:c>
      <x:c r="H3" s="14" t="s">
        <x:v>47</x:v>
      </x:c>
      <x:c r="I3" s="15" t="s">
        <x:v>41</x:v>
      </x:c>
      <x:c r="J3" s="14" t="s">
        <x:v>44</x:v>
      </x:c>
      <x:c r="K3" s="14" t="s">
        <x:v>55</x:v>
      </x:c>
      <x:c r="L3" s="14" t="s">
        <x:v>54</x:v>
      </x:c>
      <x:c r="M3" s="14" t="s">
        <x:v>53</x:v>
      </x:c>
      <x:c r="N3" s="16" t="s">
        <x:v>52</x:v>
      </x:c>
      <x:c r="O3" s="17" t="s">
        <x:v>56</x:v>
      </x:c>
      <x:c r="U3" s="36" t="s">
        <x:v>58</x:v>
      </x:c>
      <x:c r="V3" s="36"/>
      <x:c r="W3" s="36"/>
      <x:c r="X3" s="36"/>
    </x:row>
    <x:row r="4" spans="1:24" ht="24.949999999999999" customHeight="1">
      <x:c r="A4" s="18">
        <x:v>1</x:v>
      </x:c>
      <x:c r="B4" s="19" t="s">
        <x:v>7</x:v>
      </x:c>
      <x:c r="C4" s="20">
        <x:v>146</x:v>
      </x:c>
      <x:c r="D4" s="20">
        <x:v>194</x:v>
      </x:c>
      <x:c r="E4" s="20">
        <x:v>202</x:v>
      </x:c>
      <x:c r="F4" s="20">
        <x:v>151</x:v>
      </x:c>
      <x:c r="G4" s="32">
        <x:f>F4+E4+D4+C4</x:f>
        <x:v>693</x:v>
      </x:c>
      <x:c r="H4" s="22">
        <x:f>G4/4</x:f>
        <x:v>173.25</x:v>
      </x:c>
      <x:c r="I4" s="23">
        <x:f>IF(B4="","",IFERROR(INDEX('회원명단 및 기준에버'!D:G,MATCH(B4,'회원명단 및 기준에버'!$C:$C,0),CHOOSE(INT((MONTH($N$2)-1)/3)+1,1,2,3,4)),""))</x:f>
        <x:v>200</x:v>
      </x:c>
      <x:c r="J4" s="5">
        <x:f>IFERROR(C4+-I4,0)</x:f>
        <x:v>-54</x:v>
      </x:c>
      <x:c r="K4" s="5">
        <x:f>IFERROR(D4+-I4,0)</x:f>
        <x:v>-6</x:v>
      </x:c>
      <x:c r="L4" s="5">
        <x:f>IFERROR(E4+-I4,0)</x:f>
        <x:v>2</x:v>
      </x:c>
      <x:c r="M4" s="5">
        <x:f>IFERROR(F4+-I4,0)</x:f>
        <x:v>-49</x:v>
      </x:c>
      <x:c r="N4" s="6">
        <x:f>SUM(J4:M4)</x:f>
        <x:v>-107</x:v>
      </x:c>
      <x:c r="O4" s="24">
        <x:f>IFERROR(H4+-I4,0)</x:f>
        <x:v>-26.75</x:v>
      </x:c>
      <x:c r="P4" s="25"/>
      <x:c r="U4" s="59">
        <x:f t="shared" ref="U4:U23" si="0">MAX(C4:F4)-MIN(C4:F4)</x:f>
        <x:v>56</x:v>
      </x:c>
      <x:c r="V4" s="60">
        <x:f>IF($X$2=0,(G4*1000000+U4*1000+A4),(O4*1000000+U4*1000+A4))</x:f>
        <x:v>-26693999</x:v>
      </x:c>
      <x:c r="W4" s="60">
        <x:f t="shared" ref="W4:W23" si="1">_xlfn.RANK.EQ(V4,$V$4:$V$23,0)</x:f>
        <x:v>20</x:v>
      </x:c>
      <x:c r="X4" s="61"/>
    </x:row>
    <x:row r="5" spans="1:24" ht="24.949999999999999" customHeight="1">
      <x:c r="A5" s="18">
        <x:v>2</x:v>
      </x:c>
      <x:c r="B5" s="19" t="s">
        <x:v>36</x:v>
      </x:c>
      <x:c r="C5" s="20">
        <x:v>185</x:v>
      </x:c>
      <x:c r="D5" s="20">
        <x:v>158</x:v>
      </x:c>
      <x:c r="E5" s="20">
        <x:v>157</x:v>
      </x:c>
      <x:c r="F5" s="20">
        <x:v>148</x:v>
      </x:c>
      <x:c r="G5" s="21">
        <x:f t="shared" ref="G5:G23" si="2">F5+E5+D5+C5</x:f>
        <x:v>648</x:v>
      </x:c>
      <x:c r="H5" s="22">
        <x:f t="shared" ref="H5:H23" si="3">G5/4</x:f>
        <x:v>162</x:v>
      </x:c>
      <x:c r="I5" s="23">
        <x:f>IF(B5="","",IFERROR(INDEX('회원명단 및 기준에버'!D:G,MATCH(B5,'회원명단 및 기준에버'!$C:$C,0),CHOOSE(INT((MONTH($N$2)-1)/3)+1,1,2,3,4)),""))</x:f>
        <x:v>171</x:v>
      </x:c>
      <x:c r="J5" s="5">
        <x:f>IFERROR(C5+-I5,0)</x:f>
        <x:v>14</x:v>
      </x:c>
      <x:c r="K5" s="5">
        <x:f>IFERROR(D5+-I5,0)</x:f>
        <x:v>-13</x:v>
      </x:c>
      <x:c r="L5" s="5">
        <x:f>IFERROR(E5+-I5,0)</x:f>
        <x:v>-14</x:v>
      </x:c>
      <x:c r="M5" s="5">
        <x:f t="shared" ref="M5:M23" si="4">IFERROR(F5+-I5,0)</x:f>
        <x:v>-23</x:v>
      </x:c>
      <x:c r="N5" s="6">
        <x:f t="shared" ref="N5:N23" si="5">SUM(J5:M5)</x:f>
        <x:v>-36</x:v>
      </x:c>
      <x:c r="O5" s="24">
        <x:f>IFERROR(H5+-I5,0)</x:f>
        <x:v>-9</x:v>
      </x:c>
      <x:c r="P5" s="25"/>
      <x:c r="U5" s="62">
        <x:f t="shared" si="0"/>
        <x:v>37</x:v>
      </x:c>
      <x:c r="V5" s="57">
        <x:f t="shared" ref="V5:V23" si="6">IF($X$2=0,(G5*1000000+U5*1000+A5),(O5*1000000+U5*1000+A5))</x:f>
        <x:v>-8962998</x:v>
      </x:c>
      <x:c r="W5" s="57">
        <x:f t="shared" si="1"/>
        <x:v>15</x:v>
      </x:c>
      <x:c r="X5" s="63"/>
    </x:row>
    <x:row r="6" spans="1:24" ht="24.949999999999999" customHeight="1">
      <x:c r="A6" s="18">
        <x:v>3</x:v>
      </x:c>
      <x:c r="B6" s="19" t="s">
        <x:v>23</x:v>
      </x:c>
      <x:c r="C6" s="20">
        <x:v>189</x:v>
      </x:c>
      <x:c r="D6" s="20">
        <x:v>182</x:v>
      </x:c>
      <x:c r="E6" s="20">
        <x:v>201</x:v>
      </x:c>
      <x:c r="F6" s="20">
        <x:v>171</x:v>
      </x:c>
      <x:c r="G6" s="21">
        <x:f t="shared" si="2"/>
        <x:v>743</x:v>
      </x:c>
      <x:c r="H6" s="22">
        <x:f t="shared" si="3"/>
        <x:v>185.75</x:v>
      </x:c>
      <x:c r="I6" s="23">
        <x:f>IF(B6="","",IFERROR(INDEX('회원명단 및 기준에버'!D:G,MATCH(B6,'회원명단 및 기준에버'!$C:$C,0),CHOOSE(INT((MONTH($N$2)-1)/3)+1,1,2,3,4)),""))</x:f>
        <x:v>184</x:v>
      </x:c>
      <x:c r="J6" s="5">
        <x:f t="shared" ref="J6:J23" si="7">IFERROR(C6+-I6,0)</x:f>
        <x:v>5</x:v>
      </x:c>
      <x:c r="K6" s="5">
        <x:f t="shared" ref="K6:K23" si="8">IFERROR(D6+-I6,0)</x:f>
        <x:v>-2</x:v>
      </x:c>
      <x:c r="L6" s="5">
        <x:f t="shared" ref="L6:L23" si="9">IFERROR(E6+-I6,0)</x:f>
        <x:v>17</x:v>
      </x:c>
      <x:c r="M6" s="5">
        <x:f t="shared" si="4"/>
        <x:v>-13</x:v>
      </x:c>
      <x:c r="N6" s="6">
        <x:f t="shared" si="5"/>
        <x:v>7</x:v>
      </x:c>
      <x:c r="O6" s="24">
        <x:f t="shared" ref="O6:O23" si="10">IFERROR(H6+-I6,0)</x:f>
        <x:v>1.75</x:v>
      </x:c>
      <x:c r="U6" s="62">
        <x:f t="shared" si="0"/>
        <x:v>30</x:v>
      </x:c>
      <x:c r="V6" s="57">
        <x:f t="shared" si="6"/>
        <x:v>1780003</x:v>
      </x:c>
      <x:c r="W6" s="57">
        <x:f t="shared" si="1"/>
        <x:v>10</x:v>
      </x:c>
      <x:c r="X6" s="63"/>
    </x:row>
    <x:row r="7" spans="1:24" ht="24.949999999999999" customHeight="1">
      <x:c r="A7" s="18">
        <x:v>4</x:v>
      </x:c>
      <x:c r="B7" s="19" t="s">
        <x:v>3</x:v>
      </x:c>
      <x:c r="C7" s="20">
        <x:v>215</x:v>
      </x:c>
      <x:c r="D7" s="20">
        <x:v>247</x:v>
      </x:c>
      <x:c r="E7" s="20">
        <x:v>171</x:v>
      </x:c>
      <x:c r="F7" s="20">
        <x:v>235</x:v>
      </x:c>
      <x:c r="G7" s="21">
        <x:f t="shared" si="2"/>
        <x:v>868</x:v>
      </x:c>
      <x:c r="H7" s="22">
        <x:f t="shared" si="3"/>
        <x:v>217</x:v>
      </x:c>
      <x:c r="I7" s="23">
        <x:f>IF(B7="","",IFERROR(INDEX('회원명단 및 기준에버'!D:G,MATCH(B7,'회원명단 및 기준에버'!$C:$C,0),CHOOSE(INT((MONTH($N$2)-1)/3)+1,1,2,3,4)),""))</x:f>
        <x:v>192</x:v>
      </x:c>
      <x:c r="J7" s="5">
        <x:f t="shared" si="7"/>
        <x:v>23</x:v>
      </x:c>
      <x:c r="K7" s="5">
        <x:f t="shared" si="8"/>
        <x:v>55</x:v>
      </x:c>
      <x:c r="L7" s="5">
        <x:f t="shared" si="9"/>
        <x:v>-21</x:v>
      </x:c>
      <x:c r="M7" s="5">
        <x:f t="shared" si="4"/>
        <x:v>43</x:v>
      </x:c>
      <x:c r="N7" s="6">
        <x:f t="shared" si="5"/>
        <x:v>100</x:v>
      </x:c>
      <x:c r="O7" s="24">
        <x:f t="shared" si="10"/>
        <x:v>25</x:v>
      </x:c>
      <x:c r="U7" s="62">
        <x:f t="shared" si="0"/>
        <x:v>76</x:v>
      </x:c>
      <x:c r="V7" s="57">
        <x:f t="shared" si="6"/>
        <x:v>25076004</x:v>
      </x:c>
      <x:c r="W7" s="57">
        <x:f t="shared" si="1"/>
        <x:v>3</x:v>
      </x:c>
      <x:c r="X7" s="63"/>
    </x:row>
    <x:row r="8" spans="1:24" ht="24.949999999999999" customHeight="1">
      <x:c r="A8" s="18">
        <x:v>5</x:v>
      </x:c>
      <x:c r="B8" s="19" t="s">
        <x:v>4</x:v>
      </x:c>
      <x:c r="C8" s="20">
        <x:v>235</x:v>
      </x:c>
      <x:c r="D8" s="20">
        <x:v>215</x:v>
      </x:c>
      <x:c r="E8" s="20">
        <x:v>228</x:v>
      </x:c>
      <x:c r="F8" s="20">
        <x:v>207</x:v>
      </x:c>
      <x:c r="G8" s="21">
        <x:f t="shared" si="2"/>
        <x:v>885</x:v>
      </x:c>
      <x:c r="H8" s="22">
        <x:f t="shared" si="3"/>
        <x:v>221.25</x:v>
      </x:c>
      <x:c r="I8" s="23">
        <x:f>IF(B8="","",IFERROR(INDEX('회원명단 및 기준에버'!D:G,MATCH(B8,'회원명단 및 기준에버'!$C:$C,0),CHOOSE(INT((MONTH($N$2)-1)/3)+1,1,2,3,4)),""))</x:f>
        <x:v>196</x:v>
      </x:c>
      <x:c r="J8" s="5">
        <x:f t="shared" si="7"/>
        <x:v>39</x:v>
      </x:c>
      <x:c r="K8" s="5">
        <x:f t="shared" si="8"/>
        <x:v>19</x:v>
      </x:c>
      <x:c r="L8" s="5">
        <x:f t="shared" si="9"/>
        <x:v>32</x:v>
      </x:c>
      <x:c r="M8" s="5">
        <x:f t="shared" si="4"/>
        <x:v>11</x:v>
      </x:c>
      <x:c r="N8" s="6">
        <x:f t="shared" si="5"/>
        <x:v>101</x:v>
      </x:c>
      <x:c r="O8" s="24">
        <x:f t="shared" si="10"/>
        <x:v>25.25</x:v>
      </x:c>
      <x:c r="U8" s="62">
        <x:f t="shared" si="0"/>
        <x:v>28</x:v>
      </x:c>
      <x:c r="V8" s="57">
        <x:f t="shared" si="6"/>
        <x:v>25278005</x:v>
      </x:c>
      <x:c r="W8" s="57">
        <x:f t="shared" si="1"/>
        <x:v>2</x:v>
      </x:c>
      <x:c r="X8" s="63"/>
    </x:row>
    <x:row r="9" spans="1:24" ht="24.949999999999999" customHeight="1">
      <x:c r="A9" s="18">
        <x:v>6</x:v>
      </x:c>
      <x:c r="B9" s="19" t="s">
        <x:v>10</x:v>
      </x:c>
      <x:c r="C9" s="20">
        <x:v>269</x:v>
      </x:c>
      <x:c r="D9" s="20">
        <x:v>178</x:v>
      </x:c>
      <x:c r="E9" s="20">
        <x:v>193</x:v>
      </x:c>
      <x:c r="F9" s="20">
        <x:v>205</x:v>
      </x:c>
      <x:c r="G9" s="21">
        <x:f t="shared" si="2"/>
        <x:v>845</x:v>
      </x:c>
      <x:c r="H9" s="22">
        <x:f t="shared" si="3"/>
        <x:v>211.25</x:v>
      </x:c>
      <x:c r="I9" s="23">
        <x:f>IF(B9="","",IFERROR(INDEX('회원명단 및 기준에버'!D:G,MATCH(B9,'회원명단 및 기준에버'!$C:$C,0),CHOOSE(INT((MONTH($N$2)-1)/3)+1,1,2,3,4)),""))</x:f>
        <x:v>200</x:v>
      </x:c>
      <x:c r="J9" s="5">
        <x:f t="shared" si="7"/>
        <x:v>69</x:v>
      </x:c>
      <x:c r="K9" s="5">
        <x:f t="shared" si="8"/>
        <x:v>-22</x:v>
      </x:c>
      <x:c r="L9" s="5">
        <x:f t="shared" si="9"/>
        <x:v>-7</x:v>
      </x:c>
      <x:c r="M9" s="5">
        <x:f t="shared" si="4"/>
        <x:v>5</x:v>
      </x:c>
      <x:c r="N9" s="6">
        <x:f t="shared" si="5"/>
        <x:v>45</x:v>
      </x:c>
      <x:c r="O9" s="24">
        <x:f t="shared" si="10"/>
        <x:v>11.25</x:v>
      </x:c>
      <x:c r="U9" s="62">
        <x:f t="shared" si="0"/>
        <x:v>91</x:v>
      </x:c>
      <x:c r="V9" s="57">
        <x:f t="shared" si="6"/>
        <x:v>11341006</x:v>
      </x:c>
      <x:c r="W9" s="57">
        <x:f t="shared" si="1"/>
        <x:v>5</x:v>
      </x:c>
      <x:c r="X9" s="63"/>
    </x:row>
    <x:row r="10" spans="1:24" ht="24.949999999999999" customHeight="1">
      <x:c r="A10" s="18">
        <x:v>7</x:v>
      </x:c>
      <x:c r="B10" s="19" t="s">
        <x:v>25</x:v>
      </x:c>
      <x:c r="C10" s="20">
        <x:v>162</x:v>
      </x:c>
      <x:c r="D10" s="20">
        <x:v>170</x:v>
      </x:c>
      <x:c r="E10" s="20">
        <x:v>176</x:v>
      </x:c>
      <x:c r="F10" s="20">
        <x:v>224</x:v>
      </x:c>
      <x:c r="G10" s="21">
        <x:f t="shared" si="2"/>
        <x:v>732</x:v>
      </x:c>
      <x:c r="H10" s="22">
        <x:f t="shared" si="3"/>
        <x:v>183</x:v>
      </x:c>
      <x:c r="I10" s="23">
        <x:f>IF(B10="","",IFERROR(INDEX('회원명단 및 기준에버'!D:G,MATCH(B10,'회원명단 및 기준에버'!$C:$C,0),CHOOSE(INT((MONTH($N$2)-1)/3)+1,1,2,3,4)),""))</x:f>
        <x:v>194</x:v>
      </x:c>
      <x:c r="J10" s="5">
        <x:f t="shared" si="7"/>
        <x:v>-32</x:v>
      </x:c>
      <x:c r="K10" s="5">
        <x:f t="shared" si="8"/>
        <x:v>-24</x:v>
      </x:c>
      <x:c r="L10" s="5">
        <x:f t="shared" si="9"/>
        <x:v>-18</x:v>
      </x:c>
      <x:c r="M10" s="5">
        <x:f t="shared" si="4"/>
        <x:v>30</x:v>
      </x:c>
      <x:c r="N10" s="6">
        <x:f t="shared" si="5"/>
        <x:v>-44</x:v>
      </x:c>
      <x:c r="O10" s="24">
        <x:f t="shared" si="10"/>
        <x:v>-11</x:v>
      </x:c>
      <x:c r="U10" s="62">
        <x:f t="shared" si="0"/>
        <x:v>62</x:v>
      </x:c>
      <x:c r="V10" s="57">
        <x:f t="shared" si="6"/>
        <x:v>-10937993</x:v>
      </x:c>
      <x:c r="W10" s="57">
        <x:f t="shared" si="1"/>
        <x:v>16</x:v>
      </x:c>
      <x:c r="X10" s="63"/>
    </x:row>
    <x:row r="11" spans="1:24" ht="24.949999999999999" customHeight="1">
      <x:c r="A11" s="18">
        <x:v>8</x:v>
      </x:c>
      <x:c r="B11" s="19" t="s">
        <x:v>12</x:v>
      </x:c>
      <x:c r="C11" s="20">
        <x:v>212</x:v>
      </x:c>
      <x:c r="D11" s="20">
        <x:v>183</x:v>
      </x:c>
      <x:c r="E11" s="20">
        <x:v>245</x:v>
      </x:c>
      <x:c r="F11" s="20">
        <x:v>189</x:v>
      </x:c>
      <x:c r="G11" s="21">
        <x:f t="shared" si="2"/>
        <x:v>829</x:v>
      </x:c>
      <x:c r="H11" s="22">
        <x:f t="shared" si="3"/>
        <x:v>207.25</x:v>
      </x:c>
      <x:c r="I11" s="23">
        <x:f>IF(B11="","",IFERROR(INDEX('회원명단 및 기준에버'!D:G,MATCH(B11,'회원명단 및 기준에버'!$C:$C,0),CHOOSE(INT((MONTH($N$2)-1)/3)+1,1,2,3,4)),""))</x:f>
        <x:v>196</x:v>
      </x:c>
      <x:c r="J11" s="5">
        <x:f t="shared" si="7"/>
        <x:v>16</x:v>
      </x:c>
      <x:c r="K11" s="5">
        <x:f t="shared" si="8"/>
        <x:v>-13</x:v>
      </x:c>
      <x:c r="L11" s="5">
        <x:f t="shared" si="9"/>
        <x:v>49</x:v>
      </x:c>
      <x:c r="M11" s="5">
        <x:f t="shared" si="4"/>
        <x:v>-7</x:v>
      </x:c>
      <x:c r="N11" s="6">
        <x:f t="shared" si="5"/>
        <x:v>45</x:v>
      </x:c>
      <x:c r="O11" s="24">
        <x:f t="shared" si="10"/>
        <x:v>11.25</x:v>
      </x:c>
      <x:c r="U11" s="62">
        <x:f t="shared" si="0"/>
        <x:v>62</x:v>
      </x:c>
      <x:c r="V11" s="57">
        <x:f t="shared" si="6"/>
        <x:v>11312008</x:v>
      </x:c>
      <x:c r="W11" s="57">
        <x:f t="shared" si="1"/>
        <x:v>6</x:v>
      </x:c>
      <x:c r="X11" s="63"/>
    </x:row>
    <x:row r="12" spans="1:24" ht="24.949999999999999" customHeight="1">
      <x:c r="A12" s="18">
        <x:v>9</x:v>
      </x:c>
      <x:c r="B12" s="19" t="s">
        <x:v>38</x:v>
      </x:c>
      <x:c r="C12" s="20">
        <x:v>176</x:v>
      </x:c>
      <x:c r="D12" s="20">
        <x:v>215</x:v>
      </x:c>
      <x:c r="E12" s="20">
        <x:v>191</x:v>
      </x:c>
      <x:c r="F12" s="20">
        <x:v>170</x:v>
      </x:c>
      <x:c r="G12" s="21">
        <x:f t="shared" si="2"/>
        <x:v>752</x:v>
      </x:c>
      <x:c r="H12" s="22">
        <x:f t="shared" si="3"/>
        <x:v>188</x:v>
      </x:c>
      <x:c r="I12" s="23">
        <x:f>IF(B12="","",IFERROR(INDEX('회원명단 및 기준에버'!D:G,MATCH(B12,'회원명단 및 기준에버'!$C:$C,0),CHOOSE(INT((MONTH($N$2)-1)/3)+1,1,2,3,4)),""))</x:f>
        <x:v>195</x:v>
      </x:c>
      <x:c r="J12" s="5">
        <x:f t="shared" si="7"/>
        <x:v>-19</x:v>
      </x:c>
      <x:c r="K12" s="5">
        <x:f t="shared" si="8"/>
        <x:v>20</x:v>
      </x:c>
      <x:c r="L12" s="5">
        <x:f t="shared" si="9"/>
        <x:v>-4</x:v>
      </x:c>
      <x:c r="M12" s="5">
        <x:f t="shared" si="4"/>
        <x:v>-25</x:v>
      </x:c>
      <x:c r="N12" s="6">
        <x:f t="shared" si="5"/>
        <x:v>-28</x:v>
      </x:c>
      <x:c r="O12" s="24">
        <x:f t="shared" si="10"/>
        <x:v>-7</x:v>
      </x:c>
      <x:c r="U12" s="62">
        <x:f t="shared" si="0"/>
        <x:v>45</x:v>
      </x:c>
      <x:c r="V12" s="57">
        <x:f t="shared" si="6"/>
        <x:v>-6954991</x:v>
      </x:c>
      <x:c r="W12" s="57">
        <x:f t="shared" si="1"/>
        <x:v>14</x:v>
      </x:c>
      <x:c r="X12" s="63"/>
    </x:row>
    <x:row r="13" spans="1:24" ht="24.949999999999999" customHeight="1">
      <x:c r="A13" s="18">
        <x:v>10</x:v>
      </x:c>
      <x:c r="B13" s="19" t="s">
        <x:v>5</x:v>
      </x:c>
      <x:c r="C13" s="20">
        <x:v>141</x:v>
      </x:c>
      <x:c r="D13" s="20">
        <x:v>183</x:v>
      </x:c>
      <x:c r="E13" s="20">
        <x:v>179</x:v>
      </x:c>
      <x:c r="F13" s="20">
        <x:v>162</x:v>
      </x:c>
      <x:c r="G13" s="21">
        <x:f t="shared" si="2"/>
        <x:v>665</x:v>
      </x:c>
      <x:c r="H13" s="22">
        <x:f t="shared" si="3"/>
        <x:v>166.25</x:v>
      </x:c>
      <x:c r="I13" s="23">
        <x:f>IF(B13="","",IFERROR(INDEX('회원명단 및 기준에버'!D:G,MATCH(B13,'회원명단 및 기준에버'!$C:$C,0),CHOOSE(INT((MONTH($N$2)-1)/3)+1,1,2,3,4)),""))</x:f>
        <x:v>161</x:v>
      </x:c>
      <x:c r="J13" s="5">
        <x:f t="shared" si="7"/>
        <x:v>-20</x:v>
      </x:c>
      <x:c r="K13" s="5">
        <x:f t="shared" si="8"/>
        <x:v>22</x:v>
      </x:c>
      <x:c r="L13" s="5">
        <x:f t="shared" si="9"/>
        <x:v>18</x:v>
      </x:c>
      <x:c r="M13" s="5">
        <x:f t="shared" si="4"/>
        <x:v>1</x:v>
      </x:c>
      <x:c r="N13" s="6">
        <x:f t="shared" si="5"/>
        <x:v>21</x:v>
      </x:c>
      <x:c r="O13" s="24">
        <x:f t="shared" si="10"/>
        <x:v>5.25</x:v>
      </x:c>
      <x:c r="U13" s="62">
        <x:f t="shared" si="0"/>
        <x:v>42</x:v>
      </x:c>
      <x:c r="V13" s="57">
        <x:f t="shared" si="6"/>
        <x:v>5292010</x:v>
      </x:c>
      <x:c r="W13" s="57">
        <x:f t="shared" si="1"/>
        <x:v>8</x:v>
      </x:c>
      <x:c r="X13" s="63"/>
    </x:row>
    <x:row r="14" spans="1:24" ht="24.949999999999999" customHeight="1">
      <x:c r="A14" s="18">
        <x:v>11</x:v>
      </x:c>
      <x:c r="B14" s="19" t="s">
        <x:v>16</x:v>
      </x:c>
      <x:c r="C14" s="20">
        <x:v>215</x:v>
      </x:c>
      <x:c r="D14" s="20">
        <x:v>247</x:v>
      </x:c>
      <x:c r="E14" s="20">
        <x:v>161</x:v>
      </x:c>
      <x:c r="F14" s="20">
        <x:v>170</x:v>
      </x:c>
      <x:c r="G14" s="21">
        <x:f t="shared" si="2"/>
        <x:v>793</x:v>
      </x:c>
      <x:c r="H14" s="22">
        <x:f t="shared" si="3"/>
        <x:v>198.25</x:v>
      </x:c>
      <x:c r="I14" s="23">
        <x:f>IF(B14="","",IFERROR(INDEX('회원명단 및 기준에버'!D:G,MATCH(B14,'회원명단 및 기준에버'!$C:$C,0),CHOOSE(INT((MONTH($N$2)-1)/3)+1,1,2,3,4)),""))</x:f>
        <x:v>200</x:v>
      </x:c>
      <x:c r="J14" s="5">
        <x:f t="shared" si="7"/>
        <x:v>15</x:v>
      </x:c>
      <x:c r="K14" s="5">
        <x:f t="shared" si="8"/>
        <x:v>47</x:v>
      </x:c>
      <x:c r="L14" s="5">
        <x:f t="shared" si="9"/>
        <x:v>-39</x:v>
      </x:c>
      <x:c r="M14" s="5">
        <x:f t="shared" si="4"/>
        <x:v>-30</x:v>
      </x:c>
      <x:c r="N14" s="6">
        <x:f t="shared" si="5"/>
        <x:v>-7</x:v>
      </x:c>
      <x:c r="O14" s="24">
        <x:f t="shared" si="10"/>
        <x:v>-1.75</x:v>
      </x:c>
      <x:c r="U14" s="62">
        <x:f t="shared" si="0"/>
        <x:v>86</x:v>
      </x:c>
      <x:c r="V14" s="57">
        <x:f t="shared" si="6"/>
        <x:v>-1663989</x:v>
      </x:c>
      <x:c r="W14" s="57">
        <x:f t="shared" si="1"/>
        <x:v>11</x:v>
      </x:c>
      <x:c r="X14" s="63"/>
    </x:row>
    <x:row r="15" spans="1:24" ht="24.949999999999999" customHeight="1">
      <x:c r="A15" s="18">
        <x:v>12</x:v>
      </x:c>
      <x:c r="B15" s="19" t="s">
        <x:v>22</x:v>
      </x:c>
      <x:c r="C15" s="20">
        <x:v>257</x:v>
      </x:c>
      <x:c r="D15" s="20">
        <x:v>268</x:v>
      </x:c>
      <x:c r="E15" s="20">
        <x:v>201</x:v>
      </x:c>
      <x:c r="F15" s="20">
        <x:v>171</x:v>
      </x:c>
      <x:c r="G15" s="21">
        <x:f t="shared" si="2"/>
        <x:v>897</x:v>
      </x:c>
      <x:c r="H15" s="22">
        <x:f t="shared" si="3"/>
        <x:v>224.25</x:v>
      </x:c>
      <x:c r="I15" s="23">
        <x:f>IF(B15="","",IFERROR(INDEX('회원명단 및 기준에버'!D:G,MATCH(B15,'회원명단 및 기준에버'!$C:$C,0),CHOOSE(INT((MONTH($N$2)-1)/3)+1,1,2,3,4)),""))</x:f>
        <x:v>194</x:v>
      </x:c>
      <x:c r="J15" s="5">
        <x:f t="shared" si="7"/>
        <x:v>63</x:v>
      </x:c>
      <x:c r="K15" s="5">
        <x:f t="shared" si="8"/>
        <x:v>74</x:v>
      </x:c>
      <x:c r="L15" s="5">
        <x:f t="shared" si="9"/>
        <x:v>7</x:v>
      </x:c>
      <x:c r="M15" s="5">
        <x:f t="shared" si="4"/>
        <x:v>-23</x:v>
      </x:c>
      <x:c r="N15" s="6">
        <x:f t="shared" si="5"/>
        <x:v>121</x:v>
      </x:c>
      <x:c r="O15" s="24">
        <x:f t="shared" si="10"/>
        <x:v>30.25</x:v>
      </x:c>
      <x:c r="U15" s="62">
        <x:f t="shared" si="0"/>
        <x:v>97</x:v>
      </x:c>
      <x:c r="V15" s="57">
        <x:f t="shared" si="6"/>
        <x:v>30347012</x:v>
      </x:c>
      <x:c r="W15" s="57">
        <x:f t="shared" si="1"/>
        <x:v>1</x:v>
      </x:c>
      <x:c r="X15" s="63"/>
    </x:row>
    <x:row r="16" spans="1:24" ht="24.949999999999999" customHeight="1">
      <x:c r="A16" s="18">
        <x:v>13</x:v>
      </x:c>
      <x:c r="B16" s="19" t="s">
        <x:v>20</x:v>
      </x:c>
      <x:c r="C16" s="20">
        <x:v>127</x:v>
      </x:c>
      <x:c r="D16" s="20">
        <x:v>149</x:v>
      </x:c>
      <x:c r="E16" s="20">
        <x:v>164</x:v>
      </x:c>
      <x:c r="F16" s="20">
        <x:v>227</x:v>
      </x:c>
      <x:c r="G16" s="21">
        <x:f t="shared" si="2"/>
        <x:v>667</x:v>
      </x:c>
      <x:c r="H16" s="22">
        <x:f t="shared" si="3"/>
        <x:v>166.75</x:v>
      </x:c>
      <x:c r="I16" s="23">
        <x:f>IF(B16="","",IFERROR(INDEX('회원명단 및 기준에버'!D:G,MATCH(B16,'회원명단 및 기준에버'!$C:$C,0),CHOOSE(INT((MONTH($N$2)-1)/3)+1,1,2,3,4)),""))</x:f>
        <x:v>183</x:v>
      </x:c>
      <x:c r="J16" s="5">
        <x:f t="shared" si="7"/>
        <x:v>-56</x:v>
      </x:c>
      <x:c r="K16" s="5">
        <x:f t="shared" si="8"/>
        <x:v>-34</x:v>
      </x:c>
      <x:c r="L16" s="5">
        <x:f t="shared" si="9"/>
        <x:v>-19</x:v>
      </x:c>
      <x:c r="M16" s="5">
        <x:f t="shared" si="4"/>
        <x:v>44</x:v>
      </x:c>
      <x:c r="N16" s="6">
        <x:f t="shared" si="5"/>
        <x:v>-65</x:v>
      </x:c>
      <x:c r="O16" s="24">
        <x:f t="shared" si="10"/>
        <x:v>-16.25</x:v>
      </x:c>
      <x:c r="U16" s="62">
        <x:f t="shared" si="0"/>
        <x:v>100</x:v>
      </x:c>
      <x:c r="V16" s="57">
        <x:f t="shared" si="6"/>
        <x:v>-16149987</x:v>
      </x:c>
      <x:c r="W16" s="57">
        <x:f t="shared" si="1"/>
        <x:v>18</x:v>
      </x:c>
      <x:c r="X16" s="63"/>
    </x:row>
    <x:row r="17" spans="1:24" ht="24.949999999999999" customHeight="1">
      <x:c r="A17" s="18">
        <x:v>14</x:v>
      </x:c>
      <x:c r="B17" s="19" t="s">
        <x:v>31</x:v>
      </x:c>
      <x:c r="C17" s="20">
        <x:v>199</x:v>
      </x:c>
      <x:c r="D17" s="20">
        <x:v>197</x:v>
      </x:c>
      <x:c r="E17" s="20">
        <x:v>188</x:v>
      </x:c>
      <x:c r="F17" s="20">
        <x:v>219</x:v>
      </x:c>
      <x:c r="G17" s="21">
        <x:f t="shared" si="2"/>
        <x:v>803</x:v>
      </x:c>
      <x:c r="H17" s="22">
        <x:f t="shared" si="3"/>
        <x:v>200.75</x:v>
      </x:c>
      <x:c r="I17" s="23">
        <x:f>IF(B17="","",IFERROR(INDEX('회원명단 및 기준에버'!D:G,MATCH(B17,'회원명단 및 기준에버'!$C:$C,0),CHOOSE(INT((MONTH($N$2)-1)/3)+1,1,2,3,4)),""))</x:f>
        <x:v>198</x:v>
      </x:c>
      <x:c r="J17" s="5">
        <x:f t="shared" si="7"/>
        <x:v>1</x:v>
      </x:c>
      <x:c r="K17" s="5">
        <x:f t="shared" si="8"/>
        <x:v>-1</x:v>
      </x:c>
      <x:c r="L17" s="5">
        <x:f t="shared" si="9"/>
        <x:v>-10</x:v>
      </x:c>
      <x:c r="M17" s="5">
        <x:f t="shared" si="4"/>
        <x:v>21</x:v>
      </x:c>
      <x:c r="N17" s="6">
        <x:f t="shared" si="5"/>
        <x:v>11</x:v>
      </x:c>
      <x:c r="O17" s="24">
        <x:f t="shared" si="10"/>
        <x:v>2.75</x:v>
      </x:c>
      <x:c r="U17" s="62">
        <x:f t="shared" si="0"/>
        <x:v>31</x:v>
      </x:c>
      <x:c r="V17" s="57">
        <x:f t="shared" si="6"/>
        <x:v>2781014</x:v>
      </x:c>
      <x:c r="W17" s="57">
        <x:f t="shared" si="1"/>
        <x:v>9</x:v>
      </x:c>
      <x:c r="X17" s="63"/>
    </x:row>
    <x:row r="18" spans="1:24" ht="24.949999999999999" customHeight="1">
      <x:c r="A18" s="18">
        <x:v>15</x:v>
      </x:c>
      <x:c r="B18" s="19" t="s">
        <x:v>8</x:v>
      </x:c>
      <x:c r="C18" s="20">
        <x:v>131</x:v>
      </x:c>
      <x:c r="D18" s="20">
        <x:v>169</x:v>
      </x:c>
      <x:c r="E18" s="20">
        <x:v>180</x:v>
      </x:c>
      <x:c r="F18" s="20">
        <x:v>195</x:v>
      </x:c>
      <x:c r="G18" s="21">
        <x:f t="shared" si="2"/>
        <x:v>675</x:v>
      </x:c>
      <x:c r="H18" s="22">
        <x:f t="shared" si="3"/>
        <x:v>168.75</x:v>
      </x:c>
      <x:c r="I18" s="23">
        <x:f>IF(B18="","",IFERROR(INDEX('회원명단 및 기준에버'!D:G,MATCH(B18,'회원명단 및 기준에버'!$C:$C,0),CHOOSE(INT((MONTH($N$2)-1)/3)+1,1,2,3,4)),""))</x:f>
        <x:v>184</x:v>
      </x:c>
      <x:c r="J18" s="5">
        <x:f t="shared" si="7"/>
        <x:v>-53</x:v>
      </x:c>
      <x:c r="K18" s="5">
        <x:f t="shared" si="8"/>
        <x:v>-15</x:v>
      </x:c>
      <x:c r="L18" s="5">
        <x:f t="shared" si="9"/>
        <x:v>-4</x:v>
      </x:c>
      <x:c r="M18" s="5">
        <x:f t="shared" si="4"/>
        <x:v>11</x:v>
      </x:c>
      <x:c r="N18" s="6">
        <x:f t="shared" si="5"/>
        <x:v>-61</x:v>
      </x:c>
      <x:c r="O18" s="24">
        <x:f t="shared" si="10"/>
        <x:v>-15.25</x:v>
      </x:c>
      <x:c r="U18" s="62">
        <x:f t="shared" si="0"/>
        <x:v>64</x:v>
      </x:c>
      <x:c r="V18" s="57">
        <x:f t="shared" si="6"/>
        <x:v>-15185985</x:v>
      </x:c>
      <x:c r="W18" s="57">
        <x:f t="shared" si="1"/>
        <x:v>17</x:v>
      </x:c>
      <x:c r="X18" s="63"/>
    </x:row>
    <x:row r="19" spans="1:24" ht="24.949999999999999" customHeight="1">
      <x:c r="A19" s="18">
        <x:v>16</x:v>
      </x:c>
      <x:c r="B19" s="19" t="s">
        <x:v>29</x:v>
      </x:c>
      <x:c r="C19" s="20">
        <x:v>212</x:v>
      </x:c>
      <x:c r="D19" s="20">
        <x:v>200</x:v>
      </x:c>
      <x:c r="E19" s="20">
        <x:v>213</x:v>
      </x:c>
      <x:c r="F19" s="20">
        <x:v>165</x:v>
      </x:c>
      <x:c r="G19" s="21">
        <x:f t="shared" si="2"/>
        <x:v>790</x:v>
      </x:c>
      <x:c r="H19" s="22">
        <x:f t="shared" si="3"/>
        <x:v>197.5</x:v>
      </x:c>
      <x:c r="I19" s="23">
        <x:f>IF(B19="","",IFERROR(INDEX('회원명단 및 기준에버'!D:G,MATCH(B19,'회원명단 및 기준에버'!$C:$C,0),CHOOSE(INT((MONTH($N$2)-1)/3)+1,1,2,3,4)),""))</x:f>
        <x:v>200</x:v>
      </x:c>
      <x:c r="J19" s="5">
        <x:f t="shared" si="7"/>
        <x:v>12</x:v>
      </x:c>
      <x:c r="K19" s="5">
        <x:f t="shared" si="8"/>
        <x:v>0</x:v>
      </x:c>
      <x:c r="L19" s="5">
        <x:f t="shared" si="9"/>
        <x:v>13</x:v>
      </x:c>
      <x:c r="M19" s="5">
        <x:f t="shared" si="4"/>
        <x:v>-35</x:v>
      </x:c>
      <x:c r="N19" s="6">
        <x:f t="shared" si="5"/>
        <x:v>-10</x:v>
      </x:c>
      <x:c r="O19" s="24">
        <x:f t="shared" si="10"/>
        <x:v>-2.5</x:v>
      </x:c>
      <x:c r="U19" s="62">
        <x:f t="shared" si="0"/>
        <x:v>48</x:v>
      </x:c>
      <x:c r="V19" s="57">
        <x:f t="shared" si="6"/>
        <x:v>-2451984</x:v>
      </x:c>
      <x:c r="W19" s="57">
        <x:f t="shared" si="1"/>
        <x:v>12</x:v>
      </x:c>
      <x:c r="X19" s="63"/>
    </x:row>
    <x:row r="20" spans="1:24" ht="24.949999999999999" customHeight="1">
      <x:c r="A20" s="18">
        <x:v>17</x:v>
      </x:c>
      <x:c r="B20" s="19" t="s">
        <x:v>28</x:v>
      </x:c>
      <x:c r="C20" s="20">
        <x:v>246</x:v>
      </x:c>
      <x:c r="D20" s="20">
        <x:v>194</x:v>
      </x:c>
      <x:c r="E20" s="20">
        <x:v>225</x:v>
      </x:c>
      <x:c r="F20" s="20">
        <x:v>183</x:v>
      </x:c>
      <x:c r="G20" s="21">
        <x:f t="shared" si="2"/>
        <x:v>848</x:v>
      </x:c>
      <x:c r="H20" s="22">
        <x:f t="shared" si="3"/>
        <x:v>212</x:v>
      </x:c>
      <x:c r="I20" s="23">
        <x:f>IF(B20="","",IFERROR(INDEX('회원명단 및 기준에버'!D:G,MATCH(B20,'회원명단 및 기준에버'!$C:$C,0),CHOOSE(INT((MONTH($N$2)-1)/3)+1,1,2,3,4)),""))</x:f>
        <x:v>200</x:v>
      </x:c>
      <x:c r="J20" s="5">
        <x:f t="shared" si="7"/>
        <x:v>46</x:v>
      </x:c>
      <x:c r="K20" s="5">
        <x:f t="shared" si="8"/>
        <x:v>-6</x:v>
      </x:c>
      <x:c r="L20" s="5">
        <x:f t="shared" si="9"/>
        <x:v>25</x:v>
      </x:c>
      <x:c r="M20" s="5">
        <x:f t="shared" si="4"/>
        <x:v>-17</x:v>
      </x:c>
      <x:c r="N20" s="6">
        <x:f t="shared" si="5"/>
        <x:v>48</x:v>
      </x:c>
      <x:c r="O20" s="24">
        <x:f t="shared" si="10"/>
        <x:v>12</x:v>
      </x:c>
      <x:c r="U20" s="62">
        <x:f t="shared" si="0"/>
        <x:v>63</x:v>
      </x:c>
      <x:c r="V20" s="57">
        <x:f t="shared" si="6"/>
        <x:v>12063017</x:v>
      </x:c>
      <x:c r="W20" s="57">
        <x:f t="shared" si="1"/>
        <x:v>4</x:v>
      </x:c>
      <x:c r="X20" s="63"/>
    </x:row>
    <x:row r="21" spans="1:24" ht="24.949999999999999" customHeight="1">
      <x:c r="A21" s="18">
        <x:v>18</x:v>
      </x:c>
      <x:c r="B21" s="19" t="s">
        <x:v>39</x:v>
      </x:c>
      <x:c r="C21" s="20">
        <x:v>205</x:v>
      </x:c>
      <x:c r="D21" s="20">
        <x:v>152</x:v>
      </x:c>
      <x:c r="E21" s="20">
        <x:v>196</x:v>
      </x:c>
      <x:c r="F21" s="20">
        <x:v>151</x:v>
      </x:c>
      <x:c r="G21" s="21">
        <x:f t="shared" si="2"/>
        <x:v>704</x:v>
      </x:c>
      <x:c r="H21" s="22">
        <x:f t="shared" si="3"/>
        <x:v>176</x:v>
      </x:c>
      <x:c r="I21" s="23">
        <x:f>IF(B21="","",IFERROR(INDEX('회원명단 및 기준에버'!D:G,MATCH(B21,'회원명단 및 기준에버'!$C:$C,0),CHOOSE(INT((MONTH($N$2)-1)/3)+1,1,2,3,4)),""))</x:f>
        <x:v>198</x:v>
      </x:c>
      <x:c r="J21" s="5">
        <x:f t="shared" si="7"/>
        <x:v>7</x:v>
      </x:c>
      <x:c r="K21" s="5">
        <x:f t="shared" si="8"/>
        <x:v>-46</x:v>
      </x:c>
      <x:c r="L21" s="5">
        <x:f t="shared" si="9"/>
        <x:v>-2</x:v>
      </x:c>
      <x:c r="M21" s="5">
        <x:f t="shared" si="4"/>
        <x:v>-47</x:v>
      </x:c>
      <x:c r="N21" s="6">
        <x:f t="shared" si="5"/>
        <x:v>-88</x:v>
      </x:c>
      <x:c r="O21" s="24">
        <x:f t="shared" si="10"/>
        <x:v>-22</x:v>
      </x:c>
      <x:c r="U21" s="62">
        <x:f t="shared" si="0"/>
        <x:v>54</x:v>
      </x:c>
      <x:c r="V21" s="57">
        <x:f t="shared" si="6"/>
        <x:v>-21945982</x:v>
      </x:c>
      <x:c r="W21" s="57">
        <x:f t="shared" si="1"/>
        <x:v>19</x:v>
      </x:c>
      <x:c r="X21" s="63"/>
    </x:row>
    <x:row r="22" spans="1:24" ht="24.949999999999999" customHeight="1">
      <x:c r="A22" s="18">
        <x:v>19</x:v>
      </x:c>
      <x:c r="B22" s="19" t="s">
        <x:v>33</x:v>
      </x:c>
      <x:c r="C22" s="20">
        <x:v>210</x:v>
      </x:c>
      <x:c r="D22" s="20">
        <x:v>214</x:v>
      </x:c>
      <x:c r="E22" s="20">
        <x:v>179</x:v>
      </x:c>
      <x:c r="F22" s="20">
        <x:v>181</x:v>
      </x:c>
      <x:c r="G22" s="21">
        <x:f t="shared" si="2"/>
        <x:v>784</x:v>
      </x:c>
      <x:c r="H22" s="22">
        <x:f t="shared" si="3"/>
        <x:v>196</x:v>
      </x:c>
      <x:c r="I22" s="23">
        <x:f>IF(B22="","",IFERROR(INDEX('회원명단 및 기준에버'!D:G,MATCH(B22,'회원명단 및 기준에버'!$C:$C,0),CHOOSE(INT((MONTH($N$2)-1)/3)+1,1,2,3,4)),""))</x:f>
        <x:v>200</x:v>
      </x:c>
      <x:c r="J22" s="5">
        <x:f t="shared" si="7"/>
        <x:v>10</x:v>
      </x:c>
      <x:c r="K22" s="5">
        <x:f t="shared" si="8"/>
        <x:v>14</x:v>
      </x:c>
      <x:c r="L22" s="5">
        <x:f t="shared" si="9"/>
        <x:v>-21</x:v>
      </x:c>
      <x:c r="M22" s="5">
        <x:f t="shared" si="4"/>
        <x:v>-19</x:v>
      </x:c>
      <x:c r="N22" s="6">
        <x:f t="shared" si="5"/>
        <x:v>-16</x:v>
      </x:c>
      <x:c r="O22" s="24">
        <x:f t="shared" si="10"/>
        <x:v>-4</x:v>
      </x:c>
      <x:c r="U22" s="62">
        <x:f t="shared" si="0"/>
        <x:v>35</x:v>
      </x:c>
      <x:c r="V22" s="57">
        <x:f t="shared" si="6"/>
        <x:v>-3964981</x:v>
      </x:c>
      <x:c r="W22" s="57">
        <x:f t="shared" si="1"/>
        <x:v>13</x:v>
      </x:c>
      <x:c r="X22" s="63"/>
    </x:row>
    <x:row r="23" spans="1:24" ht="24.949999999999999" customHeight="1">
      <x:c r="A23" s="18">
        <x:v>20</x:v>
      </x:c>
      <x:c r="B23" s="19" t="s">
        <x:v>34</x:v>
      </x:c>
      <x:c r="C23" s="20">
        <x:v>198</x:v>
      </x:c>
      <x:c r="D23" s="20">
        <x:v>174</x:v>
      </x:c>
      <x:c r="E23" s="20">
        <x:v>200</x:v>
      </x:c>
      <x:c r="F23" s="20">
        <x:v>181</x:v>
      </x:c>
      <x:c r="G23" s="21">
        <x:f t="shared" si="2"/>
        <x:v>753</x:v>
      </x:c>
      <x:c r="H23" s="22">
        <x:f t="shared" si="3"/>
        <x:v>188.25</x:v>
      </x:c>
      <x:c r="I23" s="23">
        <x:f>IF(B23="","",IFERROR(INDEX('회원명단 및 기준에버'!D:G,MATCH(B23,'회원명단 및 기준에버'!$C:$C,0),CHOOSE(INT((MONTH($N$2)-1)/3)+1,1,2,3,4)),""))</x:f>
        <x:v>182</x:v>
      </x:c>
      <x:c r="J23" s="5">
        <x:f t="shared" si="7"/>
        <x:v>16</x:v>
      </x:c>
      <x:c r="K23" s="5">
        <x:f t="shared" si="8"/>
        <x:v>-8</x:v>
      </x:c>
      <x:c r="L23" s="5">
        <x:f t="shared" si="9"/>
        <x:v>18</x:v>
      </x:c>
      <x:c r="M23" s="5">
        <x:f t="shared" si="4"/>
        <x:v>-1</x:v>
      </x:c>
      <x:c r="N23" s="6">
        <x:f t="shared" si="5"/>
        <x:v>25</x:v>
      </x:c>
      <x:c r="O23" s="24">
        <x:f t="shared" si="10"/>
        <x:v>6.25</x:v>
      </x:c>
      <x:c r="U23" s="62">
        <x:f t="shared" si="0"/>
        <x:v>26</x:v>
      </x:c>
      <x:c r="V23" s="57">
        <x:f t="shared" si="6"/>
        <x:v>6276020</x:v>
      </x:c>
      <x:c r="W23" s="57">
        <x:f t="shared" si="1"/>
        <x:v>7</x:v>
      </x:c>
      <x:c r="X23" s="63"/>
    </x:row>
    <x:row r="24" spans="1:15" s="11" customFormat="1" ht="24.949999999999999" customHeight="1">
      <x:c r="A24" s="12"/>
      <x:c r="B24" s="120" t="s">
        <x:v>21</x:v>
      </x:c>
      <x:c r="C24" s="121"/>
      <x:c r="D24" s="121"/>
      <x:c r="E24" s="121"/>
      <x:c r="F24" s="120"/>
      <x:c r="G24" s="121"/>
      <x:c r="H24" s="121"/>
      <x:c r="I24" s="121"/>
      <x:c r="J24" s="121"/>
      <x:c r="K24" s="121"/>
      <x:c r="L24" s="121"/>
      <x:c r="M24" s="120"/>
      <x:c r="N24" s="121"/>
      <x:c r="O24" s="122"/>
    </x:row>
    <x:row r="25" spans="2:15" s="11" customFormat="1" ht="24.949999999999999" customHeight="1">
      <x:c r="B25" s="26" t="str">
        <x:f>$B4</x:f>
        <x:v>장 영 민</x:v>
      </x:c>
      <x:c r="C25" s="27">
        <x:f>IF($V$2=0,$C4,$J4)</x:f>
        <x:v>-54</x:v>
      </x:c>
      <x:c r="D25" s="27">
        <x:f>IF($V$2=0,$D4,$K4)</x:f>
        <x:v>-6</x:v>
      </x:c>
      <x:c r="E25" s="27">
        <x:f>IF($V$2=0,$E4,$L4)</x:f>
        <x:v>2</x:v>
      </x:c>
      <x:c r="F25" s="27">
        <x:f>IF($V$2=0,$F4,$M4)</x:f>
        <x:v>-49</x:v>
      </x:c>
      <x:c r="G25" s="123">
        <x:f>E30+D30+C30+F30</x:f>
        <x:v>65</x:v>
      </x:c>
      <x:c r="H25" s="115"/>
      <x:c r="I25" s="28" t="str">
        <x:f>$B9</x:f>
        <x:v>임 승 기</x:v>
      </x:c>
      <x:c r="J25" s="27">
        <x:f>IF($V$2=0,$C9,$J9)</x:f>
        <x:v>69</x:v>
      </x:c>
      <x:c r="K25" s="27">
        <x:f>IF($V$2=0,$D9,$K9)</x:f>
        <x:v>-22</x:v>
      </x:c>
      <x:c r="L25" s="27">
        <x:f>IF($V$2=0,$E9,$L9)</x:f>
        <x:v>-7</x:v>
      </x:c>
      <x:c r="M25" s="47">
        <x:f>IF($V$2=0,$F9,$M9)</x:f>
        <x:v>5</x:v>
      </x:c>
      <x:c r="N25" s="129">
        <x:f>L30+K30+J30+M30</x:f>
        <x:v>39</x:v>
      </x:c>
      <x:c r="O25" s="126"/>
    </x:row>
    <x:row r="26" spans="2:15" s="11" customFormat="1" ht="24.949999999999999" customHeight="1">
      <x:c r="B26" s="29" t="str">
        <x:f>$B5</x:f>
        <x:v>진 명 옥</x:v>
      </x:c>
      <x:c r="C26" s="4">
        <x:f>IF($V$2=0,$C5,$J5)</x:f>
        <x:v>14</x:v>
      </x:c>
      <x:c r="D26" s="4">
        <x:f>IF($V$2=0,$D5,$K5)</x:f>
        <x:v>-13</x:v>
      </x:c>
      <x:c r="E26" s="4">
        <x:f>IF($V$2=0,$E5,$L5)</x:f>
        <x:v>-14</x:v>
      </x:c>
      <x:c r="F26" s="4">
        <x:f>IF($V$2=0,$F5,$M5)</x:f>
        <x:v>-23</x:v>
      </x:c>
      <x:c r="G26" s="124"/>
      <x:c r="H26" s="116"/>
      <x:c r="I26" s="29" t="str">
        <x:f>$B10</x:f>
        <x:v>임 연 진</x:v>
      </x:c>
      <x:c r="J26" s="4">
        <x:f>IF($V$2=0,$C10,$J10)</x:f>
        <x:v>-32</x:v>
      </x:c>
      <x:c r="K26" s="4">
        <x:f>IF($V$2=0,$D10,$K10)</x:f>
        <x:v>-24</x:v>
      </x:c>
      <x:c r="L26" s="4">
        <x:f>IF($V$2=0,$E10,$L10)</x:f>
        <x:v>-18</x:v>
      </x:c>
      <x:c r="M26" s="4">
        <x:f>IF($V$2=0,$F10,$M10)</x:f>
        <x:v>30</x:v>
      </x:c>
      <x:c r="N26" s="130"/>
      <x:c r="O26" s="127"/>
    </x:row>
    <x:row r="27" spans="2:15" s="11" customFormat="1" ht="24.949999999999999" customHeight="1">
      <x:c r="B27" s="29" t="str">
        <x:f>$B6</x:f>
        <x:v>정 영 우</x:v>
      </x:c>
      <x:c r="C27" s="4">
        <x:f>IF($V$2=0,$C6,$J6)</x:f>
        <x:v>5</x:v>
      </x:c>
      <x:c r="D27" s="4">
        <x:f>IF($V$2=0,$D6,$K6)</x:f>
        <x:v>-2</x:v>
      </x:c>
      <x:c r="E27" s="4">
        <x:f>IF($V$2=0,$E6,$L6)</x:f>
        <x:v>17</x:v>
      </x:c>
      <x:c r="F27" s="4">
        <x:f>IF($V$2=0,$F6,$M6)</x:f>
        <x:v>-13</x:v>
      </x:c>
      <x:c r="G27" s="124"/>
      <x:c r="H27" s="116"/>
      <x:c r="I27" s="29" t="str">
        <x:f>$B11</x:f>
        <x:v>이 정 석</x:v>
      </x:c>
      <x:c r="J27" s="4">
        <x:f>IF($V$2=0,$C11,$J11)</x:f>
        <x:v>16</x:v>
      </x:c>
      <x:c r="K27" s="4">
        <x:f>IF($V$2=0,$D11,$K11)</x:f>
        <x:v>-13</x:v>
      </x:c>
      <x:c r="L27" s="4">
        <x:f>IF($V$2=0,$E11,$L11)</x:f>
        <x:v>49</x:v>
      </x:c>
      <x:c r="M27" s="4">
        <x:f>IF($V$2=0,$F11,$M11)</x:f>
        <x:v>-7</x:v>
      </x:c>
      <x:c r="N27" s="130"/>
      <x:c r="O27" s="127"/>
    </x:row>
    <x:row r="28" spans="2:15" s="11" customFormat="1" ht="24.949999999999999" customHeight="1">
      <x:c r="B28" s="29" t="str">
        <x:f>$B7</x:f>
        <x:v>나 경 주</x:v>
      </x:c>
      <x:c r="C28" s="4">
        <x:f>IF($V$2=0,$C7,$J7)</x:f>
        <x:v>23</x:v>
      </x:c>
      <x:c r="D28" s="4">
        <x:f>IF($V$2=0,$D7,$K7)</x:f>
        <x:v>55</x:v>
      </x:c>
      <x:c r="E28" s="4">
        <x:f>IF($V$2=0,$E7,$L7)</x:f>
        <x:v>-21</x:v>
      </x:c>
      <x:c r="F28" s="4">
        <x:f>IF($V$2=0,$F7,$M7)</x:f>
        <x:v>43</x:v>
      </x:c>
      <x:c r="G28" s="124"/>
      <x:c r="H28" s="116"/>
      <x:c r="I28" s="29" t="str">
        <x:f>$B12</x:f>
        <x:v>고 경 훈</x:v>
      </x:c>
      <x:c r="J28" s="4">
        <x:f>IF($V$2=0,$C12,$J12)</x:f>
        <x:v>-19</x:v>
      </x:c>
      <x:c r="K28" s="4">
        <x:f>IF($V$2=0,$D12,$K12)</x:f>
        <x:v>20</x:v>
      </x:c>
      <x:c r="L28" s="4">
        <x:f>IF($V$2=0,$E12,$L12)</x:f>
        <x:v>-4</x:v>
      </x:c>
      <x:c r="M28" s="4">
        <x:f>IF($V$2=0,$F12,$M12)</x:f>
        <x:v>-25</x:v>
      </x:c>
      <x:c r="N28" s="130"/>
      <x:c r="O28" s="127"/>
    </x:row>
    <x:row r="29" spans="2:15" s="11" customFormat="1" ht="24.949999999999999" customHeight="1">
      <x:c r="B29" s="29" t="str">
        <x:f>$B8</x:f>
        <x:v>박 시 진</x:v>
      </x:c>
      <x:c r="C29" s="4">
        <x:f>IF($V$2=0,$C8,$J8)</x:f>
        <x:v>39</x:v>
      </x:c>
      <x:c r="D29" s="4">
        <x:f>IF($V$2=0,$D8,$K8)</x:f>
        <x:v>19</x:v>
      </x:c>
      <x:c r="E29" s="4">
        <x:f>IF($V$2=0,$E8,$L8)</x:f>
        <x:v>32</x:v>
      </x:c>
      <x:c r="F29" s="4">
        <x:f>IF($V$2=0,$F8,$M8)</x:f>
        <x:v>11</x:v>
      </x:c>
      <x:c r="G29" s="124"/>
      <x:c r="H29" s="116"/>
      <x:c r="I29" s="29" t="str">
        <x:f>$B13</x:f>
        <x:v>김 선 미</x:v>
      </x:c>
      <x:c r="J29" s="4">
        <x:f>IF($V$2=0,$C13,$J13)</x:f>
        <x:v>-20</x:v>
      </x:c>
      <x:c r="K29" s="4">
        <x:f>IF($V$2=0,$D13,$K13)</x:f>
        <x:v>22</x:v>
      </x:c>
      <x:c r="L29" s="4">
        <x:f>IF($V$2=0,$E13,$L13)</x:f>
        <x:v>18</x:v>
      </x:c>
      <x:c r="M29" s="4">
        <x:f>IF($V$2=0,$F13,$M13)</x:f>
        <x:v>1</x:v>
      </x:c>
      <x:c r="N29" s="130"/>
      <x:c r="O29" s="127"/>
    </x:row>
    <x:row r="30" spans="2:15" s="11" customFormat="1" ht="24.949999999999999" customHeight="1">
      <x:c r="B30" s="30"/>
      <x:c r="C30" s="31">
        <x:f>SUM(C25:C29)</x:f>
        <x:v>27</x:v>
      </x:c>
      <x:c r="D30" s="31">
        <x:f>SUM(D25:D29)</x:f>
        <x:v>53</x:v>
      </x:c>
      <x:c r="E30" s="31">
        <x:f>SUM(E25:E29)</x:f>
        <x:v>16</x:v>
      </x:c>
      <x:c r="F30" s="31">
        <x:f>SUM(F25:F29)</x:f>
        <x:v>-31</x:v>
      </x:c>
      <x:c r="G30" s="125"/>
      <x:c r="H30" s="117"/>
      <x:c r="I30" s="30"/>
      <x:c r="J30" s="31">
        <x:f>SUM(J25:J29)</x:f>
        <x:v>14</x:v>
      </x:c>
      <x:c r="K30" s="31">
        <x:f>SUM(K25:K29)</x:f>
        <x:v>-17</x:v>
      </x:c>
      <x:c r="L30" s="31">
        <x:f>SUM(L25:L29)</x:f>
        <x:v>38</x:v>
      </x:c>
      <x:c r="M30" s="31">
        <x:f>SUM(M25:M29)</x:f>
        <x:v>4</x:v>
      </x:c>
      <x:c r="N30" s="131"/>
      <x:c r="O30" s="128"/>
    </x:row>
    <x:row r="31" s="11" customFormat="1" ht="9.9499999999999993" customHeight="1"/>
    <x:row r="32" spans="2:15" s="11" customFormat="1" ht="24.949999999999999" customHeight="1">
      <x:c r="B32" s="26" t="str">
        <x:f>$B14</x:f>
        <x:v>변 상 필</x:v>
      </x:c>
      <x:c r="C32" s="27">
        <x:f>IF($V$2=0,$C14,$J14)</x:f>
        <x:v>15</x:v>
      </x:c>
      <x:c r="D32" s="27">
        <x:f>IF($V$2=0,$D14,$K14)</x:f>
        <x:v>47</x:v>
      </x:c>
      <x:c r="E32" s="27">
        <x:f>IF($V$2=0,$E14,$L14)</x:f>
        <x:v>-39</x:v>
      </x:c>
      <x:c r="F32" s="27">
        <x:f>IF($V$2=0,$F14,$M14)</x:f>
        <x:v>-30</x:v>
      </x:c>
      <x:c r="G32" s="123">
        <x:f>E37+D37+C37+F37</x:f>
        <x:v>-1</x:v>
      </x:c>
      <x:c r="H32" s="115"/>
      <x:c r="I32" s="28" t="str">
        <x:f>$B19</x:f>
        <x:v>이 대 용</x:v>
      </x:c>
      <x:c r="J32" s="27">
        <x:f>IF($V$2=0,$C19,$J19)</x:f>
        <x:v>12</x:v>
      </x:c>
      <x:c r="K32" s="27">
        <x:f>IF($V$2=0,$D19,$K19)</x:f>
        <x:v>0</x:v>
      </x:c>
      <x:c r="L32" s="27">
        <x:f>IF($V$2=0,$E19,$L19)</x:f>
        <x:v>13</x:v>
      </x:c>
      <x:c r="M32" s="47">
        <x:f>IF($V$2=0,$F19,$M19)</x:f>
        <x:v>-35</x:v>
      </x:c>
      <x:c r="N32" s="129">
        <x:f>L37+K37+J37+M37</x:f>
        <x:v>-41</x:v>
      </x:c>
      <x:c r="O32" s="126"/>
    </x:row>
    <x:row r="33" spans="2:15" s="12" customFormat="1" ht="24.949999999999999" customHeight="1">
      <x:c r="B33" s="29" t="str">
        <x:f>$B15</x:f>
        <x:v>강 완 규</x:v>
      </x:c>
      <x:c r="C33" s="4">
        <x:f>IF($V$2=0,$C15,$J15)</x:f>
        <x:v>63</x:v>
      </x:c>
      <x:c r="D33" s="4">
        <x:f>IF($V$2=0,$D15,$K15)</x:f>
        <x:v>74</x:v>
      </x:c>
      <x:c r="E33" s="4">
        <x:f>IF($V$2=0,$E15,$L15)</x:f>
        <x:v>7</x:v>
      </x:c>
      <x:c r="F33" s="4">
        <x:f>IF($V$2=0,$F15,$M15)</x:f>
        <x:v>-23</x:v>
      </x:c>
      <x:c r="G33" s="124"/>
      <x:c r="H33" s="116"/>
      <x:c r="I33" s="29" t="str">
        <x:f>$B20</x:f>
        <x:v>김 정 희</x:v>
      </x:c>
      <x:c r="J33" s="4">
        <x:f>IF($V$2=0,$C20,$J20)</x:f>
        <x:v>46</x:v>
      </x:c>
      <x:c r="K33" s="4">
        <x:f>IF($V$2=0,$D20,$K20)</x:f>
        <x:v>-6</x:v>
      </x:c>
      <x:c r="L33" s="4">
        <x:f>IF($V$2=0,$E20,$L20)</x:f>
        <x:v>25</x:v>
      </x:c>
      <x:c r="M33" s="4">
        <x:f>IF($V$2=0,$F20,$M20)</x:f>
        <x:v>-17</x:v>
      </x:c>
      <x:c r="N33" s="130"/>
      <x:c r="O33" s="127"/>
    </x:row>
    <x:row r="34" spans="2:15" s="12" customFormat="1" ht="24.949999999999999" customHeight="1">
      <x:c r="B34" s="29" t="str">
        <x:f>$B16</x:f>
        <x:v>지 옥 명</x:v>
      </x:c>
      <x:c r="C34" s="4">
        <x:f>IF($V$2=0,$C16,$J16)</x:f>
        <x:v>-56</x:v>
      </x:c>
      <x:c r="D34" s="4">
        <x:f>IF($V$2=0,$D16,$K16)</x:f>
        <x:v>-34</x:v>
      </x:c>
      <x:c r="E34" s="4">
        <x:f>IF($V$2=0,$E16,$L16)</x:f>
        <x:v>-19</x:v>
      </x:c>
      <x:c r="F34" s="4">
        <x:f>IF($V$2=0,$F16,$M16)</x:f>
        <x:v>44</x:v>
      </x:c>
      <x:c r="G34" s="124"/>
      <x:c r="H34" s="116"/>
      <x:c r="I34" s="29" t="str">
        <x:f>$B21</x:f>
        <x:v>김 종 훈</x:v>
      </x:c>
      <x:c r="J34" s="4">
        <x:f>IF($V$2=0,$C21,$J21)</x:f>
        <x:v>7</x:v>
      </x:c>
      <x:c r="K34" s="4">
        <x:f>IF($V$2=0,$D21,$K21)</x:f>
        <x:v>-46</x:v>
      </x:c>
      <x:c r="L34" s="4">
        <x:f>IF($V$2=0,$E21,$L21)</x:f>
        <x:v>-2</x:v>
      </x:c>
      <x:c r="M34" s="4">
        <x:f>IF($V$2=0,$F21,$M21)</x:f>
        <x:v>-47</x:v>
      </x:c>
      <x:c r="N34" s="130"/>
      <x:c r="O34" s="127"/>
    </x:row>
    <x:row r="35" spans="2:15" s="12" customFormat="1" ht="24.949999999999999" customHeight="1">
      <x:c r="B35" s="29" t="str">
        <x:f>$B17</x:f>
        <x:v>김 태 환</x:v>
      </x:c>
      <x:c r="C35" s="4">
        <x:f>IF($V$2=0,$C17,$J17)</x:f>
        <x:v>1</x:v>
      </x:c>
      <x:c r="D35" s="4">
        <x:f>IF($V$2=0,$D17,$K17)</x:f>
        <x:v>-1</x:v>
      </x:c>
      <x:c r="E35" s="4">
        <x:f>IF($V$2=0,$E17,$L17)</x:f>
        <x:v>-10</x:v>
      </x:c>
      <x:c r="F35" s="4">
        <x:f>IF($V$2=0,$F17,$M17)</x:f>
        <x:v>21</x:v>
      </x:c>
      <x:c r="G35" s="124"/>
      <x:c r="H35" s="116"/>
      <x:c r="I35" s="29" t="str">
        <x:f>$B22</x:f>
        <x:v>이 우 석</x:v>
      </x:c>
      <x:c r="J35" s="4">
        <x:f>IF($V$2=0,$C22,$J22)</x:f>
        <x:v>10</x:v>
      </x:c>
      <x:c r="K35" s="4">
        <x:f>IF($V$2=0,$D22,$K22)</x:f>
        <x:v>14</x:v>
      </x:c>
      <x:c r="L35" s="4">
        <x:f>IF($V$2=0,$E22,$L22)</x:f>
        <x:v>-21</x:v>
      </x:c>
      <x:c r="M35" s="4">
        <x:f>IF($V$2=0,$F22,$M22)</x:f>
        <x:v>-19</x:v>
      </x:c>
      <x:c r="N35" s="130"/>
      <x:c r="O35" s="127"/>
    </x:row>
    <x:row r="36" spans="2:15" s="12" customFormat="1" ht="24.949999999999999" customHeight="1">
      <x:c r="B36" s="29" t="str">
        <x:f>$B18</x:f>
        <x:v>엄 정 도</x:v>
      </x:c>
      <x:c r="C36" s="4">
        <x:f>IF($V$2=0,$C18,$J18)</x:f>
        <x:v>-53</x:v>
      </x:c>
      <x:c r="D36" s="4">
        <x:f>IF($V$2=0,$D18,$K18)</x:f>
        <x:v>-15</x:v>
      </x:c>
      <x:c r="E36" s="4">
        <x:f>IF($V$2=0,$E18,$L18)</x:f>
        <x:v>-4</x:v>
      </x:c>
      <x:c r="F36" s="4">
        <x:f>IF($V$2=0,$F18,$M18)</x:f>
        <x:v>11</x:v>
      </x:c>
      <x:c r="G36" s="124"/>
      <x:c r="H36" s="116"/>
      <x:c r="I36" s="29" t="str">
        <x:f>$B23</x:f>
        <x:v>김 미 란</x:v>
      </x:c>
      <x:c r="J36" s="4">
        <x:f>IF($V$2=0,$C23,$J23)</x:f>
        <x:v>16</x:v>
      </x:c>
      <x:c r="K36" s="4">
        <x:f>IF($V$2=0,$D23,$K23)</x:f>
        <x:v>-8</x:v>
      </x:c>
      <x:c r="L36" s="4">
        <x:f>IF($V$2=0,$E23,$L23)</x:f>
        <x:v>18</x:v>
      </x:c>
      <x:c r="M36" s="4">
        <x:f>IF($V$2=0,$F23,$M23)</x:f>
        <x:v>-1</x:v>
      </x:c>
      <x:c r="N36" s="130"/>
      <x:c r="O36" s="127"/>
    </x:row>
    <x:row r="37" spans="2:15" s="12" customFormat="1" ht="24.949999999999999" customHeight="1">
      <x:c r="B37" s="30"/>
      <x:c r="C37" s="31">
        <x:f>SUM(C32:C36)</x:f>
        <x:v>-30</x:v>
      </x:c>
      <x:c r="D37" s="31">
        <x:f>SUM(D32:D36)</x:f>
        <x:v>71</x:v>
      </x:c>
      <x:c r="E37" s="31">
        <x:f>SUM(E32:E36)</x:f>
        <x:v>-65</x:v>
      </x:c>
      <x:c r="F37" s="31">
        <x:f>SUM(F32:F36)</x:f>
        <x:v>23</x:v>
      </x:c>
      <x:c r="G37" s="125"/>
      <x:c r="H37" s="117"/>
      <x:c r="I37" s="30"/>
      <x:c r="J37" s="31">
        <x:f>SUM(J32:J36)</x:f>
        <x:v>91</x:v>
      </x:c>
      <x:c r="K37" s="31">
        <x:f>SUM(K32:K36)</x:f>
        <x:v>-46</x:v>
      </x:c>
      <x:c r="L37" s="31">
        <x:f>SUM(L32:L36)</x:f>
        <x:v>33</x:v>
      </x:c>
      <x:c r="M37" s="31">
        <x:f>SUM(M32:M36)</x:f>
        <x:v>-119</x:v>
      </x:c>
      <x:c r="N37" s="131"/>
      <x:c r="O37" s="128"/>
    </x:row>
    <x:row r="38" ht="24.949999999999999" customHeight="1"/>
    <x:row r="39" ht="24.949999999999999" customHeight="1"/>
    <x:row r="40" ht="24.949999999999999" customHeight="1"/>
    <x:row r="41" spans="1:15" ht="60" customHeight="1">
      <x:c r="A41" s="112" t="str">
        <x:f>A1</x:f>
        <x:v>2026 아르케 존 05회 번개 모임 점수</x:v>
      </x:c>
      <x:c r="B41" s="112"/>
      <x:c r="C41" s="112"/>
      <x:c r="D41" s="112"/>
      <x:c r="E41" s="112"/>
      <x:c r="F41" s="112"/>
      <x:c r="G41" s="112"/>
      <x:c r="H41" s="112"/>
      <x:c r="I41" s="112"/>
      <x:c r="J41" s="112"/>
      <x:c r="K41" s="112"/>
      <x:c r="L41" s="112"/>
      <x:c r="M41" s="112"/>
      <x:c r="N41" s="112"/>
      <x:c r="O41" s="112"/>
    </x:row>
    <x:row r="42" spans="1:15" ht="24.949999999999999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4" t="s">
        <x:v>48</x:v>
      </x:c>
      <x:c r="M42" s="34"/>
      <x:c r="N42" s="113">
        <x:f>N2</x:f>
        <x:v>46093</x:v>
      </x:c>
      <x:c r="O42" s="114"/>
    </x:row>
    <x:row r="43" spans="1:15" ht="24.949999999999999" customHeight="1">
      <x:c r="A43" s="13"/>
      <x:c r="B43" s="14" t="s">
        <x:v>14</x:v>
      </x:c>
      <x:c r="C43" s="14" t="s">
        <x:v>44</x:v>
      </x:c>
      <x:c r="D43" s="14" t="s">
        <x:v>55</x:v>
      </x:c>
      <x:c r="E43" s="14" t="s">
        <x:v>54</x:v>
      </x:c>
      <x:c r="F43" s="14" t="s">
        <x:v>53</x:v>
      </x:c>
      <x:c r="G43" s="14" t="s">
        <x:v>52</x:v>
      </x:c>
      <x:c r="H43" s="14" t="s">
        <x:v>47</x:v>
      </x:c>
      <x:c r="I43" s="15" t="s">
        <x:v>41</x:v>
      </x:c>
      <x:c r="J43" s="14" t="s">
        <x:v>44</x:v>
      </x:c>
      <x:c r="K43" s="14" t="s">
        <x:v>55</x:v>
      </x:c>
      <x:c r="L43" s="14" t="s">
        <x:v>54</x:v>
      </x:c>
      <x:c r="M43" s="14" t="s">
        <x:v>53</x:v>
      </x:c>
      <x:c r="N43" s="16" t="s">
        <x:v>52</x:v>
      </x:c>
      <x:c r="O43" s="17" t="s">
        <x:v>56</x:v>
      </x:c>
    </x:row>
    <x:row r="44" spans="1:15" ht="24.949999999999999" customHeight="1">
      <x:c r="A44" s="18">
        <x:v>1</x:v>
      </x:c>
      <x:c r="B44" s="19" t="str">
        <x:f t="array" ref="B44:B44">INDEX($B$4:$O$23,MATCH($A44,$W$4:$W$23,0),COLUMN(A$1))</x:f>
        <x:v>강 완 규</x:v>
      </x:c>
      <x:c r="C44" s="20">
        <x:f t="array" ref="C44:C44">INDEX($B$4:$O$23,MATCH($A44,$W$4:$W$23,0),COLUMN(B$1))</x:f>
        <x:v>257</x:v>
      </x:c>
      <x:c r="D44" s="20">
        <x:f t="array" ref="D44:D44">INDEX($B$4:$O$23,MATCH($A44,$W$4:$W$23,0),COLUMN(C$1))</x:f>
        <x:v>268</x:v>
      </x:c>
      <x:c r="E44" s="20">
        <x:f t="array" ref="E44:E44">INDEX($B$4:$O$23,MATCH($A44,$W$4:$W$23,0),COLUMN(D$1))</x:f>
        <x:v>201</x:v>
      </x:c>
      <x:c r="F44" s="20">
        <x:f t="array" ref="F44:F44">INDEX($B$4:$O$23,MATCH($A44,$W$4:$W$23,0),COLUMN(E$1))</x:f>
        <x:v>171</x:v>
      </x:c>
      <x:c r="G44" s="21">
        <x:f>SUM(C44:F44)</x:f>
        <x:v>897</x:v>
      </x:c>
      <x:c r="H44" s="22">
        <x:f>G44/4</x:f>
        <x:v>224.25</x:v>
      </x:c>
      <x:c r="I44" s="23">
        <x:f>IF(B44="","",IFERROR(INDEX('회원명단 및 기준에버'!D:G,MATCH(B44,'회원명단 및 기준에버'!$C:$C,0),CHOOSE(INT((MONTH($N$2)-1)/3)+1,1,2,3,4)),""))</x:f>
        <x:v>194</x:v>
      </x:c>
      <x:c r="J44" s="5">
        <x:f>IFERROR(C44+-I44,0)</x:f>
        <x:v>63</x:v>
      </x:c>
      <x:c r="K44" s="5">
        <x:f>IFERROR(D44+-I44,0)</x:f>
        <x:v>74</x:v>
      </x:c>
      <x:c r="L44" s="5">
        <x:f>IFERROR(E44+-I44,0)</x:f>
        <x:v>7</x:v>
      </x:c>
      <x:c r="M44" s="5">
        <x:f>IFERROR(F44+-I44,0)</x:f>
        <x:v>-23</x:v>
      </x:c>
      <x:c r="N44" s="6">
        <x:f>SUM(J44:M44)</x:f>
        <x:v>121</x:v>
      </x:c>
      <x:c r="O44" s="24">
        <x:f>IFERROR(H44+-I44,0)</x:f>
        <x:v>30.25</x:v>
      </x:c>
    </x:row>
    <x:row r="45" spans="1:15" ht="24.949999999999999" customHeight="1">
      <x:c r="A45" s="18">
        <x:v>2</x:v>
      </x:c>
      <x:c r="B45" s="19" t="str">
        <x:f t="array" ref="B45:B45">INDEX($B$4:$O$23,MATCH($A45,$W$4:$W$23,0),COLUMN(A$1))</x:f>
        <x:v>박 시 진</x:v>
      </x:c>
      <x:c r="C45" s="20">
        <x:f t="array" ref="C45:C45">INDEX($B$4:$O$23,MATCH($A45,$W$4:$W$23,0),COLUMN(B$1))</x:f>
        <x:v>235</x:v>
      </x:c>
      <x:c r="D45" s="20">
        <x:f t="array" ref="D45:D45">INDEX($B$4:$O$23,MATCH($A45,$W$4:$W$23,0),COLUMN(C$1))</x:f>
        <x:v>215</x:v>
      </x:c>
      <x:c r="E45" s="20">
        <x:f t="array" ref="E45:E45">INDEX($B$4:$O$23,MATCH($A45,$W$4:$W$23,0),COLUMN(D$1))</x:f>
        <x:v>228</x:v>
      </x:c>
      <x:c r="F45" s="20">
        <x:f t="array" ref="F45:F45">INDEX($B$4:$O$23,MATCH($A45,$W$4:$W$23,0),COLUMN(E$1))</x:f>
        <x:v>207</x:v>
      </x:c>
      <x:c r="G45" s="21">
        <x:f t="shared" ref="G45:G63" si="11">SUM(C45:F45)</x:f>
        <x:v>885</x:v>
      </x:c>
      <x:c r="H45" s="22">
        <x:f t="shared" ref="H45:H63" si="12">G45/4</x:f>
        <x:v>221.25</x:v>
      </x:c>
      <x:c r="I45" s="23">
        <x:f>IF(B45="","",IFERROR(INDEX('회원명단 및 기준에버'!D:G,MATCH(B45,'회원명단 및 기준에버'!$C:$C,0),CHOOSE(INT((MONTH($N$2)-1)/3)+1,1,2,3,4)),""))</x:f>
        <x:v>196</x:v>
      </x:c>
      <x:c r="J45" s="5">
        <x:f>IFERROR(C45+-I45,0)</x:f>
        <x:v>39</x:v>
      </x:c>
      <x:c r="K45" s="5">
        <x:f>IFERROR(D45+-I45,0)</x:f>
        <x:v>19</x:v>
      </x:c>
      <x:c r="L45" s="5">
        <x:f>IFERROR(E45+-I45,0)</x:f>
        <x:v>32</x:v>
      </x:c>
      <x:c r="M45" s="5">
        <x:f t="shared" ref="M45:M63" si="13">IFERROR(F45+-I45,0)</x:f>
        <x:v>11</x:v>
      </x:c>
      <x:c r="N45" s="6">
        <x:f t="shared" ref="N45:N63" si="14">SUM(J45:M45)</x:f>
        <x:v>101</x:v>
      </x:c>
      <x:c r="O45" s="24">
        <x:f>IFERROR(H45+-I45,0)</x:f>
        <x:v>25.25</x:v>
      </x:c>
    </x:row>
    <x:row r="46" spans="1:15" ht="24.949999999999999" customHeight="1">
      <x:c r="A46" s="18">
        <x:v>3</x:v>
      </x:c>
      <x:c r="B46" s="19" t="str">
        <x:f t="array" ref="B46:B46">INDEX($B$4:$O$23,MATCH($A46,$W$4:$W$23,0),COLUMN(A$1))</x:f>
        <x:v>나 경 주</x:v>
      </x:c>
      <x:c r="C46" s="20">
        <x:f t="array" ref="C46:C46">INDEX($B$4:$O$23,MATCH($A46,$W$4:$W$23,0),COLUMN(B$1))</x:f>
        <x:v>215</x:v>
      </x:c>
      <x:c r="D46" s="20">
        <x:f t="array" ref="D46:D46">INDEX($B$4:$O$23,MATCH($A46,$W$4:$W$23,0),COLUMN(C$1))</x:f>
        <x:v>247</x:v>
      </x:c>
      <x:c r="E46" s="20">
        <x:f t="array" ref="E46:E46">INDEX($B$4:$O$23,MATCH($A46,$W$4:$W$23,0),COLUMN(D$1))</x:f>
        <x:v>171</x:v>
      </x:c>
      <x:c r="F46" s="20">
        <x:f t="array" ref="F46:F46">INDEX($B$4:$O$23,MATCH($A46,$W$4:$W$23,0),COLUMN(E$1))</x:f>
        <x:v>235</x:v>
      </x:c>
      <x:c r="G46" s="21">
        <x:f t="shared" si="11"/>
        <x:v>868</x:v>
      </x:c>
      <x:c r="H46" s="22">
        <x:f t="shared" si="12"/>
        <x:v>217</x:v>
      </x:c>
      <x:c r="I46" s="23">
        <x:f>IF(B46="","",IFERROR(INDEX('회원명단 및 기준에버'!D:G,MATCH(B46,'회원명단 및 기준에버'!$C:$C,0),CHOOSE(INT((MONTH($N$2)-1)/3)+1,1,2,3,4)),""))</x:f>
        <x:v>192</x:v>
      </x:c>
      <x:c r="J46" s="5">
        <x:f t="shared" ref="J46:J63" si="15">IFERROR(C46+-I46,0)</x:f>
        <x:v>23</x:v>
      </x:c>
      <x:c r="K46" s="5">
        <x:f t="shared" ref="K46:K63" si="16">IFERROR(D46+-I46,0)</x:f>
        <x:v>55</x:v>
      </x:c>
      <x:c r="L46" s="5">
        <x:f t="shared" ref="L46:L63" si="17">IFERROR(E46+-I46,0)</x:f>
        <x:v>-21</x:v>
      </x:c>
      <x:c r="M46" s="5">
        <x:f t="shared" si="13"/>
        <x:v>43</x:v>
      </x:c>
      <x:c r="N46" s="6">
        <x:f t="shared" si="14"/>
        <x:v>100</x:v>
      </x:c>
      <x:c r="O46" s="24">
        <x:f t="shared" ref="O46:O63" si="18">IFERROR(H46+-I46,0)</x:f>
        <x:v>25</x:v>
      </x:c>
    </x:row>
    <x:row r="47" spans="1:15" ht="24.949999999999999" customHeight="1">
      <x:c r="A47" s="18">
        <x:v>4</x:v>
      </x:c>
      <x:c r="B47" s="19" t="str">
        <x:f t="array" ref="B47:B47">INDEX($B$4:$O$23,MATCH($A47,$W$4:$W$23,0),COLUMN(A$1))</x:f>
        <x:v>김 정 희</x:v>
      </x:c>
      <x:c r="C47" s="20">
        <x:f t="array" ref="C47:C47">INDEX($B$4:$O$23,MATCH($A47,$W$4:$W$23,0),COLUMN(B$1))</x:f>
        <x:v>246</x:v>
      </x:c>
      <x:c r="D47" s="20">
        <x:f t="array" ref="D47:D47">INDEX($B$4:$O$23,MATCH($A47,$W$4:$W$23,0),COLUMN(C$1))</x:f>
        <x:v>194</x:v>
      </x:c>
      <x:c r="E47" s="20">
        <x:f t="array" ref="E47:E47">INDEX($B$4:$O$23,MATCH($A47,$W$4:$W$23,0),COLUMN(D$1))</x:f>
        <x:v>225</x:v>
      </x:c>
      <x:c r="F47" s="20">
        <x:f t="array" ref="F47:F47">INDEX($B$4:$O$23,MATCH($A47,$W$4:$W$23,0),COLUMN(E$1))</x:f>
        <x:v>183</x:v>
      </x:c>
      <x:c r="G47" s="21">
        <x:f t="shared" si="11"/>
        <x:v>848</x:v>
      </x:c>
      <x:c r="H47" s="22">
        <x:f t="shared" si="12"/>
        <x:v>212</x:v>
      </x:c>
      <x:c r="I47" s="23">
        <x:f>IF(B47="","",IFERROR(INDEX('회원명단 및 기준에버'!D:G,MATCH(B47,'회원명단 및 기준에버'!$C:$C,0),CHOOSE(INT((MONTH($N$2)-1)/3)+1,1,2,3,4)),""))</x:f>
        <x:v>200</x:v>
      </x:c>
      <x:c r="J47" s="5">
        <x:f t="shared" si="15"/>
        <x:v>46</x:v>
      </x:c>
      <x:c r="K47" s="5">
        <x:f t="shared" si="16"/>
        <x:v>-6</x:v>
      </x:c>
      <x:c r="L47" s="5">
        <x:f t="shared" si="17"/>
        <x:v>25</x:v>
      </x:c>
      <x:c r="M47" s="5">
        <x:f t="shared" si="13"/>
        <x:v>-17</x:v>
      </x:c>
      <x:c r="N47" s="6">
        <x:f t="shared" si="14"/>
        <x:v>48</x:v>
      </x:c>
      <x:c r="O47" s="24">
        <x:f t="shared" si="18"/>
        <x:v>12</x:v>
      </x:c>
    </x:row>
    <x:row r="48" spans="1:15" ht="24.949999999999999" customHeight="1">
      <x:c r="A48" s="18">
        <x:v>5</x:v>
      </x:c>
      <x:c r="B48" s="19" t="str">
        <x:f t="array" ref="B48:B48">INDEX($B$4:$O$23,MATCH($A48,$W$4:$W$23,0),COLUMN(A$1))</x:f>
        <x:v>임 승 기</x:v>
      </x:c>
      <x:c r="C48" s="20">
        <x:f t="array" ref="C48:C48">INDEX($B$4:$O$23,MATCH($A48,$W$4:$W$23,0),COLUMN(B$1))</x:f>
        <x:v>269</x:v>
      </x:c>
      <x:c r="D48" s="20">
        <x:f t="array" ref="D48:D48">INDEX($B$4:$O$23,MATCH($A48,$W$4:$W$23,0),COLUMN(C$1))</x:f>
        <x:v>178</x:v>
      </x:c>
      <x:c r="E48" s="20">
        <x:f t="array" ref="E48:E48">INDEX($B$4:$O$23,MATCH($A48,$W$4:$W$23,0),COLUMN(D$1))</x:f>
        <x:v>193</x:v>
      </x:c>
      <x:c r="F48" s="20">
        <x:f t="array" ref="F48:F48">INDEX($B$4:$O$23,MATCH($A48,$W$4:$W$23,0),COLUMN(E$1))</x:f>
        <x:v>205</x:v>
      </x:c>
      <x:c r="G48" s="21">
        <x:f t="shared" si="11"/>
        <x:v>845</x:v>
      </x:c>
      <x:c r="H48" s="22">
        <x:f t="shared" si="12"/>
        <x:v>211.25</x:v>
      </x:c>
      <x:c r="I48" s="23">
        <x:f>IF(B48="","",IFERROR(INDEX('회원명단 및 기준에버'!D:G,MATCH(B48,'회원명단 및 기준에버'!$C:$C,0),CHOOSE(INT((MONTH($N$2)-1)/3)+1,1,2,3,4)),""))</x:f>
        <x:v>200</x:v>
      </x:c>
      <x:c r="J48" s="5">
        <x:f t="shared" si="15"/>
        <x:v>69</x:v>
      </x:c>
      <x:c r="K48" s="5">
        <x:f t="shared" si="16"/>
        <x:v>-22</x:v>
      </x:c>
      <x:c r="L48" s="5">
        <x:f t="shared" si="17"/>
        <x:v>-7</x:v>
      </x:c>
      <x:c r="M48" s="5">
        <x:f t="shared" si="13"/>
        <x:v>5</x:v>
      </x:c>
      <x:c r="N48" s="6">
        <x:f t="shared" si="14"/>
        <x:v>45</x:v>
      </x:c>
      <x:c r="O48" s="24">
        <x:f t="shared" si="18"/>
        <x:v>11.25</x:v>
      </x:c>
    </x:row>
    <x:row r="49" spans="1:15" ht="24.949999999999999" customHeight="1">
      <x:c r="A49" s="18">
        <x:v>6</x:v>
      </x:c>
      <x:c r="B49" s="19" t="str">
        <x:f t="array" ref="B49:B49">INDEX($B$4:$O$23,MATCH($A49,$W$4:$W$23,0),COLUMN(A$1))</x:f>
        <x:v>이 정 석</x:v>
      </x:c>
      <x:c r="C49" s="20">
        <x:f t="array" ref="C49:C49">INDEX($B$4:$O$23,MATCH($A49,$W$4:$W$23,0),COLUMN(B$1))</x:f>
        <x:v>212</x:v>
      </x:c>
      <x:c r="D49" s="20">
        <x:f t="array" ref="D49:D49">INDEX($B$4:$O$23,MATCH($A49,$W$4:$W$23,0),COLUMN(C$1))</x:f>
        <x:v>183</x:v>
      </x:c>
      <x:c r="E49" s="20">
        <x:f t="array" ref="E49:E49">INDEX($B$4:$O$23,MATCH($A49,$W$4:$W$23,0),COLUMN(D$1))</x:f>
        <x:v>245</x:v>
      </x:c>
      <x:c r="F49" s="20">
        <x:f t="array" ref="F49:F49">INDEX($B$4:$O$23,MATCH($A49,$W$4:$W$23,0),COLUMN(E$1))</x:f>
        <x:v>189</x:v>
      </x:c>
      <x:c r="G49" s="21">
        <x:f t="shared" si="11"/>
        <x:v>829</x:v>
      </x:c>
      <x:c r="H49" s="22">
        <x:f t="shared" si="12"/>
        <x:v>207.25</x:v>
      </x:c>
      <x:c r="I49" s="23">
        <x:f>IF(B49="","",IFERROR(INDEX('회원명단 및 기준에버'!D:G,MATCH(B49,'회원명단 및 기준에버'!$C:$C,0),CHOOSE(INT((MONTH($N$2)-1)/3)+1,1,2,3,4)),""))</x:f>
        <x:v>196</x:v>
      </x:c>
      <x:c r="J49" s="5">
        <x:f t="shared" si="15"/>
        <x:v>16</x:v>
      </x:c>
      <x:c r="K49" s="5">
        <x:f t="shared" si="16"/>
        <x:v>-13</x:v>
      </x:c>
      <x:c r="L49" s="5">
        <x:f t="shared" si="17"/>
        <x:v>49</x:v>
      </x:c>
      <x:c r="M49" s="5">
        <x:f t="shared" si="13"/>
        <x:v>-7</x:v>
      </x:c>
      <x:c r="N49" s="6">
        <x:f t="shared" si="14"/>
        <x:v>45</x:v>
      </x:c>
      <x:c r="O49" s="24">
        <x:f t="shared" si="18"/>
        <x:v>11.25</x:v>
      </x:c>
    </x:row>
    <x:row r="50" spans="1:15" ht="24.949999999999999" customHeight="1">
      <x:c r="A50" s="18">
        <x:v>7</x:v>
      </x:c>
      <x:c r="B50" s="19" t="str">
        <x:f t="array" ref="B50:B50">INDEX($B$4:$O$23,MATCH($A50,$W$4:$W$23,0),COLUMN(A$1))</x:f>
        <x:v>김 미 란</x:v>
      </x:c>
      <x:c r="C50" s="20">
        <x:f t="array" ref="C50:C50">INDEX($B$4:$O$23,MATCH($A50,$W$4:$W$23,0),COLUMN(B$1))</x:f>
        <x:v>198</x:v>
      </x:c>
      <x:c r="D50" s="20">
        <x:f t="array" ref="D50:D50">INDEX($B$4:$O$23,MATCH($A50,$W$4:$W$23,0),COLUMN(C$1))</x:f>
        <x:v>174</x:v>
      </x:c>
      <x:c r="E50" s="20">
        <x:f t="array" ref="E50:E50">INDEX($B$4:$O$23,MATCH($A50,$W$4:$W$23,0),COLUMN(D$1))</x:f>
        <x:v>200</x:v>
      </x:c>
      <x:c r="F50" s="20">
        <x:f t="array" ref="F50:F50">INDEX($B$4:$O$23,MATCH($A50,$W$4:$W$23,0),COLUMN(E$1))</x:f>
        <x:v>181</x:v>
      </x:c>
      <x:c r="G50" s="21">
        <x:f t="shared" si="11"/>
        <x:v>753</x:v>
      </x:c>
      <x:c r="H50" s="22">
        <x:f t="shared" si="12"/>
        <x:v>188.25</x:v>
      </x:c>
      <x:c r="I50" s="23">
        <x:f>IF(B50="","",IFERROR(INDEX('회원명단 및 기준에버'!D:G,MATCH(B50,'회원명단 및 기준에버'!$C:$C,0),CHOOSE(INT((MONTH($N$2)-1)/3)+1,1,2,3,4)),""))</x:f>
        <x:v>182</x:v>
      </x:c>
      <x:c r="J50" s="5">
        <x:f t="shared" si="15"/>
        <x:v>16</x:v>
      </x:c>
      <x:c r="K50" s="5">
        <x:f t="shared" si="16"/>
        <x:v>-8</x:v>
      </x:c>
      <x:c r="L50" s="5">
        <x:f t="shared" si="17"/>
        <x:v>18</x:v>
      </x:c>
      <x:c r="M50" s="5">
        <x:f t="shared" si="13"/>
        <x:v>-1</x:v>
      </x:c>
      <x:c r="N50" s="6">
        <x:f t="shared" si="14"/>
        <x:v>25</x:v>
      </x:c>
      <x:c r="O50" s="24">
        <x:f t="shared" si="18"/>
        <x:v>6.25</x:v>
      </x:c>
    </x:row>
    <x:row r="51" spans="1:15" ht="24.949999999999999" customHeight="1">
      <x:c r="A51" s="18">
        <x:v>8</x:v>
      </x:c>
      <x:c r="B51" s="19" t="str">
        <x:f t="array" ref="B51:B51">INDEX($B$4:$O$23,MATCH($A51,$W$4:$W$23,0),COLUMN(A$1))</x:f>
        <x:v>김 선 미</x:v>
      </x:c>
      <x:c r="C51" s="20">
        <x:f t="array" ref="C51:C51">INDEX($B$4:$O$23,MATCH($A51,$W$4:$W$23,0),COLUMN(B$1))</x:f>
        <x:v>141</x:v>
      </x:c>
      <x:c r="D51" s="20">
        <x:f t="array" ref="D51:D51">INDEX($B$4:$O$23,MATCH($A51,$W$4:$W$23,0),COLUMN(C$1))</x:f>
        <x:v>183</x:v>
      </x:c>
      <x:c r="E51" s="20">
        <x:f t="array" ref="E51:E51">INDEX($B$4:$O$23,MATCH($A51,$W$4:$W$23,0),COLUMN(D$1))</x:f>
        <x:v>179</x:v>
      </x:c>
      <x:c r="F51" s="20">
        <x:f t="array" ref="F51:F51">INDEX($B$4:$O$23,MATCH($A51,$W$4:$W$23,0),COLUMN(E$1))</x:f>
        <x:v>162</x:v>
      </x:c>
      <x:c r="G51" s="21">
        <x:f t="shared" si="11"/>
        <x:v>665</x:v>
      </x:c>
      <x:c r="H51" s="22">
        <x:f t="shared" si="12"/>
        <x:v>166.25</x:v>
      </x:c>
      <x:c r="I51" s="23">
        <x:f>IF(B51="","",IFERROR(INDEX('회원명단 및 기준에버'!D:G,MATCH(B51,'회원명단 및 기준에버'!$C:$C,0),CHOOSE(INT((MONTH($N$2)-1)/3)+1,1,2,3,4)),""))</x:f>
        <x:v>161</x:v>
      </x:c>
      <x:c r="J51" s="5">
        <x:f t="shared" si="15"/>
        <x:v>-20</x:v>
      </x:c>
      <x:c r="K51" s="5">
        <x:f t="shared" si="16"/>
        <x:v>22</x:v>
      </x:c>
      <x:c r="L51" s="5">
        <x:f t="shared" si="17"/>
        <x:v>18</x:v>
      </x:c>
      <x:c r="M51" s="5">
        <x:f t="shared" si="13"/>
        <x:v>1</x:v>
      </x:c>
      <x:c r="N51" s="6">
        <x:f t="shared" si="14"/>
        <x:v>21</x:v>
      </x:c>
      <x:c r="O51" s="24">
        <x:f t="shared" si="18"/>
        <x:v>5.25</x:v>
      </x:c>
    </x:row>
    <x:row r="52" spans="1:15" ht="24.949999999999999" customHeight="1">
      <x:c r="A52" s="18">
        <x:v>9</x:v>
      </x:c>
      <x:c r="B52" s="19" t="str">
        <x:f t="array" ref="B52:B52">INDEX($B$4:$O$23,MATCH($A52,$W$4:$W$23,0),COLUMN(A$1))</x:f>
        <x:v>김 태 환</x:v>
      </x:c>
      <x:c r="C52" s="20">
        <x:f t="array" ref="C52:C52">INDEX($B$4:$O$23,MATCH($A52,$W$4:$W$23,0),COLUMN(B$1))</x:f>
        <x:v>199</x:v>
      </x:c>
      <x:c r="D52" s="20">
        <x:f t="array" ref="D52:D52">INDEX($B$4:$O$23,MATCH($A52,$W$4:$W$23,0),COLUMN(C$1))</x:f>
        <x:v>197</x:v>
      </x:c>
      <x:c r="E52" s="20">
        <x:f t="array" ref="E52:E52">INDEX($B$4:$O$23,MATCH($A52,$W$4:$W$23,0),COLUMN(D$1))</x:f>
        <x:v>188</x:v>
      </x:c>
      <x:c r="F52" s="20">
        <x:f t="array" ref="F52:F52">INDEX($B$4:$O$23,MATCH($A52,$W$4:$W$23,0),COLUMN(E$1))</x:f>
        <x:v>219</x:v>
      </x:c>
      <x:c r="G52" s="21">
        <x:f t="shared" si="11"/>
        <x:v>803</x:v>
      </x:c>
      <x:c r="H52" s="22">
        <x:f t="shared" si="12"/>
        <x:v>200.75</x:v>
      </x:c>
      <x:c r="I52" s="23">
        <x:f>IF(B52="","",IFERROR(INDEX('회원명단 및 기준에버'!D:G,MATCH(B52,'회원명단 및 기준에버'!$C:$C,0),CHOOSE(INT((MONTH($N$2)-1)/3)+1,1,2,3,4)),""))</x:f>
        <x:v>198</x:v>
      </x:c>
      <x:c r="J52" s="5">
        <x:f t="shared" si="15"/>
        <x:v>1</x:v>
      </x:c>
      <x:c r="K52" s="5">
        <x:f t="shared" si="16"/>
        <x:v>-1</x:v>
      </x:c>
      <x:c r="L52" s="5">
        <x:f t="shared" si="17"/>
        <x:v>-10</x:v>
      </x:c>
      <x:c r="M52" s="5">
        <x:f t="shared" si="13"/>
        <x:v>21</x:v>
      </x:c>
      <x:c r="N52" s="6">
        <x:f t="shared" si="14"/>
        <x:v>11</x:v>
      </x:c>
      <x:c r="O52" s="24">
        <x:f t="shared" si="18"/>
        <x:v>2.75</x:v>
      </x:c>
    </x:row>
    <x:row r="53" spans="1:15" ht="24.949999999999999" customHeight="1">
      <x:c r="A53" s="18">
        <x:v>10</x:v>
      </x:c>
      <x:c r="B53" s="19" t="str">
        <x:f t="array" ref="B53:B53">INDEX($B$4:$O$23,MATCH($A53,$W$4:$W$23,0),COLUMN(A$1))</x:f>
        <x:v>정 영 우</x:v>
      </x:c>
      <x:c r="C53" s="20">
        <x:f t="array" ref="C53:C53">INDEX($B$4:$O$23,MATCH($A53,$W$4:$W$23,0),COLUMN(B$1))</x:f>
        <x:v>189</x:v>
      </x:c>
      <x:c r="D53" s="20">
        <x:f t="array" ref="D53:D53">INDEX($B$4:$O$23,MATCH($A53,$W$4:$W$23,0),COLUMN(C$1))</x:f>
        <x:v>182</x:v>
      </x:c>
      <x:c r="E53" s="20">
        <x:f t="array" ref="E53:E53">INDEX($B$4:$O$23,MATCH($A53,$W$4:$W$23,0),COLUMN(D$1))</x:f>
        <x:v>201</x:v>
      </x:c>
      <x:c r="F53" s="20">
        <x:f t="array" ref="F53:F53">INDEX($B$4:$O$23,MATCH($A53,$W$4:$W$23,0),COLUMN(E$1))</x:f>
        <x:v>171</x:v>
      </x:c>
      <x:c r="G53" s="21">
        <x:f t="shared" si="11"/>
        <x:v>743</x:v>
      </x:c>
      <x:c r="H53" s="22">
        <x:f t="shared" si="12"/>
        <x:v>185.75</x:v>
      </x:c>
      <x:c r="I53" s="23">
        <x:f>IF(B53="","",IFERROR(INDEX('회원명단 및 기준에버'!D:G,MATCH(B53,'회원명단 및 기준에버'!$C:$C,0),CHOOSE(INT((MONTH($N$2)-1)/3)+1,1,2,3,4)),""))</x:f>
        <x:v>184</x:v>
      </x:c>
      <x:c r="J53" s="5">
        <x:f t="shared" si="15"/>
        <x:v>5</x:v>
      </x:c>
      <x:c r="K53" s="5">
        <x:f t="shared" si="16"/>
        <x:v>-2</x:v>
      </x:c>
      <x:c r="L53" s="5">
        <x:f t="shared" si="17"/>
        <x:v>17</x:v>
      </x:c>
      <x:c r="M53" s="5">
        <x:f t="shared" si="13"/>
        <x:v>-13</x:v>
      </x:c>
      <x:c r="N53" s="6">
        <x:f t="shared" si="14"/>
        <x:v>7</x:v>
      </x:c>
      <x:c r="O53" s="24">
        <x:f t="shared" si="18"/>
        <x:v>1.75</x:v>
      </x:c>
    </x:row>
    <x:row r="54" spans="1:15" ht="24.949999999999999" customHeight="1">
      <x:c r="A54" s="18">
        <x:v>11</x:v>
      </x:c>
      <x:c r="B54" s="19" t="str">
        <x:f t="array" ref="B54:B54">INDEX($B$4:$O$23,MATCH($A54,$W$4:$W$23,0),COLUMN(A$1))</x:f>
        <x:v>변 상 필</x:v>
      </x:c>
      <x:c r="C54" s="20">
        <x:f t="array" ref="C54:C54">INDEX($B$4:$O$23,MATCH($A54,$W$4:$W$23,0),COLUMN(B$1))</x:f>
        <x:v>215</x:v>
      </x:c>
      <x:c r="D54" s="20">
        <x:f t="array" ref="D54:D54">INDEX($B$4:$O$23,MATCH($A54,$W$4:$W$23,0),COLUMN(C$1))</x:f>
        <x:v>247</x:v>
      </x:c>
      <x:c r="E54" s="20">
        <x:f t="array" ref="E54:E54">INDEX($B$4:$O$23,MATCH($A54,$W$4:$W$23,0),COLUMN(D$1))</x:f>
        <x:v>161</x:v>
      </x:c>
      <x:c r="F54" s="20">
        <x:f t="array" ref="F54:F54">INDEX($B$4:$O$23,MATCH($A54,$W$4:$W$23,0),COLUMN(E$1))</x:f>
        <x:v>170</x:v>
      </x:c>
      <x:c r="G54" s="21">
        <x:f t="shared" si="11"/>
        <x:v>793</x:v>
      </x:c>
      <x:c r="H54" s="22">
        <x:f t="shared" si="12"/>
        <x:v>198.25</x:v>
      </x:c>
      <x:c r="I54" s="23">
        <x:f>IF(B54="","",IFERROR(INDEX('회원명단 및 기준에버'!D:G,MATCH(B54,'회원명단 및 기준에버'!$C:$C,0),CHOOSE(INT((MONTH($N$2)-1)/3)+1,1,2,3,4)),""))</x:f>
        <x:v>200</x:v>
      </x:c>
      <x:c r="J54" s="5">
        <x:f t="shared" si="15"/>
        <x:v>15</x:v>
      </x:c>
      <x:c r="K54" s="5">
        <x:f t="shared" si="16"/>
        <x:v>47</x:v>
      </x:c>
      <x:c r="L54" s="5">
        <x:f t="shared" si="17"/>
        <x:v>-39</x:v>
      </x:c>
      <x:c r="M54" s="5">
        <x:f t="shared" si="13"/>
        <x:v>-30</x:v>
      </x:c>
      <x:c r="N54" s="6">
        <x:f t="shared" si="14"/>
        <x:v>-7</x:v>
      </x:c>
      <x:c r="O54" s="24">
        <x:f t="shared" si="18"/>
        <x:v>-1.75</x:v>
      </x:c>
    </x:row>
    <x:row r="55" spans="1:15" ht="24.949999999999999" customHeight="1">
      <x:c r="A55" s="18">
        <x:v>12</x:v>
      </x:c>
      <x:c r="B55" s="19" t="str">
        <x:f t="array" ref="B55:B55">INDEX($B$4:$O$23,MATCH($A55,$W$4:$W$23,0),COLUMN(A$1))</x:f>
        <x:v>이 대 용</x:v>
      </x:c>
      <x:c r="C55" s="20">
        <x:f t="array" ref="C55:C55">INDEX($B$4:$O$23,MATCH($A55,$W$4:$W$23,0),COLUMN(B$1))</x:f>
        <x:v>212</x:v>
      </x:c>
      <x:c r="D55" s="20">
        <x:f t="array" ref="D55:D55">INDEX($B$4:$O$23,MATCH($A55,$W$4:$W$23,0),COLUMN(C$1))</x:f>
        <x:v>200</x:v>
      </x:c>
      <x:c r="E55" s="20">
        <x:f t="array" ref="E55:E55">INDEX($B$4:$O$23,MATCH($A55,$W$4:$W$23,0),COLUMN(D$1))</x:f>
        <x:v>213</x:v>
      </x:c>
      <x:c r="F55" s="20">
        <x:f t="array" ref="F55:F55">INDEX($B$4:$O$23,MATCH($A55,$W$4:$W$23,0),COLUMN(E$1))</x:f>
        <x:v>165</x:v>
      </x:c>
      <x:c r="G55" s="21">
        <x:f t="shared" si="11"/>
        <x:v>790</x:v>
      </x:c>
      <x:c r="H55" s="22">
        <x:f t="shared" si="12"/>
        <x:v>197.5</x:v>
      </x:c>
      <x:c r="I55" s="23">
        <x:f>IF(B55="","",IFERROR(INDEX('회원명단 및 기준에버'!D:G,MATCH(B55,'회원명단 및 기준에버'!$C:$C,0),CHOOSE(INT((MONTH($N$2)-1)/3)+1,1,2,3,4)),""))</x:f>
        <x:v>200</x:v>
      </x:c>
      <x:c r="J55" s="5">
        <x:f t="shared" si="15"/>
        <x:v>12</x:v>
      </x:c>
      <x:c r="K55" s="5">
        <x:f t="shared" si="16"/>
        <x:v>0</x:v>
      </x:c>
      <x:c r="L55" s="5">
        <x:f t="shared" si="17"/>
        <x:v>13</x:v>
      </x:c>
      <x:c r="M55" s="5">
        <x:f t="shared" si="13"/>
        <x:v>-35</x:v>
      </x:c>
      <x:c r="N55" s="6">
        <x:f t="shared" si="14"/>
        <x:v>-10</x:v>
      </x:c>
      <x:c r="O55" s="24">
        <x:f t="shared" si="18"/>
        <x:v>-2.5</x:v>
      </x:c>
    </x:row>
    <x:row r="56" spans="1:15" ht="24.949999999999999" customHeight="1">
      <x:c r="A56" s="18">
        <x:v>13</x:v>
      </x:c>
      <x:c r="B56" s="19" t="str">
        <x:f t="array" ref="B56:B56">INDEX($B$4:$O$23,MATCH($A56,$W$4:$W$23,0),COLUMN(A$1))</x:f>
        <x:v>이 우 석</x:v>
      </x:c>
      <x:c r="C56" s="20">
        <x:f t="array" ref="C56:C56">INDEX($B$4:$O$23,MATCH($A56,$W$4:$W$23,0),COLUMN(B$1))</x:f>
        <x:v>210</x:v>
      </x:c>
      <x:c r="D56" s="20">
        <x:f t="array" ref="D56:D56">INDEX($B$4:$O$23,MATCH($A56,$W$4:$W$23,0),COLUMN(C$1))</x:f>
        <x:v>214</x:v>
      </x:c>
      <x:c r="E56" s="20">
        <x:f t="array" ref="E56:E56">INDEX($B$4:$O$23,MATCH($A56,$W$4:$W$23,0),COLUMN(D$1))</x:f>
        <x:v>179</x:v>
      </x:c>
      <x:c r="F56" s="20">
        <x:f t="array" ref="F56:F56">INDEX($B$4:$O$23,MATCH($A56,$W$4:$W$23,0),COLUMN(E$1))</x:f>
        <x:v>181</x:v>
      </x:c>
      <x:c r="G56" s="21">
        <x:f t="shared" si="11"/>
        <x:v>784</x:v>
      </x:c>
      <x:c r="H56" s="22">
        <x:f t="shared" si="12"/>
        <x:v>196</x:v>
      </x:c>
      <x:c r="I56" s="23">
        <x:f>IF(B56="","",IFERROR(INDEX('회원명단 및 기준에버'!D:G,MATCH(B56,'회원명단 및 기준에버'!$C:$C,0),CHOOSE(INT((MONTH($N$2)-1)/3)+1,1,2,3,4)),""))</x:f>
        <x:v>200</x:v>
      </x:c>
      <x:c r="J56" s="5">
        <x:f t="shared" si="15"/>
        <x:v>10</x:v>
      </x:c>
      <x:c r="K56" s="5">
        <x:f t="shared" si="16"/>
        <x:v>14</x:v>
      </x:c>
      <x:c r="L56" s="5">
        <x:f t="shared" si="17"/>
        <x:v>-21</x:v>
      </x:c>
      <x:c r="M56" s="5">
        <x:f t="shared" si="13"/>
        <x:v>-19</x:v>
      </x:c>
      <x:c r="N56" s="6">
        <x:f t="shared" si="14"/>
        <x:v>-16</x:v>
      </x:c>
      <x:c r="O56" s="24">
        <x:f t="shared" si="18"/>
        <x:v>-4</x:v>
      </x:c>
    </x:row>
    <x:row r="57" spans="1:15" ht="24.949999999999999" customHeight="1">
      <x:c r="A57" s="18">
        <x:v>14</x:v>
      </x:c>
      <x:c r="B57" s="19" t="str">
        <x:f t="array" ref="B57:B57">INDEX($B$4:$O$23,MATCH($A57,$W$4:$W$23,0),COLUMN(A$1))</x:f>
        <x:v>고 경 훈</x:v>
      </x:c>
      <x:c r="C57" s="20">
        <x:f t="array" ref="C57:C57">INDEX($B$4:$O$23,MATCH($A57,$W$4:$W$23,0),COLUMN(B$1))</x:f>
        <x:v>176</x:v>
      </x:c>
      <x:c r="D57" s="20">
        <x:f t="array" ref="D57:D57">INDEX($B$4:$O$23,MATCH($A57,$W$4:$W$23,0),COLUMN(C$1))</x:f>
        <x:v>215</x:v>
      </x:c>
      <x:c r="E57" s="20">
        <x:f t="array" ref="E57:E57">INDEX($B$4:$O$23,MATCH($A57,$W$4:$W$23,0),COLUMN(D$1))</x:f>
        <x:v>191</x:v>
      </x:c>
      <x:c r="F57" s="20">
        <x:f t="array" ref="F57:F57">INDEX($B$4:$O$23,MATCH($A57,$W$4:$W$23,0),COLUMN(E$1))</x:f>
        <x:v>170</x:v>
      </x:c>
      <x:c r="G57" s="21">
        <x:f t="shared" si="11"/>
        <x:v>752</x:v>
      </x:c>
      <x:c r="H57" s="22">
        <x:f t="shared" si="12"/>
        <x:v>188</x:v>
      </x:c>
      <x:c r="I57" s="23">
        <x:f>IF(B57="","",IFERROR(INDEX('회원명단 및 기준에버'!D:G,MATCH(B57,'회원명단 및 기준에버'!$C:$C,0),CHOOSE(INT((MONTH($N$2)-1)/3)+1,1,2,3,4)),""))</x:f>
        <x:v>195</x:v>
      </x:c>
      <x:c r="J57" s="5">
        <x:f t="shared" si="15"/>
        <x:v>-19</x:v>
      </x:c>
      <x:c r="K57" s="5">
        <x:f t="shared" si="16"/>
        <x:v>20</x:v>
      </x:c>
      <x:c r="L57" s="5">
        <x:f t="shared" si="17"/>
        <x:v>-4</x:v>
      </x:c>
      <x:c r="M57" s="5">
        <x:f t="shared" si="13"/>
        <x:v>-25</x:v>
      </x:c>
      <x:c r="N57" s="6">
        <x:f t="shared" si="14"/>
        <x:v>-28</x:v>
      </x:c>
      <x:c r="O57" s="24">
        <x:f t="shared" si="18"/>
        <x:v>-7</x:v>
      </x:c>
    </x:row>
    <x:row r="58" spans="1:15" ht="24.949999999999999" customHeight="1">
      <x:c r="A58" s="18">
        <x:v>15</x:v>
      </x:c>
      <x:c r="B58" s="19" t="str">
        <x:f t="array" ref="B58:B58">INDEX($B$4:$O$23,MATCH($A58,$W$4:$W$23,0),COLUMN(A$1))</x:f>
        <x:v>진 명 옥</x:v>
      </x:c>
      <x:c r="C58" s="20">
        <x:f t="array" ref="C58:C58">INDEX($B$4:$O$23,MATCH($A58,$W$4:$W$23,0),COLUMN(B$1))</x:f>
        <x:v>185</x:v>
      </x:c>
      <x:c r="D58" s="20">
        <x:f t="array" ref="D58:D58">INDEX($B$4:$O$23,MATCH($A58,$W$4:$W$23,0),COLUMN(C$1))</x:f>
        <x:v>158</x:v>
      </x:c>
      <x:c r="E58" s="20">
        <x:f t="array" ref="E58:E58">INDEX($B$4:$O$23,MATCH($A58,$W$4:$W$23,0),COLUMN(D$1))</x:f>
        <x:v>157</x:v>
      </x:c>
      <x:c r="F58" s="20">
        <x:f t="array" ref="F58:F58">INDEX($B$4:$O$23,MATCH($A58,$W$4:$W$23,0),COLUMN(E$1))</x:f>
        <x:v>148</x:v>
      </x:c>
      <x:c r="G58" s="21">
        <x:f t="shared" si="11"/>
        <x:v>648</x:v>
      </x:c>
      <x:c r="H58" s="22">
        <x:f t="shared" si="12"/>
        <x:v>162</x:v>
      </x:c>
      <x:c r="I58" s="23">
        <x:f>IF(B58="","",IFERROR(INDEX('회원명단 및 기준에버'!D:G,MATCH(B58,'회원명단 및 기준에버'!$C:$C,0),CHOOSE(INT((MONTH($N$2)-1)/3)+1,1,2,3,4)),""))</x:f>
        <x:v>171</x:v>
      </x:c>
      <x:c r="J58" s="5">
        <x:f t="shared" si="15"/>
        <x:v>14</x:v>
      </x:c>
      <x:c r="K58" s="5">
        <x:f t="shared" si="16"/>
        <x:v>-13</x:v>
      </x:c>
      <x:c r="L58" s="5">
        <x:f t="shared" si="17"/>
        <x:v>-14</x:v>
      </x:c>
      <x:c r="M58" s="5">
        <x:f t="shared" si="13"/>
        <x:v>-23</x:v>
      </x:c>
      <x:c r="N58" s="6">
        <x:f t="shared" si="14"/>
        <x:v>-36</x:v>
      </x:c>
      <x:c r="O58" s="24">
        <x:f t="shared" si="18"/>
        <x:v>-9</x:v>
      </x:c>
    </x:row>
    <x:row r="59" spans="1:15" ht="24.949999999999999" customHeight="1">
      <x:c r="A59" s="18">
        <x:v>16</x:v>
      </x:c>
      <x:c r="B59" s="19" t="str">
        <x:f t="array" ref="B59:B59">INDEX($B$4:$O$23,MATCH($A59,$W$4:$W$23,0),COLUMN(A$1))</x:f>
        <x:v>임 연 진</x:v>
      </x:c>
      <x:c r="C59" s="20">
        <x:f t="array" ref="C59:C59">INDEX($B$4:$O$23,MATCH($A59,$W$4:$W$23,0),COLUMN(B$1))</x:f>
        <x:v>162</x:v>
      </x:c>
      <x:c r="D59" s="20">
        <x:f t="array" ref="D59:D59">INDEX($B$4:$O$23,MATCH($A59,$W$4:$W$23,0),COLUMN(C$1))</x:f>
        <x:v>170</x:v>
      </x:c>
      <x:c r="E59" s="20">
        <x:f t="array" ref="E59:E59">INDEX($B$4:$O$23,MATCH($A59,$W$4:$W$23,0),COLUMN(D$1))</x:f>
        <x:v>176</x:v>
      </x:c>
      <x:c r="F59" s="20">
        <x:f t="array" ref="F59:F59">INDEX($B$4:$O$23,MATCH($A59,$W$4:$W$23,0),COLUMN(E$1))</x:f>
        <x:v>224</x:v>
      </x:c>
      <x:c r="G59" s="21">
        <x:f t="shared" si="11"/>
        <x:v>732</x:v>
      </x:c>
      <x:c r="H59" s="22">
        <x:f t="shared" si="12"/>
        <x:v>183</x:v>
      </x:c>
      <x:c r="I59" s="23">
        <x:f>IF(B59="","",IFERROR(INDEX('회원명단 및 기준에버'!D:G,MATCH(B59,'회원명단 및 기준에버'!$C:$C,0),CHOOSE(INT((MONTH($N$2)-1)/3)+1,1,2,3,4)),""))</x:f>
        <x:v>194</x:v>
      </x:c>
      <x:c r="J59" s="5">
        <x:f t="shared" si="15"/>
        <x:v>-32</x:v>
      </x:c>
      <x:c r="K59" s="5">
        <x:f t="shared" si="16"/>
        <x:v>-24</x:v>
      </x:c>
      <x:c r="L59" s="5">
        <x:f t="shared" si="17"/>
        <x:v>-18</x:v>
      </x:c>
      <x:c r="M59" s="5">
        <x:f t="shared" si="13"/>
        <x:v>30</x:v>
      </x:c>
      <x:c r="N59" s="6">
        <x:f t="shared" si="14"/>
        <x:v>-44</x:v>
      </x:c>
      <x:c r="O59" s="24">
        <x:f t="shared" si="18"/>
        <x:v>-11</x:v>
      </x:c>
    </x:row>
    <x:row r="60" spans="1:15" ht="24.949999999999999" customHeight="1">
      <x:c r="A60" s="18">
        <x:v>17</x:v>
      </x:c>
      <x:c r="B60" s="19" t="str">
        <x:f t="array" ref="B60:B60">INDEX($B$4:$O$23,MATCH($A60,$W$4:$W$23,0),COLUMN(A$1))</x:f>
        <x:v>엄 정 도</x:v>
      </x:c>
      <x:c r="C60" s="20">
        <x:f t="array" ref="C60:C60">INDEX($B$4:$O$23,MATCH($A60,$W$4:$W$23,0),COLUMN(B$1))</x:f>
        <x:v>131</x:v>
      </x:c>
      <x:c r="D60" s="20">
        <x:f t="array" ref="D60:D60">INDEX($B$4:$O$23,MATCH($A60,$W$4:$W$23,0),COLUMN(C$1))</x:f>
        <x:v>169</x:v>
      </x:c>
      <x:c r="E60" s="20">
        <x:f t="array" ref="E60:E60">INDEX($B$4:$O$23,MATCH($A60,$W$4:$W$23,0),COLUMN(D$1))</x:f>
        <x:v>180</x:v>
      </x:c>
      <x:c r="F60" s="20">
        <x:f t="array" ref="F60:F60">INDEX($B$4:$O$23,MATCH($A60,$W$4:$W$23,0),COLUMN(E$1))</x:f>
        <x:v>195</x:v>
      </x:c>
      <x:c r="G60" s="21">
        <x:f t="shared" si="11"/>
        <x:v>675</x:v>
      </x:c>
      <x:c r="H60" s="22">
        <x:f t="shared" si="12"/>
        <x:v>168.75</x:v>
      </x:c>
      <x:c r="I60" s="23">
        <x:f>IF(B60="","",IFERROR(INDEX('회원명단 및 기준에버'!D:G,MATCH(B60,'회원명단 및 기준에버'!$C:$C,0),CHOOSE(INT((MONTH($N$2)-1)/3)+1,1,2,3,4)),""))</x:f>
        <x:v>184</x:v>
      </x:c>
      <x:c r="J60" s="5">
        <x:f t="shared" si="15"/>
        <x:v>-53</x:v>
      </x:c>
      <x:c r="K60" s="5">
        <x:f t="shared" si="16"/>
        <x:v>-15</x:v>
      </x:c>
      <x:c r="L60" s="5">
        <x:f t="shared" si="17"/>
        <x:v>-4</x:v>
      </x:c>
      <x:c r="M60" s="5">
        <x:f t="shared" si="13"/>
        <x:v>11</x:v>
      </x:c>
      <x:c r="N60" s="6">
        <x:f t="shared" si="14"/>
        <x:v>-61</x:v>
      </x:c>
      <x:c r="O60" s="24">
        <x:f t="shared" si="18"/>
        <x:v>-15.25</x:v>
      </x:c>
    </x:row>
    <x:row r="61" spans="1:15" ht="24.949999999999999" customHeight="1">
      <x:c r="A61" s="18">
        <x:v>18</x:v>
      </x:c>
      <x:c r="B61" s="19" t="str">
        <x:f t="array" ref="B61:B61">INDEX($B$4:$O$23,MATCH($A61,$W$4:$W$23,0),COLUMN(A$1))</x:f>
        <x:v>지 옥 명</x:v>
      </x:c>
      <x:c r="C61" s="20">
        <x:f t="array" ref="C61:C61">INDEX($B$4:$O$23,MATCH($A61,$W$4:$W$23,0),COLUMN(B$1))</x:f>
        <x:v>127</x:v>
      </x:c>
      <x:c r="D61" s="20">
        <x:f t="array" ref="D61:D61">INDEX($B$4:$O$23,MATCH($A61,$W$4:$W$23,0),COLUMN(C$1))</x:f>
        <x:v>149</x:v>
      </x:c>
      <x:c r="E61" s="20">
        <x:f t="array" ref="E61:E61">INDEX($B$4:$O$23,MATCH($A61,$W$4:$W$23,0),COLUMN(D$1))</x:f>
        <x:v>164</x:v>
      </x:c>
      <x:c r="F61" s="20">
        <x:f t="array" ref="F61:F61">INDEX($B$4:$O$23,MATCH($A61,$W$4:$W$23,0),COLUMN(E$1))</x:f>
        <x:v>227</x:v>
      </x:c>
      <x:c r="G61" s="21">
        <x:f t="shared" si="11"/>
        <x:v>667</x:v>
      </x:c>
      <x:c r="H61" s="22">
        <x:f t="shared" si="12"/>
        <x:v>166.75</x:v>
      </x:c>
      <x:c r="I61" s="23">
        <x:f>IF(B61="","",IFERROR(INDEX('회원명단 및 기준에버'!D:G,MATCH(B61,'회원명단 및 기준에버'!$C:$C,0),CHOOSE(INT((MONTH($N$2)-1)/3)+1,1,2,3,4)),""))</x:f>
        <x:v>183</x:v>
      </x:c>
      <x:c r="J61" s="5">
        <x:f t="shared" si="15"/>
        <x:v>-56</x:v>
      </x:c>
      <x:c r="K61" s="5">
        <x:f t="shared" si="16"/>
        <x:v>-34</x:v>
      </x:c>
      <x:c r="L61" s="5">
        <x:f t="shared" si="17"/>
        <x:v>-19</x:v>
      </x:c>
      <x:c r="M61" s="5">
        <x:f t="shared" si="13"/>
        <x:v>44</x:v>
      </x:c>
      <x:c r="N61" s="6">
        <x:f t="shared" si="14"/>
        <x:v>-65</x:v>
      </x:c>
      <x:c r="O61" s="24">
        <x:f t="shared" si="18"/>
        <x:v>-16.25</x:v>
      </x:c>
    </x:row>
    <x:row r="62" spans="1:15" ht="24.949999999999999" customHeight="1">
      <x:c r="A62" s="18">
        <x:v>19</x:v>
      </x:c>
      <x:c r="B62" s="19" t="str">
        <x:f t="array" ref="B62:B62">INDEX($B$4:$O$23,MATCH($A62,$W$4:$W$23,0),COLUMN(A$1))</x:f>
        <x:v>김 종 훈</x:v>
      </x:c>
      <x:c r="C62" s="20">
        <x:f t="array" ref="C62:C62">INDEX($B$4:$O$23,MATCH($A62,$W$4:$W$23,0),COLUMN(B$1))</x:f>
        <x:v>205</x:v>
      </x:c>
      <x:c r="D62" s="20">
        <x:f t="array" ref="D62:D62">INDEX($B$4:$O$23,MATCH($A62,$W$4:$W$23,0),COLUMN(C$1))</x:f>
        <x:v>152</x:v>
      </x:c>
      <x:c r="E62" s="20">
        <x:f t="array" ref="E62:E62">INDEX($B$4:$O$23,MATCH($A62,$W$4:$W$23,0),COLUMN(D$1))</x:f>
        <x:v>196</x:v>
      </x:c>
      <x:c r="F62" s="20">
        <x:f t="array" ref="F62:F62">INDEX($B$4:$O$23,MATCH($A62,$W$4:$W$23,0),COLUMN(E$1))</x:f>
        <x:v>151</x:v>
      </x:c>
      <x:c r="G62" s="21">
        <x:f t="shared" si="11"/>
        <x:v>704</x:v>
      </x:c>
      <x:c r="H62" s="22">
        <x:f t="shared" si="12"/>
        <x:v>176</x:v>
      </x:c>
      <x:c r="I62" s="23">
        <x:f>IF(B62="","",IFERROR(INDEX('회원명단 및 기준에버'!D:G,MATCH(B62,'회원명단 및 기준에버'!$C:$C,0),CHOOSE(INT((MONTH($N$2)-1)/3)+1,1,2,3,4)),""))</x:f>
        <x:v>198</x:v>
      </x:c>
      <x:c r="J62" s="5">
        <x:f t="shared" si="15"/>
        <x:v>7</x:v>
      </x:c>
      <x:c r="K62" s="5">
        <x:f t="shared" si="16"/>
        <x:v>-46</x:v>
      </x:c>
      <x:c r="L62" s="5">
        <x:f t="shared" si="17"/>
        <x:v>-2</x:v>
      </x:c>
      <x:c r="M62" s="5">
        <x:f t="shared" si="13"/>
        <x:v>-47</x:v>
      </x:c>
      <x:c r="N62" s="6">
        <x:f t="shared" si="14"/>
        <x:v>-88</x:v>
      </x:c>
      <x:c r="O62" s="24">
        <x:f t="shared" si="18"/>
        <x:v>-22</x:v>
      </x:c>
    </x:row>
    <x:row r="63" spans="1:15" ht="24.949999999999999" customHeight="1">
      <x:c r="A63" s="18">
        <x:v>20</x:v>
      </x:c>
      <x:c r="B63" s="19" t="str">
        <x:f t="array" ref="B63:B63">INDEX($B$4:$O$23,MATCH($A63,$W$4:$W$23,0),COLUMN(A$1))</x:f>
        <x:v>장 영 민</x:v>
      </x:c>
      <x:c r="C63" s="20">
        <x:f t="array" ref="C63:C63">INDEX($B$4:$O$23,MATCH($A63,$W$4:$W$23,0),COLUMN(B$1))</x:f>
        <x:v>146</x:v>
      </x:c>
      <x:c r="D63" s="20">
        <x:f t="array" ref="D63:D63">INDEX($B$4:$O$23,MATCH($A63,$W$4:$W$23,0),COLUMN(C$1))</x:f>
        <x:v>194</x:v>
      </x:c>
      <x:c r="E63" s="20">
        <x:f t="array" ref="E63:E63">INDEX($B$4:$O$23,MATCH($A63,$W$4:$W$23,0),COLUMN(D$1))</x:f>
        <x:v>202</x:v>
      </x:c>
      <x:c r="F63" s="20">
        <x:f t="array" ref="F63:F63">INDEX($B$4:$O$23,MATCH($A63,$W$4:$W$23,0),COLUMN(E$1))</x:f>
        <x:v>151</x:v>
      </x:c>
      <x:c r="G63" s="21">
        <x:f t="shared" si="11"/>
        <x:v>693</x:v>
      </x:c>
      <x:c r="H63" s="22">
        <x:f t="shared" si="12"/>
        <x:v>173.25</x:v>
      </x:c>
      <x:c r="I63" s="23">
        <x:f>IF(B63="","",IFERROR(INDEX('회원명단 및 기준에버'!D:G,MATCH(B63,'회원명단 및 기준에버'!$C:$C,0),CHOOSE(INT((MONTH($N$2)-1)/3)+1,1,2,3,4)),""))</x:f>
        <x:v>200</x:v>
      </x:c>
      <x:c r="J63" s="5">
        <x:f t="shared" si="15"/>
        <x:v>-54</x:v>
      </x:c>
      <x:c r="K63" s="5">
        <x:f t="shared" si="16"/>
        <x:v>-6</x:v>
      </x:c>
      <x:c r="L63" s="5">
        <x:f t="shared" si="17"/>
        <x:v>2</x:v>
      </x:c>
      <x:c r="M63" s="5">
        <x:f t="shared" si="13"/>
        <x:v>-49</x:v>
      </x:c>
      <x:c r="N63" s="6">
        <x:f t="shared" si="14"/>
        <x:v>-107</x:v>
      </x:c>
      <x:c r="O63" s="24">
        <x:f t="shared" si="18"/>
        <x:v>-26.75</x:v>
      </x:c>
    </x:row>
    <x:row r="64" spans="2:15" ht="24.949999999999999" customHeight="1">
      <x:c r="B64" s="120" t="s">
        <x:v>21</x:v>
      </x:c>
      <x:c r="C64" s="121"/>
      <x:c r="D64" s="121"/>
      <x:c r="E64" s="121"/>
      <x:c r="F64" s="120"/>
      <x:c r="G64" s="121"/>
      <x:c r="H64" s="121"/>
      <x:c r="I64" s="121"/>
      <x:c r="J64" s="121"/>
      <x:c r="K64" s="121"/>
      <x:c r="L64" s="121"/>
      <x:c r="M64" s="120"/>
      <x:c r="N64" s="121"/>
      <x:c r="O64" s="122"/>
    </x:row>
    <x:row r="65" spans="2:15" ht="24.949999999999999" customHeight="1">
      <x:c r="B65" s="13" t="str">
        <x:f t="shared" ref="B65:G69" si="19">IF(B25="","",B25)</x:f>
        <x:v>장 영 민</x:v>
      </x:c>
      <x:c r="C65" s="49">
        <x:f t="shared" si="19"/>
        <x:v>-54</x:v>
      </x:c>
      <x:c r="D65" s="49">
        <x:f t="shared" si="19"/>
        <x:v>-6</x:v>
      </x:c>
      <x:c r="E65" s="49">
        <x:f t="shared" si="19"/>
        <x:v>2</x:v>
      </x:c>
      <x:c r="F65" s="49">
        <x:f t="shared" si="19"/>
        <x:v>-49</x:v>
      </x:c>
      <x:c r="G65" s="123">
        <x:f t="shared" si="19"/>
        <x:v>65</x:v>
      </x:c>
      <x:c r="H65" s="115"/>
      <x:c r="I65" s="50" t="str">
        <x:f t="shared" ref="I65:N69" si="20">IF(I25="","",I25)</x:f>
        <x:v>임 승 기</x:v>
      </x:c>
      <x:c r="J65" s="49">
        <x:f t="shared" si="20"/>
        <x:v>69</x:v>
      </x:c>
      <x:c r="K65" s="49">
        <x:f t="shared" si="20"/>
        <x:v>-22</x:v>
      </x:c>
      <x:c r="L65" s="49">
        <x:f t="shared" si="20"/>
        <x:v>-7</x:v>
      </x:c>
      <x:c r="M65" s="49">
        <x:f t="shared" si="20"/>
        <x:v>5</x:v>
      </x:c>
      <x:c r="N65" s="129">
        <x:f t="shared" si="20"/>
        <x:v>39</x:v>
      </x:c>
      <x:c r="O65" s="126"/>
    </x:row>
    <x:row r="66" spans="2:15" ht="24.949999999999999" customHeight="1">
      <x:c r="B66" s="18" t="str">
        <x:f t="shared" si="19"/>
        <x:v>진 명 옥</x:v>
      </x:c>
      <x:c r="C66" s="5">
        <x:f t="shared" si="19"/>
        <x:v>14</x:v>
      </x:c>
      <x:c r="D66" s="5">
        <x:f t="shared" si="19"/>
        <x:v>-13</x:v>
      </x:c>
      <x:c r="E66" s="5">
        <x:f t="shared" si="19"/>
        <x:v>-14</x:v>
      </x:c>
      <x:c r="F66" s="5">
        <x:f t="shared" si="19"/>
        <x:v>-23</x:v>
      </x:c>
      <x:c r="G66" s="124" t="str">
        <x:f t="shared" si="19"/>
        <x:v/>
      </x:c>
      <x:c r="H66" s="116"/>
      <x:c r="I66" s="18" t="str">
        <x:f t="shared" si="20"/>
        <x:v>임 연 진</x:v>
      </x:c>
      <x:c r="J66" s="5">
        <x:f t="shared" si="20"/>
        <x:v>-32</x:v>
      </x:c>
      <x:c r="K66" s="5">
        <x:f t="shared" si="20"/>
        <x:v>-24</x:v>
      </x:c>
      <x:c r="L66" s="5">
        <x:f t="shared" si="20"/>
        <x:v>-18</x:v>
      </x:c>
      <x:c r="M66" s="5">
        <x:f t="shared" si="20"/>
        <x:v>30</x:v>
      </x:c>
      <x:c r="N66" s="130" t="str">
        <x:f t="shared" si="20"/>
        <x:v/>
      </x:c>
      <x:c r="O66" s="127"/>
    </x:row>
    <x:row r="67" spans="2:15" ht="24.949999999999999" customHeight="1">
      <x:c r="B67" s="18" t="str">
        <x:f t="shared" si="19"/>
        <x:v>정 영 우</x:v>
      </x:c>
      <x:c r="C67" s="5">
        <x:f t="shared" si="19"/>
        <x:v>5</x:v>
      </x:c>
      <x:c r="D67" s="5">
        <x:f t="shared" si="19"/>
        <x:v>-2</x:v>
      </x:c>
      <x:c r="E67" s="5">
        <x:f t="shared" si="19"/>
        <x:v>17</x:v>
      </x:c>
      <x:c r="F67" s="5">
        <x:f t="shared" si="19"/>
        <x:v>-13</x:v>
      </x:c>
      <x:c r="G67" s="124" t="str">
        <x:f t="shared" si="19"/>
        <x:v/>
      </x:c>
      <x:c r="H67" s="116"/>
      <x:c r="I67" s="18" t="str">
        <x:f t="shared" si="20"/>
        <x:v>이 정 석</x:v>
      </x:c>
      <x:c r="J67" s="5">
        <x:f t="shared" si="20"/>
        <x:v>16</x:v>
      </x:c>
      <x:c r="K67" s="5">
        <x:f t="shared" si="20"/>
        <x:v>-13</x:v>
      </x:c>
      <x:c r="L67" s="5">
        <x:f t="shared" si="20"/>
        <x:v>49</x:v>
      </x:c>
      <x:c r="M67" s="5">
        <x:f t="shared" si="20"/>
        <x:v>-7</x:v>
      </x:c>
      <x:c r="N67" s="130" t="str">
        <x:f t="shared" si="20"/>
        <x:v/>
      </x:c>
      <x:c r="O67" s="127"/>
    </x:row>
    <x:row r="68" spans="2:15" ht="24.949999999999999" customHeight="1">
      <x:c r="B68" s="18" t="str">
        <x:f t="shared" si="19"/>
        <x:v>나 경 주</x:v>
      </x:c>
      <x:c r="C68" s="5">
        <x:f t="shared" si="19"/>
        <x:v>23</x:v>
      </x:c>
      <x:c r="D68" s="5">
        <x:f t="shared" si="19"/>
        <x:v>55</x:v>
      </x:c>
      <x:c r="E68" s="5">
        <x:f t="shared" si="19"/>
        <x:v>-21</x:v>
      </x:c>
      <x:c r="F68" s="5">
        <x:f t="shared" si="19"/>
        <x:v>43</x:v>
      </x:c>
      <x:c r="G68" s="124" t="str">
        <x:f t="shared" si="19"/>
        <x:v/>
      </x:c>
      <x:c r="H68" s="116"/>
      <x:c r="I68" s="18" t="str">
        <x:f t="shared" si="20"/>
        <x:v>고 경 훈</x:v>
      </x:c>
      <x:c r="J68" s="5">
        <x:f t="shared" si="20"/>
        <x:v>-19</x:v>
      </x:c>
      <x:c r="K68" s="5">
        <x:f t="shared" si="20"/>
        <x:v>20</x:v>
      </x:c>
      <x:c r="L68" s="5">
        <x:f t="shared" si="20"/>
        <x:v>-4</x:v>
      </x:c>
      <x:c r="M68" s="5">
        <x:f t="shared" si="20"/>
        <x:v>-25</x:v>
      </x:c>
      <x:c r="N68" s="130" t="str">
        <x:f t="shared" si="20"/>
        <x:v/>
      </x:c>
      <x:c r="O68" s="127"/>
    </x:row>
    <x:row r="69" spans="2:15" ht="24.949999999999999" customHeight="1">
      <x:c r="B69" s="18" t="str">
        <x:f t="shared" si="19"/>
        <x:v>박 시 진</x:v>
      </x:c>
      <x:c r="C69" s="5">
        <x:f t="shared" si="19"/>
        <x:v>39</x:v>
      </x:c>
      <x:c r="D69" s="5">
        <x:f t="shared" si="19"/>
        <x:v>19</x:v>
      </x:c>
      <x:c r="E69" s="5">
        <x:f t="shared" si="19"/>
        <x:v>32</x:v>
      </x:c>
      <x:c r="F69" s="5">
        <x:f t="shared" si="19"/>
        <x:v>11</x:v>
      </x:c>
      <x:c r="G69" s="124" t="str">
        <x:f t="shared" si="19"/>
        <x:v/>
      </x:c>
      <x:c r="H69" s="116"/>
      <x:c r="I69" s="18" t="str">
        <x:f t="shared" si="20"/>
        <x:v>김 선 미</x:v>
      </x:c>
      <x:c r="J69" s="5">
        <x:f t="shared" si="20"/>
        <x:v>-20</x:v>
      </x:c>
      <x:c r="K69" s="5">
        <x:f t="shared" si="20"/>
        <x:v>22</x:v>
      </x:c>
      <x:c r="L69" s="5">
        <x:f t="shared" si="20"/>
        <x:v>18</x:v>
      </x:c>
      <x:c r="M69" s="5">
        <x:f t="shared" si="20"/>
        <x:v>1</x:v>
      </x:c>
      <x:c r="N69" s="130" t="str">
        <x:f t="shared" si="20"/>
        <x:v/>
      </x:c>
      <x:c r="O69" s="127"/>
    </x:row>
    <x:row r="70" spans="2:15" ht="24.949999999999999" customHeight="1">
      <x:c r="B70" s="30" t="str">
        <x:f t="shared" ref="B70:G70" si="21">IF(B30="","",B30)</x:f>
        <x:v/>
      </x:c>
      <x:c r="C70" s="51">
        <x:f t="shared" si="21"/>
        <x:v>27</x:v>
      </x:c>
      <x:c r="D70" s="51">
        <x:f t="shared" si="21"/>
        <x:v>53</x:v>
      </x:c>
      <x:c r="E70" s="51">
        <x:f t="shared" si="21"/>
        <x:v>16</x:v>
      </x:c>
      <x:c r="F70" s="51">
        <x:f t="shared" si="21"/>
        <x:v>-31</x:v>
      </x:c>
      <x:c r="G70" s="125" t="str">
        <x:f t="shared" si="21"/>
        <x:v/>
      </x:c>
      <x:c r="H70" s="117"/>
      <x:c r="I70" s="30" t="str">
        <x:f t="shared" ref="I70:N70" si="22">IF(I30="","",I30)</x:f>
        <x:v/>
      </x:c>
      <x:c r="J70" s="51">
        <x:f t="shared" si="22"/>
        <x:v>14</x:v>
      </x:c>
      <x:c r="K70" s="51">
        <x:f t="shared" si="22"/>
        <x:v>-17</x:v>
      </x:c>
      <x:c r="L70" s="51">
        <x:f t="shared" si="22"/>
        <x:v>38</x:v>
      </x:c>
      <x:c r="M70" s="51">
        <x:f t="shared" si="22"/>
        <x:v>4</x:v>
      </x:c>
      <x:c r="N70" s="131" t="str">
        <x:f t="shared" si="22"/>
        <x:v/>
      </x:c>
      <x:c r="O70" s="128"/>
    </x:row>
    <x:row r="71" spans="2:15" ht="9.9499999999999993" customHeight="1"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</x:row>
    <x:row r="72" spans="2:15" ht="24.949999999999999" customHeight="1">
      <x:c r="B72" s="13" t="str">
        <x:f t="shared" ref="B72:O76" si="23">IF(B32="","",B32)</x:f>
        <x:v>변 상 필</x:v>
      </x:c>
      <x:c r="C72" s="49">
        <x:f t="shared" si="23"/>
        <x:v>15</x:v>
      </x:c>
      <x:c r="D72" s="49">
        <x:f t="shared" si="23"/>
        <x:v>47</x:v>
      </x:c>
      <x:c r="E72" s="49">
        <x:f t="shared" si="23"/>
        <x:v>-39</x:v>
      </x:c>
      <x:c r="F72" s="49">
        <x:f t="shared" si="23"/>
        <x:v>-30</x:v>
      </x:c>
      <x:c r="G72" s="129">
        <x:f t="shared" si="23"/>
        <x:v>-1</x:v>
      </x:c>
      <x:c r="H72" s="126" t="str">
        <x:f t="shared" si="23"/>
        <x:v/>
      </x:c>
      <x:c r="I72" s="50" t="str">
        <x:f t="shared" si="23"/>
        <x:v>이 대 용</x:v>
      </x:c>
      <x:c r="J72" s="49">
        <x:f t="shared" si="23"/>
        <x:v>12</x:v>
      </x:c>
      <x:c r="K72" s="49">
        <x:f t="shared" si="23"/>
        <x:v>0</x:v>
      </x:c>
      <x:c r="L72" s="49">
        <x:f t="shared" si="23"/>
        <x:v>13</x:v>
      </x:c>
      <x:c r="M72" s="49">
        <x:f t="shared" si="23"/>
        <x:v>-35</x:v>
      </x:c>
      <x:c r="N72" s="129">
        <x:f t="shared" si="23"/>
        <x:v>-41</x:v>
      </x:c>
      <x:c r="O72" s="126" t="str">
        <x:f t="shared" si="23"/>
        <x:v/>
      </x:c>
    </x:row>
    <x:row r="73" spans="2:15" ht="24.949999999999999" customHeight="1">
      <x:c r="B73" s="18" t="str">
        <x:f t="shared" si="23"/>
        <x:v>강 완 규</x:v>
      </x:c>
      <x:c r="C73" s="5">
        <x:f t="shared" si="23"/>
        <x:v>63</x:v>
      </x:c>
      <x:c r="D73" s="5">
        <x:f t="shared" si="23"/>
        <x:v>74</x:v>
      </x:c>
      <x:c r="E73" s="5">
        <x:f t="shared" si="23"/>
        <x:v>7</x:v>
      </x:c>
      <x:c r="F73" s="5">
        <x:f t="shared" si="23"/>
        <x:v>-23</x:v>
      </x:c>
      <x:c r="G73" s="130" t="str">
        <x:f t="shared" si="23"/>
        <x:v/>
      </x:c>
      <x:c r="H73" s="127" t="str">
        <x:f t="shared" si="23"/>
        <x:v/>
      </x:c>
      <x:c r="I73" s="18" t="str">
        <x:f t="shared" si="23"/>
        <x:v>김 정 희</x:v>
      </x:c>
      <x:c r="J73" s="5">
        <x:f t="shared" si="23"/>
        <x:v>46</x:v>
      </x:c>
      <x:c r="K73" s="5">
        <x:f t="shared" si="23"/>
        <x:v>-6</x:v>
      </x:c>
      <x:c r="L73" s="5">
        <x:f t="shared" si="23"/>
        <x:v>25</x:v>
      </x:c>
      <x:c r="M73" s="5">
        <x:f t="shared" si="23"/>
        <x:v>-17</x:v>
      </x:c>
      <x:c r="N73" s="130" t="str">
        <x:f t="shared" si="23"/>
        <x:v/>
      </x:c>
      <x:c r="O73" s="127" t="str">
        <x:f t="shared" si="23"/>
        <x:v/>
      </x:c>
    </x:row>
    <x:row r="74" spans="2:15" ht="24.949999999999999" customHeight="1">
      <x:c r="B74" s="18" t="str">
        <x:f t="shared" si="23"/>
        <x:v>지 옥 명</x:v>
      </x:c>
      <x:c r="C74" s="5">
        <x:f t="shared" si="23"/>
        <x:v>-56</x:v>
      </x:c>
      <x:c r="D74" s="5">
        <x:f t="shared" si="23"/>
        <x:v>-34</x:v>
      </x:c>
      <x:c r="E74" s="5">
        <x:f t="shared" si="23"/>
        <x:v>-19</x:v>
      </x:c>
      <x:c r="F74" s="5">
        <x:f t="shared" si="23"/>
        <x:v>44</x:v>
      </x:c>
      <x:c r="G74" s="130" t="str">
        <x:f t="shared" si="23"/>
        <x:v/>
      </x:c>
      <x:c r="H74" s="127" t="str">
        <x:f t="shared" si="23"/>
        <x:v/>
      </x:c>
      <x:c r="I74" s="18" t="str">
        <x:f t="shared" si="23"/>
        <x:v>김 종 훈</x:v>
      </x:c>
      <x:c r="J74" s="5">
        <x:f t="shared" si="23"/>
        <x:v>7</x:v>
      </x:c>
      <x:c r="K74" s="5">
        <x:f t="shared" si="23"/>
        <x:v>-46</x:v>
      </x:c>
      <x:c r="L74" s="5">
        <x:f t="shared" si="23"/>
        <x:v>-2</x:v>
      </x:c>
      <x:c r="M74" s="5">
        <x:f t="shared" si="23"/>
        <x:v>-47</x:v>
      </x:c>
      <x:c r="N74" s="130" t="str">
        <x:f t="shared" si="23"/>
        <x:v/>
      </x:c>
      <x:c r="O74" s="127" t="str">
        <x:f t="shared" si="23"/>
        <x:v/>
      </x:c>
    </x:row>
    <x:row r="75" spans="2:15" ht="24.949999999999999" customHeight="1">
      <x:c r="B75" s="18" t="str">
        <x:f t="shared" si="23"/>
        <x:v>김 태 환</x:v>
      </x:c>
      <x:c r="C75" s="5">
        <x:f t="shared" si="23"/>
        <x:v>1</x:v>
      </x:c>
      <x:c r="D75" s="5">
        <x:f t="shared" si="23"/>
        <x:v>-1</x:v>
      </x:c>
      <x:c r="E75" s="5">
        <x:f t="shared" si="23"/>
        <x:v>-10</x:v>
      </x:c>
      <x:c r="F75" s="5">
        <x:f t="shared" si="23"/>
        <x:v>21</x:v>
      </x:c>
      <x:c r="G75" s="130" t="str">
        <x:f t="shared" si="23"/>
        <x:v/>
      </x:c>
      <x:c r="H75" s="127" t="str">
        <x:f t="shared" si="23"/>
        <x:v/>
      </x:c>
      <x:c r="I75" s="18" t="str">
        <x:f t="shared" si="23"/>
        <x:v>이 우 석</x:v>
      </x:c>
      <x:c r="J75" s="5">
        <x:f t="shared" si="23"/>
        <x:v>10</x:v>
      </x:c>
      <x:c r="K75" s="5">
        <x:f t="shared" si="23"/>
        <x:v>14</x:v>
      </x:c>
      <x:c r="L75" s="5">
        <x:f t="shared" si="23"/>
        <x:v>-21</x:v>
      </x:c>
      <x:c r="M75" s="5">
        <x:f t="shared" si="23"/>
        <x:v>-19</x:v>
      </x:c>
      <x:c r="N75" s="130" t="str">
        <x:f t="shared" si="23"/>
        <x:v/>
      </x:c>
      <x:c r="O75" s="127" t="str">
        <x:f t="shared" si="23"/>
        <x:v/>
      </x:c>
    </x:row>
    <x:row r="76" spans="2:15" ht="24.949999999999999" customHeight="1">
      <x:c r="B76" s="18" t="str">
        <x:f t="shared" si="23"/>
        <x:v>엄 정 도</x:v>
      </x:c>
      <x:c r="C76" s="5">
        <x:f t="shared" si="23"/>
        <x:v>-53</x:v>
      </x:c>
      <x:c r="D76" s="5">
        <x:f t="shared" si="23"/>
        <x:v>-15</x:v>
      </x:c>
      <x:c r="E76" s="5">
        <x:f t="shared" si="23"/>
        <x:v>-4</x:v>
      </x:c>
      <x:c r="F76" s="5">
        <x:f t="shared" si="23"/>
        <x:v>11</x:v>
      </x:c>
      <x:c r="G76" s="130" t="str">
        <x:f t="shared" si="23"/>
        <x:v/>
      </x:c>
      <x:c r="H76" s="127" t="str">
        <x:f t="shared" si="23"/>
        <x:v/>
      </x:c>
      <x:c r="I76" s="18" t="str">
        <x:f t="shared" si="23"/>
        <x:v>김 미 란</x:v>
      </x:c>
      <x:c r="J76" s="5">
        <x:f t="shared" si="23"/>
        <x:v>16</x:v>
      </x:c>
      <x:c r="K76" s="5">
        <x:f t="shared" si="23"/>
        <x:v>-8</x:v>
      </x:c>
      <x:c r="L76" s="5">
        <x:f t="shared" si="23"/>
        <x:v>18</x:v>
      </x:c>
      <x:c r="M76" s="5">
        <x:f t="shared" si="23"/>
        <x:v>-1</x:v>
      </x:c>
      <x:c r="N76" s="130" t="str">
        <x:f t="shared" si="23"/>
        <x:v/>
      </x:c>
      <x:c r="O76" s="127" t="str">
        <x:f t="shared" si="23"/>
        <x:v/>
      </x:c>
    </x:row>
    <x:row r="77" spans="2:15" ht="24.949999999999999" customHeight="1">
      <x:c r="B77" s="30" t="str">
        <x:f t="shared" ref="B77:O77" si="24">IF(B37="","",B37)</x:f>
        <x:v/>
      </x:c>
      <x:c r="C77" s="51">
        <x:f t="shared" si="24"/>
        <x:v>-30</x:v>
      </x:c>
      <x:c r="D77" s="51">
        <x:f t="shared" si="24"/>
        <x:v>71</x:v>
      </x:c>
      <x:c r="E77" s="51">
        <x:f t="shared" si="24"/>
        <x:v>-65</x:v>
      </x:c>
      <x:c r="F77" s="51">
        <x:f t="shared" si="24"/>
        <x:v>23</x:v>
      </x:c>
      <x:c r="G77" s="131" t="str">
        <x:f t="shared" si="24"/>
        <x:v/>
      </x:c>
      <x:c r="H77" s="128" t="str">
        <x:f t="shared" si="24"/>
        <x:v/>
      </x:c>
      <x:c r="I77" s="30" t="str">
        <x:f t="shared" si="24"/>
        <x:v/>
      </x:c>
      <x:c r="J77" s="51">
        <x:f t="shared" si="24"/>
        <x:v>91</x:v>
      </x:c>
      <x:c r="K77" s="51">
        <x:f t="shared" si="24"/>
        <x:v>-46</x:v>
      </x:c>
      <x:c r="L77" s="51">
        <x:f t="shared" si="24"/>
        <x:v>33</x:v>
      </x:c>
      <x:c r="M77" s="51">
        <x:f t="shared" si="24"/>
        <x:v>-119</x:v>
      </x:c>
      <x:c r="N77" s="131" t="str">
        <x:f t="shared" si="24"/>
        <x:v/>
      </x:c>
      <x:c r="O77" s="128" t="str">
        <x:f t="shared" si="24"/>
        <x:v/>
      </x:c>
    </x:row>
    <x:row r="78" ht="24.949999999999999" customHeight="1"/>
    <x:row r="79" ht="24.949999999999999" customHeight="1"/>
  </x:sheetData>
  <x:mergeCells count="22">
    <x:mergeCell ref="G65:G70"/>
    <x:mergeCell ref="H65:H70"/>
    <x:mergeCell ref="N65:N70"/>
    <x:mergeCell ref="O65:O70"/>
    <x:mergeCell ref="G72:G77"/>
    <x:mergeCell ref="H72:H77"/>
    <x:mergeCell ref="N72:N77"/>
    <x:mergeCell ref="O72:O77"/>
    <x:mergeCell ref="A41:O41"/>
    <x:mergeCell ref="N42:O42"/>
    <x:mergeCell ref="B64:O64"/>
    <x:mergeCell ref="A1:O1"/>
    <x:mergeCell ref="N2:O2"/>
    <x:mergeCell ref="B24:O24"/>
    <x:mergeCell ref="H32:H37"/>
    <x:mergeCell ref="O32:O37"/>
    <x:mergeCell ref="G25:G30"/>
    <x:mergeCell ref="H25:H30"/>
    <x:mergeCell ref="N25:N30"/>
    <x:mergeCell ref="O25:O30"/>
    <x:mergeCell ref="G32:G37"/>
    <x:mergeCell ref="N32:N37"/>
  </x:mergeCells>
  <x:conditionalFormatting sqref="C4:E23">
    <x:cfRule type="cellIs" dxfId="61" priority="20" operator="between">
      <x:formula>200</x:formula>
      <x:formula>200</x:formula>
    </x:cfRule>
  </x:conditionalFormatting>
  <x:conditionalFormatting sqref="C4:F23">
    <x:cfRule type="cellIs" dxfId="60" priority="4" operator="between">
      <x:formula>200</x:formula>
      <x:formula>300</x:formula>
    </x:cfRule>
  </x:conditionalFormatting>
  <x:conditionalFormatting sqref="C44:F63">
    <x:cfRule type="cellIs" dxfId="58" priority="6" operator="between">
      <x:formula>200</x:formula>
      <x:formula>200</x:formula>
    </x:cfRule>
    <x:cfRule type="cellIs" dxfId="59" priority="5" operator="between">
      <x:formula>200</x:formula>
      <x:formula>300</x:formula>
    </x:cfRule>
  </x:conditionalFormatting>
  <x:conditionalFormatting sqref="G44:G63">
    <x:cfRule type="cellIs" dxfId="56" priority="16" operator="greaterThan">
      <x:formula>599</x:formula>
    </x:cfRule>
    <x:cfRule type="cellIs" dxfId="57" priority="11" operator="between">
      <x:formula>600</x:formula>
      <x:formula>900</x:formula>
    </x:cfRule>
  </x:conditionalFormatting>
  <x:conditionalFormatting sqref="H4:H23">
    <x:cfRule type="cellIs" dxfId="55" priority="26" operator="greaterThan">
      <x:formula>199.9</x:formula>
    </x:cfRule>
  </x:conditionalFormatting>
  <x:conditionalFormatting sqref="H44:H63">
    <x:cfRule type="cellIs" dxfId="54" priority="14" operator="greaterThan">
      <x:formula>199.9</x:formula>
    </x:cfRule>
  </x:conditionalFormatting>
  <x:conditionalFormatting sqref="H4:I23">
    <x:cfRule type="cellIs" dxfId="53" priority="17" operator="between">
      <x:formula>200</x:formula>
      <x:formula>300</x:formula>
    </x:cfRule>
  </x:conditionalFormatting>
  <x:conditionalFormatting sqref="H44:I63">
    <x:cfRule type="cellIs" dxfId="52" priority="10" operator="between">
      <x:formula>200</x:formula>
      <x:formula>300</x:formula>
    </x:cfRule>
  </x:conditionalFormatting>
  <x:conditionalFormatting sqref="I4:I23">
    <x:cfRule type="cellIs" dxfId="51" priority="27" operator="greaterThan">
      <x:formula>199</x:formula>
    </x:cfRule>
  </x:conditionalFormatting>
  <x:conditionalFormatting sqref="I44:I63">
    <x:cfRule type="cellIs" dxfId="50" priority="15" operator="greaterThan">
      <x:formula>199</x:formula>
    </x:cfRule>
  </x:conditionalFormatting>
  <x:conditionalFormatting sqref="G4:G23">
    <x:cfRule type="cellIs" dxfId="49" priority="1" operator="between">
      <x:formula>800</x:formula>
      <x:formula>1600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U77"/>
  <x:sheetViews>
    <x:sheetView topLeftCell="A34" zoomScaleNormal="100" zoomScaleSheetLayoutView="110" workbookViewId="0">
      <x:selection activeCell="R79" activeCellId="0" sqref="R79:R79"/>
    </x:sheetView>
  </x:sheetViews>
  <x:sheetFormatPr defaultColWidth="9" defaultRowHeight="16.399999999999999"/>
  <x:cols>
    <x:col min="1" max="1" width="4.625" style="3" customWidth="1"/>
    <x:col min="2" max="2" width="12.77734375" style="3" customWidth="1"/>
    <x:col min="3" max="8" width="10.77734375" style="3" customWidth="1"/>
    <x:col min="9" max="9" width="12.77734375" style="3" customWidth="1"/>
    <x:col min="10" max="15" width="10.77734375" style="3" customWidth="1"/>
    <x:col min="16" max="16" width="9.875" style="3" bestFit="1" customWidth="1"/>
    <x:col min="18" max="18" width="13.125" style="3" customWidth="1"/>
    <x:col min="19" max="19" width="11" style="3" bestFit="1" customWidth="1"/>
    <x:col min="20" max="20" width="15" style="3" customWidth="1"/>
    <x:col min="21" max="21" width="9" style="3" bestFit="1" customWidth="1"/>
  </x:cols>
  <x:sheetData>
    <x:row r="1" spans="1:15" ht="60" customHeight="1">
      <x:c r="A1" s="112" t="s">
        <x:v>64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</x:row>
    <x:row r="2" spans="1:21" ht="22.5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4" t="s">
        <x:v>48</x:v>
      </x:c>
      <x:c r="M2" s="34"/>
      <x:c r="N2" s="113">
        <x:v>46079</x:v>
      </x:c>
      <x:c r="O2" s="114"/>
      <x:c r="R2" s="35" t="s">
        <x:v>18</x:v>
      </x:c>
      <x:c r="S2" s="35">
        <x:v>0</x:v>
      </x:c>
      <x:c r="T2" s="35" t="s">
        <x:v>0</x:v>
      </x:c>
      <x:c r="U2" s="35">
        <x:v>1</x:v>
      </x:c>
    </x:row>
    <x:row r="3" spans="1:21" ht="24.949999999999999" customHeight="1">
      <x:c r="A3" s="13"/>
      <x:c r="B3" s="14" t="s">
        <x:v>14</x:v>
      </x:c>
      <x:c r="C3" s="14" t="s">
        <x:v>44</x:v>
      </x:c>
      <x:c r="D3" s="14" t="s">
        <x:v>55</x:v>
      </x:c>
      <x:c r="E3" s="14" t="s">
        <x:v>54</x:v>
      </x:c>
      <x:c r="F3" s="14" t="s">
        <x:v>53</x:v>
      </x:c>
      <x:c r="G3" s="14" t="s">
        <x:v>52</x:v>
      </x:c>
      <x:c r="H3" s="14" t="s">
        <x:v>47</x:v>
      </x:c>
      <x:c r="I3" s="15" t="s">
        <x:v>41</x:v>
      </x:c>
      <x:c r="J3" s="14" t="s">
        <x:v>44</x:v>
      </x:c>
      <x:c r="K3" s="14" t="s">
        <x:v>55</x:v>
      </x:c>
      <x:c r="L3" s="14" t="s">
        <x:v>54</x:v>
      </x:c>
      <x:c r="M3" s="14" t="s">
        <x:v>53</x:v>
      </x:c>
      <x:c r="N3" s="16" t="s">
        <x:v>52</x:v>
      </x:c>
      <x:c r="O3" s="17" t="s">
        <x:v>56</x:v>
      </x:c>
      <x:c r="R3" s="36" t="s">
        <x:v>58</x:v>
      </x:c>
      <x:c r="S3" s="36"/>
      <x:c r="T3" s="36"/>
      <x:c r="U3" s="36"/>
    </x:row>
    <x:row r="4" spans="1:21" ht="24.949999999999999" customHeight="1">
      <x:c r="A4" s="18">
        <x:v>1</x:v>
      </x:c>
      <x:c r="B4" s="19" t="s">
        <x:v>7</x:v>
      </x:c>
      <x:c r="C4" s="20">
        <x:v>199</x:v>
      </x:c>
      <x:c r="D4" s="20">
        <x:v>248</x:v>
      </x:c>
      <x:c r="E4" s="20">
        <x:v>203</x:v>
      </x:c>
      <x:c r="F4" s="20">
        <x:v>181</x:v>
      </x:c>
      <x:c r="G4" s="32">
        <x:f>F4+E4+D4+C4</x:f>
        <x:v>831</x:v>
      </x:c>
      <x:c r="H4" s="22">
        <x:f>G4/4</x:f>
        <x:v>207.75</x:v>
      </x:c>
      <x:c r="I4" s="23">
        <x:f>IF(B4="","",IFERROR(INDEX('회원명단 및 기준에버'!D:G,MATCH(B4,'회원명단 및 기준에버'!$C:$C,0),CHOOSE(INT((MONTH($N$2)-1)/3)+1,1,2,3,4)),""))</x:f>
        <x:v>200</x:v>
      </x:c>
      <x:c r="J4" s="5">
        <x:f>IFERROR(C4+-I4,0)</x:f>
        <x:v>-1</x:v>
      </x:c>
      <x:c r="K4" s="5">
        <x:f>IFERROR(D4+-I4,0)</x:f>
        <x:v>48</x:v>
      </x:c>
      <x:c r="L4" s="5">
        <x:f>IFERROR(E4+-I4,0)</x:f>
        <x:v>3</x:v>
      </x:c>
      <x:c r="M4" s="5">
        <x:f>IFERROR(F4+-I4,0)</x:f>
        <x:v>-19</x:v>
      </x:c>
      <x:c r="N4" s="6">
        <x:f>SUM(J4:M4)</x:f>
        <x:v>31</x:v>
      </x:c>
      <x:c r="O4" s="24">
        <x:f>IFERROR(H4+-I4,0)</x:f>
        <x:v>7.75</x:v>
      </x:c>
      <x:c r="P4" s="25"/>
      <x:c r="R4" s="59">
        <x:f t="shared" ref="R4:R23" si="0">MAX(C4:F4)-MIN(C4:F4)</x:f>
        <x:v>67</x:v>
      </x:c>
      <x:c r="S4" s="60">
        <x:f>IF($U$2=0,(G4*1000000+R4*1000+A4),(O4*1000000+R4*1000+A4))</x:f>
        <x:v>7817001</x:v>
      </x:c>
      <x:c r="T4" s="60">
        <x:f t="shared" ref="T4:T23" si="1">_xlfn.RANK.EQ(S4,$S$4:$S$23,0)</x:f>
        <x:v>6</x:v>
      </x:c>
      <x:c r="U4" s="61"/>
    </x:row>
    <x:row r="5" spans="1:21" ht="24.949999999999999" customHeight="1">
      <x:c r="A5" s="18">
        <x:v>2</x:v>
      </x:c>
      <x:c r="B5" s="19" t="s">
        <x:v>20</x:v>
      </x:c>
      <x:c r="C5" s="20">
        <x:v>201</x:v>
      </x:c>
      <x:c r="D5" s="20">
        <x:v>182</x:v>
      </x:c>
      <x:c r="E5" s="20">
        <x:v>185</x:v>
      </x:c>
      <x:c r="F5" s="20">
        <x:v>156</x:v>
      </x:c>
      <x:c r="G5" s="21">
        <x:f t="shared" ref="G5:G23" si="2">F5+E5+D5+C5</x:f>
        <x:v>724</x:v>
      </x:c>
      <x:c r="H5" s="22">
        <x:f t="shared" ref="H5:H23" si="3">G5/4</x:f>
        <x:v>181</x:v>
      </x:c>
      <x:c r="I5" s="23">
        <x:f>IF(B5="","",IFERROR(INDEX('회원명단 및 기준에버'!D:G,MATCH(B5,'회원명단 및 기준에버'!$C:$C,0),CHOOSE(INT((MONTH($N$2)-1)/3)+1,1,2,3,4)),""))</x:f>
        <x:v>183</x:v>
      </x:c>
      <x:c r="J5" s="5">
        <x:f>IFERROR(C5+-I5,0)</x:f>
        <x:v>18</x:v>
      </x:c>
      <x:c r="K5" s="5">
        <x:f>IFERROR(D5+-I5,0)</x:f>
        <x:v>-1</x:v>
      </x:c>
      <x:c r="L5" s="5">
        <x:f>IFERROR(E5+-I5,0)</x:f>
        <x:v>2</x:v>
      </x:c>
      <x:c r="M5" s="5">
        <x:f t="shared" ref="M5:M22" si="4">IFERROR(F5+-I5,0)</x:f>
        <x:v>-27</x:v>
      </x:c>
      <x:c r="N5" s="6">
        <x:f t="shared" ref="N5:N23" si="5">SUM(J5:M5)</x:f>
        <x:v>-8</x:v>
      </x:c>
      <x:c r="O5" s="24">
        <x:f>IFERROR(H5+-I5,0)</x:f>
        <x:v>-2</x:v>
      </x:c>
      <x:c r="P5" s="25"/>
      <x:c r="R5" s="62">
        <x:f t="shared" si="0"/>
        <x:v>45</x:v>
      </x:c>
      <x:c r="S5" s="57">
        <x:f t="shared" ref="S5:S23" si="6">IF($U$2=0,(G5*1000000+R5*1000+A5),(O5*1000000+R5*1000+A5))</x:f>
        <x:v>-1954998</x:v>
      </x:c>
      <x:c r="T5" s="57">
        <x:f t="shared" si="1"/>
        <x:v>17</x:v>
      </x:c>
      <x:c r="U5" s="63"/>
    </x:row>
    <x:row r="6" spans="1:21" ht="24.949999999999999" customHeight="1">
      <x:c r="A6" s="18">
        <x:v>3</x:v>
      </x:c>
      <x:c r="B6" s="19" t="s">
        <x:v>31</x:v>
      </x:c>
      <x:c r="C6" s="20">
        <x:v>182</x:v>
      </x:c>
      <x:c r="D6" s="20">
        <x:v>212</x:v>
      </x:c>
      <x:c r="E6" s="20">
        <x:v>233</x:v>
      </x:c>
      <x:c r="F6" s="20">
        <x:v>190</x:v>
      </x:c>
      <x:c r="G6" s="21">
        <x:f t="shared" si="2"/>
        <x:v>817</x:v>
      </x:c>
      <x:c r="H6" s="22">
        <x:f t="shared" si="3"/>
        <x:v>204.25</x:v>
      </x:c>
      <x:c r="I6" s="23">
        <x:f>IF(B6="","",IFERROR(INDEX('회원명단 및 기준에버'!D:G,MATCH(B6,'회원명단 및 기준에버'!$C:$C,0),CHOOSE(INT((MONTH($N$2)-1)/3)+1,1,2,3,4)),""))</x:f>
        <x:v>198</x:v>
      </x:c>
      <x:c r="J6" s="5">
        <x:v>0</x:v>
      </x:c>
      <x:c r="K6" s="5">
        <x:v>0</x:v>
      </x:c>
      <x:c r="L6" s="5">
        <x:v>0</x:v>
      </x:c>
      <x:c r="M6" s="5">
        <x:v>0</x:v>
      </x:c>
      <x:c r="N6" s="6">
        <x:f t="shared" si="5"/>
        <x:v>0</x:v>
      </x:c>
      <x:c r="O6" s="24">
        <x:v>0</x:v>
      </x:c>
      <x:c r="R6" s="62">
        <x:f t="shared" si="0"/>
        <x:v>51</x:v>
      </x:c>
      <x:c r="S6" s="57">
        <x:f t="shared" si="6"/>
        <x:v>51003</x:v>
      </x:c>
      <x:c r="T6" s="57">
        <x:f t="shared" si="1"/>
        <x:v>14</x:v>
      </x:c>
      <x:c r="U6" s="63"/>
    </x:row>
    <x:row r="7" spans="1:21" ht="24.949999999999999" customHeight="1">
      <x:c r="A7" s="18">
        <x:v>4</x:v>
      </x:c>
      <x:c r="B7" s="19" t="s">
        <x:v>22</x:v>
      </x:c>
      <x:c r="C7" s="20">
        <x:v>182</x:v>
      </x:c>
      <x:c r="D7" s="20">
        <x:v>182</x:v>
      </x:c>
      <x:c r="E7" s="20">
        <x:v>194</x:v>
      </x:c>
      <x:c r="F7" s="20">
        <x:v>192</x:v>
      </x:c>
      <x:c r="G7" s="21">
        <x:f t="shared" si="2"/>
        <x:v>750</x:v>
      </x:c>
      <x:c r="H7" s="22">
        <x:f t="shared" si="3"/>
        <x:v>187.5</x:v>
      </x:c>
      <x:c r="I7" s="23">
        <x:f>IF(B7="","",IFERROR(INDEX('회원명단 및 기준에버'!D:G,MATCH(B7,'회원명단 및 기준에버'!$C:$C,0),CHOOSE(INT((MONTH($N$2)-1)/3)+1,1,2,3,4)),""))</x:f>
        <x:v>194</x:v>
      </x:c>
      <x:c r="J7" s="5">
        <x:f t="shared" ref="J7:J22" si="7">IFERROR(C7+-I7,0)</x:f>
        <x:v>-12</x:v>
      </x:c>
      <x:c r="K7" s="5">
        <x:f t="shared" ref="K7:K22" si="8">IFERROR(D7+-I7,0)</x:f>
        <x:v>-12</x:v>
      </x:c>
      <x:c r="L7" s="5">
        <x:f t="shared" ref="L7:L22" si="9">IFERROR(E7+-I7,0)</x:f>
        <x:v>0</x:v>
      </x:c>
      <x:c r="M7" s="5">
        <x:f t="shared" si="4"/>
        <x:v>-2</x:v>
      </x:c>
      <x:c r="N7" s="6">
        <x:f t="shared" si="5"/>
        <x:v>-26</x:v>
      </x:c>
      <x:c r="O7" s="24">
        <x:f t="shared" ref="O7:O22" si="10">IFERROR(H7+-I7,0)</x:f>
        <x:v>-6.5</x:v>
      </x:c>
      <x:c r="R7" s="62">
        <x:f t="shared" si="0"/>
        <x:v>12</x:v>
      </x:c>
      <x:c r="S7" s="57">
        <x:f t="shared" si="6"/>
        <x:v>-6487996</x:v>
      </x:c>
      <x:c r="T7" s="57">
        <x:f t="shared" si="1"/>
        <x:v>19</x:v>
      </x:c>
      <x:c r="U7" s="63"/>
    </x:row>
    <x:row r="8" spans="1:21" ht="24.949999999999999" customHeight="1">
      <x:c r="A8" s="18">
        <x:v>5</x:v>
      </x:c>
      <x:c r="B8" s="19" t="s">
        <x:v>2</x:v>
      </x:c>
      <x:c r="C8" s="20">
        <x:v>156</x:v>
      </x:c>
      <x:c r="D8" s="20">
        <x:v>222</x:v>
      </x:c>
      <x:c r="E8" s="20">
        <x:v>188</x:v>
      </x:c>
      <x:c r="F8" s="20">
        <x:v>192</x:v>
      </x:c>
      <x:c r="G8" s="21">
        <x:f t="shared" si="2"/>
        <x:v>758</x:v>
      </x:c>
      <x:c r="H8" s="22">
        <x:f t="shared" si="3"/>
        <x:v>189.5</x:v>
      </x:c>
      <x:c r="I8" s="23">
        <x:f>IF(B8="","",IFERROR(INDEX('회원명단 및 기준에버'!D:G,MATCH(B8,'회원명단 및 기준에버'!$C:$C,0),CHOOSE(INT((MONTH($N$2)-1)/3)+1,1,2,3,4)),""))</x:f>
        <x:v>190</x:v>
      </x:c>
      <x:c r="J8" s="5">
        <x:f t="shared" si="7"/>
        <x:v>-34</x:v>
      </x:c>
      <x:c r="K8" s="5">
        <x:f t="shared" si="8"/>
        <x:v>32</x:v>
      </x:c>
      <x:c r="L8" s="5">
        <x:f t="shared" si="9"/>
        <x:v>-2</x:v>
      </x:c>
      <x:c r="M8" s="5">
        <x:f t="shared" si="4"/>
        <x:v>2</x:v>
      </x:c>
      <x:c r="N8" s="6">
        <x:f t="shared" si="5"/>
        <x:v>-2</x:v>
      </x:c>
      <x:c r="O8" s="24">
        <x:f t="shared" si="10"/>
        <x:v>-0.5</x:v>
      </x:c>
      <x:c r="R8" s="62">
        <x:f t="shared" si="0"/>
        <x:v>66</x:v>
      </x:c>
      <x:c r="S8" s="57">
        <x:f t="shared" si="6"/>
        <x:v>-433995</x:v>
      </x:c>
      <x:c r="T8" s="57">
        <x:f t="shared" si="1"/>
        <x:v>16</x:v>
      </x:c>
      <x:c r="U8" s="63"/>
    </x:row>
    <x:row r="9" spans="1:21" ht="24.949999999999999" customHeight="1">
      <x:c r="A9" s="18">
        <x:v>6</x:v>
      </x:c>
      <x:c r="B9" s="19" t="s">
        <x:v>16</x:v>
      </x:c>
      <x:c r="C9" s="20">
        <x:v>169</x:v>
      </x:c>
      <x:c r="D9" s="20">
        <x:v>243</x:v>
      </x:c>
      <x:c r="E9" s="20">
        <x:v>165</x:v>
      </x:c>
      <x:c r="F9" s="20">
        <x:v>188</x:v>
      </x:c>
      <x:c r="G9" s="21">
        <x:f t="shared" si="2"/>
        <x:v>765</x:v>
      </x:c>
      <x:c r="H9" s="22">
        <x:f t="shared" si="3"/>
        <x:v>191.25</x:v>
      </x:c>
      <x:c r="I9" s="23">
        <x:f>IF(B9="","",IFERROR(INDEX('회원명단 및 기준에버'!D:G,MATCH(B9,'회원명단 및 기준에버'!$C:$C,0),CHOOSE(INT((MONTH($N$2)-1)/3)+1,1,2,3,4)),""))</x:f>
        <x:v>200</x:v>
      </x:c>
      <x:c r="J9" s="5">
        <x:f t="shared" si="7"/>
        <x:v>-31</x:v>
      </x:c>
      <x:c r="K9" s="5">
        <x:f t="shared" si="8"/>
        <x:v>43</x:v>
      </x:c>
      <x:c r="L9" s="5">
        <x:f t="shared" si="9"/>
        <x:v>-35</x:v>
      </x:c>
      <x:c r="M9" s="5">
        <x:f t="shared" si="4"/>
        <x:v>-12</x:v>
      </x:c>
      <x:c r="N9" s="6">
        <x:f t="shared" si="5"/>
        <x:v>-35</x:v>
      </x:c>
      <x:c r="O9" s="24">
        <x:f t="shared" si="10"/>
        <x:v>-8.75</x:v>
      </x:c>
      <x:c r="R9" s="62">
        <x:f t="shared" si="0"/>
        <x:v>78</x:v>
      </x:c>
      <x:c r="S9" s="57">
        <x:f t="shared" si="6"/>
        <x:v>-8671994</x:v>
      </x:c>
      <x:c r="T9" s="57">
        <x:f t="shared" si="1"/>
        <x:v>20</x:v>
      </x:c>
      <x:c r="U9" s="63"/>
    </x:row>
    <x:row r="10" spans="1:21" ht="24.949999999999999" customHeight="1">
      <x:c r="A10" s="18">
        <x:v>7</x:v>
      </x:c>
      <x:c r="B10" s="19" t="s">
        <x:v>10</x:v>
      </x:c>
      <x:c r="C10" s="20">
        <x:v>227</x:v>
      </x:c>
      <x:c r="D10" s="20">
        <x:v>182</x:v>
      </x:c>
      <x:c r="E10" s="20">
        <x:v>213</x:v>
      </x:c>
      <x:c r="F10" s="20">
        <x:v>233</x:v>
      </x:c>
      <x:c r="G10" s="21">
        <x:f t="shared" si="2"/>
        <x:v>855</x:v>
      </x:c>
      <x:c r="H10" s="22">
        <x:f t="shared" si="3"/>
        <x:v>213.75</x:v>
      </x:c>
      <x:c r="I10" s="23">
        <x:f>IF(B10="","",IFERROR(INDEX('회원명단 및 기준에버'!D:G,MATCH(B10,'회원명단 및 기준에버'!$C:$C,0),CHOOSE(INT((MONTH($N$2)-1)/3)+1,1,2,3,4)),""))</x:f>
        <x:v>200</x:v>
      </x:c>
      <x:c r="J10" s="5">
        <x:v>0</x:v>
      </x:c>
      <x:c r="K10" s="5">
        <x:v>0</x:v>
      </x:c>
      <x:c r="L10" s="5">
        <x:v>0</x:v>
      </x:c>
      <x:c r="M10" s="5">
        <x:v>0</x:v>
      </x:c>
      <x:c r="N10" s="6">
        <x:v>0</x:v>
      </x:c>
      <x:c r="O10" s="24">
        <x:v>0</x:v>
      </x:c>
      <x:c r="R10" s="62">
        <x:f t="shared" si="0"/>
        <x:v>51</x:v>
      </x:c>
      <x:c r="S10" s="57">
        <x:f t="shared" si="6"/>
        <x:v>51007</x:v>
      </x:c>
      <x:c r="T10" s="57">
        <x:f t="shared" si="1"/>
        <x:v>13</x:v>
      </x:c>
      <x:c r="U10" s="63"/>
    </x:row>
    <x:row r="11" spans="1:21" ht="24.949999999999999" customHeight="1">
      <x:c r="A11" s="18">
        <x:v>8</x:v>
      </x:c>
      <x:c r="B11" s="19" t="s">
        <x:v>23</x:v>
      </x:c>
      <x:c r="C11" s="20">
        <x:v>203</x:v>
      </x:c>
      <x:c r="D11" s="20">
        <x:v>253</x:v>
      </x:c>
      <x:c r="E11" s="20">
        <x:v>167</x:v>
      </x:c>
      <x:c r="F11" s="20">
        <x:v>140</x:v>
      </x:c>
      <x:c r="G11" s="21">
        <x:f t="shared" si="2"/>
        <x:v>763</x:v>
      </x:c>
      <x:c r="H11" s="22">
        <x:f t="shared" si="3"/>
        <x:v>190.75</x:v>
      </x:c>
      <x:c r="I11" s="23">
        <x:f>IF(B11="","",IFERROR(INDEX('회원명단 및 기준에버'!D:G,MATCH(B11,'회원명단 및 기준에버'!$C:$C,0),CHOOSE(INT((MONTH($N$2)-1)/3)+1,1,2,3,4)),""))</x:f>
        <x:v>184</x:v>
      </x:c>
      <x:c r="J11" s="5">
        <x:f t="shared" si="7"/>
        <x:v>19</x:v>
      </x:c>
      <x:c r="K11" s="5">
        <x:f t="shared" si="8"/>
        <x:v>69</x:v>
      </x:c>
      <x:c r="L11" s="5">
        <x:f t="shared" si="9"/>
        <x:v>-17</x:v>
      </x:c>
      <x:c r="M11" s="5">
        <x:f t="shared" si="4"/>
        <x:v>-44</x:v>
      </x:c>
      <x:c r="N11" s="6">
        <x:f t="shared" si="5"/>
        <x:v>27</x:v>
      </x:c>
      <x:c r="O11" s="24">
        <x:f t="shared" si="10"/>
        <x:v>6.75</x:v>
      </x:c>
      <x:c r="R11" s="62">
        <x:f t="shared" si="0"/>
        <x:v>113</x:v>
      </x:c>
      <x:c r="S11" s="57">
        <x:f t="shared" si="6"/>
        <x:v>6863008</x:v>
      </x:c>
      <x:c r="T11" s="57">
        <x:f t="shared" si="1"/>
        <x:v>8</x:v>
      </x:c>
      <x:c r="U11" s="63"/>
    </x:row>
    <x:row r="12" spans="1:21" ht="24.949999999999999" customHeight="1">
      <x:c r="A12" s="18">
        <x:v>9</x:v>
      </x:c>
      <x:c r="B12" s="19" t="s">
        <x:v>9</x:v>
      </x:c>
      <x:c r="C12" s="20">
        <x:v>181</x:v>
      </x:c>
      <x:c r="D12" s="20">
        <x:v>207</x:v>
      </x:c>
      <x:c r="E12" s="20">
        <x:v>190</x:v>
      </x:c>
      <x:c r="F12" s="20">
        <x:v>215</x:v>
      </x:c>
      <x:c r="G12" s="21">
        <x:f t="shared" si="2"/>
        <x:v>793</x:v>
      </x:c>
      <x:c r="H12" s="22">
        <x:f t="shared" si="3"/>
        <x:v>198.25</x:v>
      </x:c>
      <x:c r="I12" s="23">
        <x:f>IF(B12="","",IFERROR(INDEX('회원명단 및 기준에버'!D:G,MATCH(B12,'회원명단 및 기준에버'!$C:$C,0),CHOOSE(INT((MONTH($N$2)-1)/3)+1,1,2,3,4)),""))</x:f>
        <x:v>191</x:v>
      </x:c>
      <x:c r="J12" s="5">
        <x:f t="shared" si="7"/>
        <x:v>-10</x:v>
      </x:c>
      <x:c r="K12" s="5">
        <x:f t="shared" si="8"/>
        <x:v>16</x:v>
      </x:c>
      <x:c r="L12" s="5">
        <x:f t="shared" si="9"/>
        <x:v>-1</x:v>
      </x:c>
      <x:c r="M12" s="5">
        <x:f t="shared" si="4"/>
        <x:v>24</x:v>
      </x:c>
      <x:c r="N12" s="6">
        <x:f t="shared" si="5"/>
        <x:v>29</x:v>
      </x:c>
      <x:c r="O12" s="24">
        <x:f t="shared" si="10"/>
        <x:v>7.25</x:v>
      </x:c>
      <x:c r="R12" s="62">
        <x:f t="shared" si="0"/>
        <x:v>34</x:v>
      </x:c>
      <x:c r="S12" s="57">
        <x:f t="shared" si="6"/>
        <x:v>7284009</x:v>
      </x:c>
      <x:c r="T12" s="57">
        <x:f t="shared" si="1"/>
        <x:v>7</x:v>
      </x:c>
      <x:c r="U12" s="63"/>
    </x:row>
    <x:row r="13" spans="1:21" ht="24.949999999999999" customHeight="1">
      <x:c r="A13" s="18">
        <x:v>10</x:v>
      </x:c>
      <x:c r="B13" s="19" t="s">
        <x:v>37</x:v>
      </x:c>
      <x:c r="C13" s="20">
        <x:v>154</x:v>
      </x:c>
      <x:c r="D13" s="20">
        <x:v>157</x:v>
      </x:c>
      <x:c r="E13" s="20">
        <x:v>143</x:v>
      </x:c>
      <x:c r="F13" s="20">
        <x:v>150</x:v>
      </x:c>
      <x:c r="G13" s="21">
        <x:f t="shared" si="2"/>
        <x:v>604</x:v>
      </x:c>
      <x:c r="H13" s="22">
        <x:f t="shared" si="3"/>
        <x:v>151</x:v>
      </x:c>
      <x:c r="I13" s="23">
        <x:f>IF(B13="","",IFERROR(INDEX('회원명단 및 기준에버'!D:G,MATCH(B13,'회원명단 및 기준에버'!$C:$C,0),CHOOSE(INT((MONTH($N$2)-1)/3)+1,1,2,3,4)),""))</x:f>
        <x:v>151</x:v>
      </x:c>
      <x:c r="J13" s="5">
        <x:f t="shared" si="7"/>
        <x:v>3</x:v>
      </x:c>
      <x:c r="K13" s="5">
        <x:f t="shared" si="8"/>
        <x:v>6</x:v>
      </x:c>
      <x:c r="L13" s="5">
        <x:f t="shared" si="9"/>
        <x:v>-8</x:v>
      </x:c>
      <x:c r="M13" s="5">
        <x:f t="shared" si="4"/>
        <x:v>-1</x:v>
      </x:c>
      <x:c r="N13" s="6">
        <x:f t="shared" si="5"/>
        <x:v>0</x:v>
      </x:c>
      <x:c r="O13" s="24">
        <x:f t="shared" si="10"/>
        <x:v>0</x:v>
      </x:c>
      <x:c r="R13" s="62">
        <x:f t="shared" si="0"/>
        <x:v>14</x:v>
      </x:c>
      <x:c r="S13" s="57">
        <x:f t="shared" si="6"/>
        <x:v>14010</x:v>
      </x:c>
      <x:c r="T13" s="57">
        <x:f t="shared" si="1"/>
        <x:v>15</x:v>
      </x:c>
      <x:c r="U13" s="63"/>
    </x:row>
    <x:row r="14" spans="1:21" ht="24.949999999999999" customHeight="1">
      <x:c r="A14" s="18">
        <x:v>11</x:v>
      </x:c>
      <x:c r="B14" s="19" t="s">
        <x:v>19</x:v>
      </x:c>
      <x:c r="C14" s="20">
        <x:v>266</x:v>
      </x:c>
      <x:c r="D14" s="20">
        <x:v>169</x:v>
      </x:c>
      <x:c r="E14" s="20">
        <x:v>224</x:v>
      </x:c>
      <x:c r="F14" s="20">
        <x:v>178</x:v>
      </x:c>
      <x:c r="G14" s="21">
        <x:f t="shared" si="2"/>
        <x:v>837</x:v>
      </x:c>
      <x:c r="H14" s="22">
        <x:f t="shared" si="3"/>
        <x:v>209.25</x:v>
      </x:c>
      <x:c r="I14" s="23">
        <x:f>IF(B14="","",IFERROR(INDEX('회원명단 및 기준에버'!D:G,MATCH(B14,'회원명단 및 기준에버'!$C:$C,0),CHOOSE(INT((MONTH($N$2)-1)/3)+1,1,2,3,4)),""))</x:f>
        <x:v>200</x:v>
      </x:c>
      <x:c r="J14" s="5">
        <x:f t="shared" si="7"/>
        <x:v>66</x:v>
      </x:c>
      <x:c r="K14" s="5">
        <x:f t="shared" si="8"/>
        <x:v>-31</x:v>
      </x:c>
      <x:c r="L14" s="5">
        <x:f t="shared" si="9"/>
        <x:v>24</x:v>
      </x:c>
      <x:c r="M14" s="5">
        <x:f t="shared" si="4"/>
        <x:v>-22</x:v>
      </x:c>
      <x:c r="N14" s="6">
        <x:f t="shared" si="5"/>
        <x:v>37</x:v>
      </x:c>
      <x:c r="O14" s="24">
        <x:f t="shared" si="10"/>
        <x:v>9.25</x:v>
      </x:c>
      <x:c r="R14" s="62">
        <x:f t="shared" si="0"/>
        <x:v>97</x:v>
      </x:c>
      <x:c r="S14" s="57">
        <x:f t="shared" si="6"/>
        <x:v>9347011</x:v>
      </x:c>
      <x:c r="T14" s="57">
        <x:f t="shared" si="1"/>
        <x:v>5</x:v>
      </x:c>
      <x:c r="U14" s="63"/>
    </x:row>
    <x:row r="15" spans="1:21" ht="24.949999999999999" customHeight="1">
      <x:c r="A15" s="18">
        <x:v>12</x:v>
      </x:c>
      <x:c r="B15" s="19" t="s">
        <x:v>34</x:v>
      </x:c>
      <x:c r="C15" s="20">
        <x:v>202</x:v>
      </x:c>
      <x:c r="D15" s="20">
        <x:v>186</x:v>
      </x:c>
      <x:c r="E15" s="20">
        <x:v>151</x:v>
      </x:c>
      <x:c r="F15" s="20">
        <x:v>177</x:v>
      </x:c>
      <x:c r="G15" s="21">
        <x:f t="shared" si="2"/>
        <x:v>716</x:v>
      </x:c>
      <x:c r="H15" s="22">
        <x:f t="shared" si="3"/>
        <x:v>179</x:v>
      </x:c>
      <x:c r="I15" s="23">
        <x:f>IF(B15="","",IFERROR(INDEX('회원명단 및 기준에버'!D:G,MATCH(B15,'회원명단 및 기준에버'!$C:$C,0),CHOOSE(INT((MONTH($N$2)-1)/3)+1,1,2,3,4)),""))</x:f>
        <x:v>182</x:v>
      </x:c>
      <x:c r="J15" s="5">
        <x:f t="shared" si="7"/>
        <x:v>20</x:v>
      </x:c>
      <x:c r="K15" s="5">
        <x:f t="shared" si="8"/>
        <x:v>4</x:v>
      </x:c>
      <x:c r="L15" s="5">
        <x:f t="shared" si="9"/>
        <x:v>-31</x:v>
      </x:c>
      <x:c r="M15" s="5">
        <x:f t="shared" si="4"/>
        <x:v>-5</x:v>
      </x:c>
      <x:c r="N15" s="6">
        <x:f t="shared" si="5"/>
        <x:v>-12</x:v>
      </x:c>
      <x:c r="O15" s="24">
        <x:f t="shared" si="10"/>
        <x:v>-3</x:v>
      </x:c>
      <x:c r="R15" s="62">
        <x:f t="shared" si="0"/>
        <x:v>51</x:v>
      </x:c>
      <x:c r="S15" s="57">
        <x:f t="shared" si="6"/>
        <x:v>-2948988</x:v>
      </x:c>
      <x:c r="T15" s="57">
        <x:f t="shared" si="1"/>
        <x:v>18</x:v>
      </x:c>
      <x:c r="U15" s="63"/>
    </x:row>
    <x:row r="16" spans="1:21" ht="24.949999999999999" customHeight="1">
      <x:c r="A16" s="18">
        <x:v>13</x:v>
      </x:c>
      <x:c r="B16" s="19" t="s">
        <x:v>25</x:v>
      </x:c>
      <x:c r="C16" s="20">
        <x:v>233</x:v>
      </x:c>
      <x:c r="D16" s="20">
        <x:v>191</x:v>
      </x:c>
      <x:c r="E16" s="20">
        <x:v>232</x:v>
      </x:c>
      <x:c r="F16" s="20">
        <x:v>187</x:v>
      </x:c>
      <x:c r="G16" s="21">
        <x:f t="shared" si="2"/>
        <x:v>843</x:v>
      </x:c>
      <x:c r="H16" s="22">
        <x:f t="shared" si="3"/>
        <x:v>210.75</x:v>
      </x:c>
      <x:c r="I16" s="23">
        <x:f>IF(B16="","",IFERROR(INDEX('회원명단 및 기준에버'!D:G,MATCH(B16,'회원명단 및 기준에버'!$C:$C,0),CHOOSE(INT((MONTH($N$2)-1)/3)+1,1,2,3,4)),""))</x:f>
        <x:v>194</x:v>
      </x:c>
      <x:c r="J16" s="5">
        <x:f t="shared" si="7"/>
        <x:v>39</x:v>
      </x:c>
      <x:c r="K16" s="5">
        <x:f t="shared" si="8"/>
        <x:v>-3</x:v>
      </x:c>
      <x:c r="L16" s="5">
        <x:f t="shared" si="9"/>
        <x:v>38</x:v>
      </x:c>
      <x:c r="M16" s="5">
        <x:f t="shared" si="4"/>
        <x:v>-7</x:v>
      </x:c>
      <x:c r="N16" s="6">
        <x:f t="shared" si="5"/>
        <x:v>67</x:v>
      </x:c>
      <x:c r="O16" s="24">
        <x:f t="shared" si="10"/>
        <x:v>16.75</x:v>
      </x:c>
      <x:c r="R16" s="62">
        <x:f t="shared" si="0"/>
        <x:v>46</x:v>
      </x:c>
      <x:c r="S16" s="57">
        <x:f t="shared" si="6"/>
        <x:v>16796013</x:v>
      </x:c>
      <x:c r="T16" s="57">
        <x:f t="shared" si="1"/>
        <x:v>2</x:v>
      </x:c>
      <x:c r="U16" s="63"/>
    </x:row>
    <x:row r="17" spans="1:21" ht="24.949999999999999" customHeight="1">
      <x:c r="A17" s="18">
        <x:v>14</x:v>
      </x:c>
      <x:c r="B17" s="19" t="s">
        <x:v>38</x:v>
      </x:c>
      <x:c r="C17" s="20">
        <x:v>173</x:v>
      </x:c>
      <x:c r="D17" s="20">
        <x:v>248</x:v>
      </x:c>
      <x:c r="E17" s="20">
        <x:v>161</x:v>
      </x:c>
      <x:c r="F17" s="20">
        <x:v>277</x:v>
      </x:c>
      <x:c r="G17" s="21">
        <x:f t="shared" si="2"/>
        <x:v>859</x:v>
      </x:c>
      <x:c r="H17" s="22">
        <x:f t="shared" si="3"/>
        <x:v>214.75</x:v>
      </x:c>
      <x:c r="I17" s="23">
        <x:f>IF(B17="","",IFERROR(INDEX('회원명단 및 기준에버'!D:G,MATCH(B17,'회원명단 및 기준에버'!$C:$C,0),CHOOSE(INT((MONTH($N$2)-1)/3)+1,1,2,3,4)),""))</x:f>
        <x:v>195</x:v>
      </x:c>
      <x:c r="J17" s="5">
        <x:f t="shared" si="7"/>
        <x:v>-22</x:v>
      </x:c>
      <x:c r="K17" s="5">
        <x:f t="shared" si="8"/>
        <x:v>53</x:v>
      </x:c>
      <x:c r="L17" s="5">
        <x:f t="shared" si="9"/>
        <x:v>-34</x:v>
      </x:c>
      <x:c r="M17" s="5">
        <x:f t="shared" si="4"/>
        <x:v>82</x:v>
      </x:c>
      <x:c r="N17" s="6">
        <x:f t="shared" si="5"/>
        <x:v>79</x:v>
      </x:c>
      <x:c r="O17" s="24">
        <x:f t="shared" si="10"/>
        <x:v>19.75</x:v>
      </x:c>
      <x:c r="R17" s="62">
        <x:f t="shared" si="0"/>
        <x:v>116</x:v>
      </x:c>
      <x:c r="S17" s="57">
        <x:f t="shared" si="6"/>
        <x:v>19866014</x:v>
      </x:c>
      <x:c r="T17" s="57">
        <x:f t="shared" si="1"/>
        <x:v>1</x:v>
      </x:c>
      <x:c r="U17" s="63"/>
    </x:row>
    <x:row r="18" spans="1:21" ht="24.949999999999999" customHeight="1">
      <x:c r="A18" s="18">
        <x:v>15</x:v>
      </x:c>
      <x:c r="B18" s="19" t="s">
        <x:v>13</x:v>
      </x:c>
      <x:c r="C18" s="20">
        <x:v>151</x:v>
      </x:c>
      <x:c r="D18" s="20">
        <x:v>137</x:v>
      </x:c>
      <x:c r="E18" s="20">
        <x:v>210</x:v>
      </x:c>
      <x:c r="F18" s="20">
        <x:v>169</x:v>
      </x:c>
      <x:c r="G18" s="21">
        <x:f t="shared" si="2"/>
        <x:v>667</x:v>
      </x:c>
      <x:c r="H18" s="22">
        <x:f t="shared" si="3"/>
        <x:v>166.75</x:v>
      </x:c>
      <x:c r="I18" s="23">
        <x:f>IF(B18="","",IFERROR(INDEX('회원명단 및 기준에버'!D:G,MATCH(B18,'회원명단 및 기준에버'!$C:$C,0),CHOOSE(INT((MONTH($N$2)-1)/3)+1,1,2,3,4)),""))</x:f>
        <x:v>165</x:v>
      </x:c>
      <x:c r="J18" s="5">
        <x:f t="shared" si="7"/>
        <x:v>-14</x:v>
      </x:c>
      <x:c r="K18" s="5">
        <x:f t="shared" si="8"/>
        <x:v>-28</x:v>
      </x:c>
      <x:c r="L18" s="5">
        <x:f t="shared" si="9"/>
        <x:v>45</x:v>
      </x:c>
      <x:c r="M18" s="5">
        <x:f t="shared" si="4"/>
        <x:v>4</x:v>
      </x:c>
      <x:c r="N18" s="6">
        <x:f t="shared" si="5"/>
        <x:v>7</x:v>
      </x:c>
      <x:c r="O18" s="24">
        <x:f t="shared" si="10"/>
        <x:v>1.75</x:v>
      </x:c>
      <x:c r="R18" s="62">
        <x:f t="shared" si="0"/>
        <x:v>73</x:v>
      </x:c>
      <x:c r="S18" s="57">
        <x:f t="shared" si="6"/>
        <x:v>1823015</x:v>
      </x:c>
      <x:c r="T18" s="57">
        <x:f t="shared" si="1"/>
        <x:v>11</x:v>
      </x:c>
      <x:c r="U18" s="63"/>
    </x:row>
    <x:row r="19" spans="1:21" ht="24.949999999999999" customHeight="1">
      <x:c r="A19" s="18">
        <x:v>16</x:v>
      </x:c>
      <x:c r="B19" s="19" t="s">
        <x:v>29</x:v>
      </x:c>
      <x:c r="C19" s="20">
        <x:v>191</x:v>
      </x:c>
      <x:c r="D19" s="20">
        <x:v>245</x:v>
      </x:c>
      <x:c r="E19" s="20">
        <x:v>190</x:v>
      </x:c>
      <x:c r="F19" s="20">
        <x:v>192</x:v>
      </x:c>
      <x:c r="G19" s="21">
        <x:f t="shared" si="2"/>
        <x:v>818</x:v>
      </x:c>
      <x:c r="H19" s="22">
        <x:f t="shared" si="3"/>
        <x:v>204.5</x:v>
      </x:c>
      <x:c r="I19" s="23">
        <x:f>IF(B19="","",IFERROR(INDEX('회원명단 및 기준에버'!D:G,MATCH(B19,'회원명단 및 기준에버'!$C:$C,0),CHOOSE(INT((MONTH($N$2)-1)/3)+1,1,2,3,4)),""))</x:f>
        <x:v>200</x:v>
      </x:c>
      <x:c r="J19" s="5">
        <x:f t="shared" si="7"/>
        <x:v>-9</x:v>
      </x:c>
      <x:c r="K19" s="5">
        <x:f t="shared" si="8"/>
        <x:v>45</x:v>
      </x:c>
      <x:c r="L19" s="5">
        <x:f t="shared" si="9"/>
        <x:v>-10</x:v>
      </x:c>
      <x:c r="M19" s="5">
        <x:f t="shared" si="4"/>
        <x:v>-8</x:v>
      </x:c>
      <x:c r="N19" s="6">
        <x:f t="shared" si="5"/>
        <x:v>18</x:v>
      </x:c>
      <x:c r="O19" s="24">
        <x:f t="shared" si="10"/>
        <x:v>4.5</x:v>
      </x:c>
      <x:c r="R19" s="62">
        <x:f t="shared" si="0"/>
        <x:v>55</x:v>
      </x:c>
      <x:c r="S19" s="57">
        <x:f t="shared" si="6"/>
        <x:v>4555016</x:v>
      </x:c>
      <x:c r="T19" s="57">
        <x:f t="shared" si="1"/>
        <x:v>10</x:v>
      </x:c>
      <x:c r="U19" s="63"/>
    </x:row>
    <x:row r="20" spans="1:21" ht="24.949999999999999" customHeight="1">
      <x:c r="A20" s="18">
        <x:v>17</x:v>
      </x:c>
      <x:c r="B20" s="19" t="s">
        <x:v>3</x:v>
      </x:c>
      <x:c r="C20" s="20">
        <x:v>190</x:v>
      </x:c>
      <x:c r="D20" s="20">
        <x:v>217</x:v>
      </x:c>
      <x:c r="E20" s="20">
        <x:v>201</x:v>
      </x:c>
      <x:c r="F20" s="20">
        <x:v>201</x:v>
      </x:c>
      <x:c r="G20" s="21">
        <x:f t="shared" si="2"/>
        <x:v>809</x:v>
      </x:c>
      <x:c r="H20" s="22">
        <x:f t="shared" si="3"/>
        <x:v>202.25</x:v>
      </x:c>
      <x:c r="I20" s="23">
        <x:f>IF(B20="","",IFERROR(INDEX('회원명단 및 기준에버'!D:G,MATCH(B20,'회원명단 및 기준에버'!$C:$C,0),CHOOSE(INT((MONTH($N$2)-1)/3)+1,1,2,3,4)),""))</x:f>
        <x:v>192</x:v>
      </x:c>
      <x:c r="J20" s="5">
        <x:f t="shared" si="7"/>
        <x:v>-2</x:v>
      </x:c>
      <x:c r="K20" s="5">
        <x:f t="shared" si="8"/>
        <x:v>25</x:v>
      </x:c>
      <x:c r="L20" s="5">
        <x:f t="shared" si="9"/>
        <x:v>9</x:v>
      </x:c>
      <x:c r="M20" s="5">
        <x:f t="shared" si="4"/>
        <x:v>9</x:v>
      </x:c>
      <x:c r="N20" s="6">
        <x:f t="shared" si="5"/>
        <x:v>41</x:v>
      </x:c>
      <x:c r="O20" s="24">
        <x:f t="shared" si="10"/>
        <x:v>10.25</x:v>
      </x:c>
      <x:c r="R20" s="62">
        <x:f t="shared" si="0"/>
        <x:v>27</x:v>
      </x:c>
      <x:c r="S20" s="57">
        <x:f t="shared" si="6"/>
        <x:v>10277017</x:v>
      </x:c>
      <x:c r="T20" s="57">
        <x:f t="shared" si="1"/>
        <x:v>3</x:v>
      </x:c>
      <x:c r="U20" s="63"/>
    </x:row>
    <x:row r="21" spans="1:21" ht="24.949999999999999" customHeight="1">
      <x:c r="A21" s="18">
        <x:v>18</x:v>
      </x:c>
      <x:c r="B21" s="19" t="s">
        <x:v>17</x:v>
      </x:c>
      <x:c r="C21" s="20">
        <x:v>216</x:v>
      </x:c>
      <x:c r="D21" s="20">
        <x:v>159</x:v>
      </x:c>
      <x:c r="E21" s="20">
        <x:v>187</x:v>
      </x:c>
      <x:c r="F21" s="20">
        <x:v>199</x:v>
      </x:c>
      <x:c r="G21" s="21">
        <x:f t="shared" si="2"/>
        <x:v>761</x:v>
      </x:c>
      <x:c r="H21" s="22">
        <x:f t="shared" si="3"/>
        <x:v>190.25</x:v>
      </x:c>
      <x:c r="I21" s="23">
        <x:f>IF(B21="","",IFERROR(INDEX('회원명단 및 기준에버'!D:G,MATCH(B21,'회원명단 및 기준에버'!$C:$C,0),CHOOSE(INT((MONTH($N$2)-1)/3)+1,1,2,3,4)),""))</x:f>
        <x:v>184</x:v>
      </x:c>
      <x:c r="J21" s="5">
        <x:f t="shared" si="7"/>
        <x:v>32</x:v>
      </x:c>
      <x:c r="K21" s="5">
        <x:f t="shared" si="8"/>
        <x:v>-25</x:v>
      </x:c>
      <x:c r="L21" s="5">
        <x:f t="shared" si="9"/>
        <x:v>3</x:v>
      </x:c>
      <x:c r="M21" s="5">
        <x:f t="shared" si="4"/>
        <x:v>15</x:v>
      </x:c>
      <x:c r="N21" s="6">
        <x:f t="shared" si="5"/>
        <x:v>25</x:v>
      </x:c>
      <x:c r="O21" s="24">
        <x:f t="shared" si="10"/>
        <x:v>6.25</x:v>
      </x:c>
      <x:c r="R21" s="62">
        <x:f t="shared" si="0"/>
        <x:v>57</x:v>
      </x:c>
      <x:c r="S21" s="57">
        <x:f t="shared" si="6"/>
        <x:v>6307018</x:v>
      </x:c>
      <x:c r="T21" s="57">
        <x:f t="shared" si="1"/>
        <x:v>9</x:v>
      </x:c>
      <x:c r="U21" s="63"/>
    </x:row>
    <x:row r="22" spans="1:21" ht="24.949999999999999" customHeight="1">
      <x:c r="A22" s="18">
        <x:v>19</x:v>
      </x:c>
      <x:c r="B22" s="19" t="s">
        <x:v>26</x:v>
      </x:c>
      <x:c r="C22" s="20">
        <x:v>191</x:v>
      </x:c>
      <x:c r="D22" s="20">
        <x:v>201</x:v>
      </x:c>
      <x:c r="E22" s="20">
        <x:v>214</x:v>
      </x:c>
      <x:c r="F22" s="20">
        <x:v>215</x:v>
      </x:c>
      <x:c r="G22" s="21">
        <x:f t="shared" si="2"/>
        <x:v>821</x:v>
      </x:c>
      <x:c r="H22" s="22">
        <x:f t="shared" si="3"/>
        <x:v>205.25</x:v>
      </x:c>
      <x:c r="I22" s="23">
        <x:f>IF(B22="","",IFERROR(INDEX('회원명단 및 기준에버'!D:G,MATCH(B22,'회원명단 및 기준에버'!$C:$C,0),CHOOSE(INT((MONTH($N$2)-1)/3)+1,1,2,3,4)),""))</x:f>
        <x:v>195</x:v>
      </x:c>
      <x:c r="J22" s="5">
        <x:f t="shared" si="7"/>
        <x:v>-4</x:v>
      </x:c>
      <x:c r="K22" s="5">
        <x:f t="shared" si="8"/>
        <x:v>6</x:v>
      </x:c>
      <x:c r="L22" s="5">
        <x:f t="shared" si="9"/>
        <x:v>19</x:v>
      </x:c>
      <x:c r="M22" s="5">
        <x:f t="shared" si="4"/>
        <x:v>20</x:v>
      </x:c>
      <x:c r="N22" s="6">
        <x:f t="shared" si="5"/>
        <x:v>41</x:v>
      </x:c>
      <x:c r="O22" s="24">
        <x:f t="shared" si="10"/>
        <x:v>10.25</x:v>
      </x:c>
      <x:c r="R22" s="62">
        <x:f t="shared" si="0"/>
        <x:v>24</x:v>
      </x:c>
      <x:c r="S22" s="57">
        <x:f t="shared" si="6"/>
        <x:v>10274019</x:v>
      </x:c>
      <x:c r="T22" s="57">
        <x:f t="shared" si="1"/>
        <x:v>4</x:v>
      </x:c>
      <x:c r="U22" s="63"/>
    </x:row>
    <x:row r="23" spans="1:21" ht="24.949999999999999" customHeight="1">
      <x:c r="A23" s="18">
        <x:v>20</x:v>
      </x:c>
      <x:c r="B23" s="19" t="s">
        <x:v>28</x:v>
      </x:c>
      <x:c r="C23" s="20">
        <x:v>235</x:v>
      </x:c>
      <x:c r="D23" s="20">
        <x:v>196</x:v>
      </x:c>
      <x:c r="E23" s="20">
        <x:v>168</x:v>
      </x:c>
      <x:c r="F23" s="20">
        <x:v>212</x:v>
      </x:c>
      <x:c r="G23" s="21">
        <x:f t="shared" si="2"/>
        <x:v>811</x:v>
      </x:c>
      <x:c r="H23" s="22">
        <x:f t="shared" si="3"/>
        <x:v>202.75</x:v>
      </x:c>
      <x:c r="I23" s="23">
        <x:f>IF(B23="","",IFERROR(INDEX('회원명단 및 기준에버'!D:G,MATCH(B23,'회원명단 및 기준에버'!$C:$C,0),CHOOSE(INT((MONTH($N$2)-1)/3)+1,1,2,3,4)),""))</x:f>
        <x:v>200</x:v>
      </x:c>
      <x:c r="J23" s="5">
        <x:v>0</x:v>
      </x:c>
      <x:c r="K23" s="5">
        <x:v>0</x:v>
      </x:c>
      <x:c r="L23" s="5">
        <x:v>0</x:v>
      </x:c>
      <x:c r="M23" s="5">
        <x:v>0</x:v>
      </x:c>
      <x:c r="N23" s="6">
        <x:f t="shared" si="5"/>
        <x:v>0</x:v>
      </x:c>
      <x:c r="O23" s="24">
        <x:v>0</x:v>
      </x:c>
      <x:c r="R23" s="62">
        <x:f t="shared" si="0"/>
        <x:v>67</x:v>
      </x:c>
      <x:c r="S23" s="57">
        <x:f t="shared" si="6"/>
        <x:v>67020</x:v>
      </x:c>
      <x:c r="T23" s="57">
        <x:f t="shared" si="1"/>
        <x:v>12</x:v>
      </x:c>
      <x:c r="U23" s="63"/>
    </x:row>
    <x:row r="24" spans="1:15" s="11" customFormat="1" ht="24.949999999999999" customHeight="1">
      <x:c r="A24" s="12"/>
      <x:c r="B24" s="120" t="s">
        <x:v>21</x:v>
      </x:c>
      <x:c r="C24" s="121"/>
      <x:c r="D24" s="121"/>
      <x:c r="E24" s="121"/>
      <x:c r="F24" s="120"/>
      <x:c r="G24" s="121"/>
      <x:c r="H24" s="121"/>
      <x:c r="I24" s="121"/>
      <x:c r="J24" s="121"/>
      <x:c r="K24" s="121"/>
      <x:c r="L24" s="121"/>
      <x:c r="M24" s="120"/>
      <x:c r="N24" s="121"/>
      <x:c r="O24" s="122"/>
    </x:row>
    <x:row r="25" spans="2:15" s="11" customFormat="1" ht="24.949999999999999" customHeight="1">
      <x:c r="B25" s="26" t="str">
        <x:f>$B4</x:f>
        <x:v>장 영 민</x:v>
      </x:c>
      <x:c r="C25" s="27">
        <x:f>IF($S$2=0,$C4,$J4)</x:f>
        <x:v>199</x:v>
      </x:c>
      <x:c r="D25" s="93">
        <x:f>IF($S$2=0,$D4,$K4)</x:f>
        <x:v>248</x:v>
      </x:c>
      <x:c r="E25" s="93">
        <x:f>IF($S$2=0,$E4,$L4)</x:f>
        <x:v>203</x:v>
      </x:c>
      <x:c r="F25" s="27">
        <x:f>IF($S$2=0,$F4,$M4)</x:f>
        <x:v>181</x:v>
      </x:c>
      <x:c r="G25" s="123">
        <x:f>E30+D30+C30+F30</x:f>
        <x:v>3880</x:v>
      </x:c>
      <x:c r="H25" s="115">
        <x:v>3</x:v>
      </x:c>
      <x:c r="I25" s="28" t="str">
        <x:f>$B9</x:f>
        <x:v>변 상 필</x:v>
      </x:c>
      <x:c r="J25" s="27">
        <x:f>IF($S$2=0,$C9,$J9)</x:f>
        <x:v>169</x:v>
      </x:c>
      <x:c r="K25" s="93">
        <x:f>IF($S$2=0,$D9,$K9)</x:f>
        <x:v>243</x:v>
      </x:c>
      <x:c r="L25" s="27">
        <x:f>IF($S$2=0,$E9,$L9)</x:f>
        <x:v>165</x:v>
      </x:c>
      <x:c r="M25" s="47">
        <x:f>IF($S$2=0,$F9,$M9)</x:f>
        <x:v>188</x:v>
      </x:c>
      <x:c r="N25" s="129">
        <x:f>L30+K30+J30+M30</x:f>
        <x:v>3780</x:v>
      </x:c>
      <x:c r="O25" s="126">
        <x:v>4</x:v>
      </x:c>
    </x:row>
    <x:row r="26" spans="2:15" s="11" customFormat="1" ht="24.949999999999999" customHeight="1">
      <x:c r="B26" s="29" t="str">
        <x:f>$B5</x:f>
        <x:v>지 옥 명</x:v>
      </x:c>
      <x:c r="C26" s="92">
        <x:f>IF($S$2=0,$C5,$J5)</x:f>
        <x:v>201</x:v>
      </x:c>
      <x:c r="D26" s="4">
        <x:f>IF($S$2=0,$D5,$K5)</x:f>
        <x:v>182</x:v>
      </x:c>
      <x:c r="E26" s="4">
        <x:f>IF($S$2=0,$E5,$L5)</x:f>
        <x:v>185</x:v>
      </x:c>
      <x:c r="F26" s="4">
        <x:f>IF($S$2=0,$F5,$M5)</x:f>
        <x:v>156</x:v>
      </x:c>
      <x:c r="G26" s="124"/>
      <x:c r="H26" s="116"/>
      <x:c r="I26" s="29" t="str">
        <x:f>$B10</x:f>
        <x:v>임 승 기</x:v>
      </x:c>
      <x:c r="J26" s="92">
        <x:f>IF($S$2=0,$C10,$J10)</x:f>
        <x:v>227</x:v>
      </x:c>
      <x:c r="K26" s="4">
        <x:f>IF($S$2=0,$D10,$K10)</x:f>
        <x:v>182</x:v>
      </x:c>
      <x:c r="L26" s="92">
        <x:f>IF($S$2=0,$E10,$L10)</x:f>
        <x:v>213</x:v>
      </x:c>
      <x:c r="M26" s="92">
        <x:f>IF($S$2=0,$F10,$M10)</x:f>
        <x:v>233</x:v>
      </x:c>
      <x:c r="N26" s="130"/>
      <x:c r="O26" s="127"/>
    </x:row>
    <x:row r="27" spans="2:15" s="11" customFormat="1" ht="24.949999999999999" customHeight="1">
      <x:c r="B27" s="29" t="str">
        <x:f>$B6</x:f>
        <x:v>김 태 환</x:v>
      </x:c>
      <x:c r="C27" s="4">
        <x:f>IF($S$2=0,$C6,$J6)</x:f>
        <x:v>182</x:v>
      </x:c>
      <x:c r="D27" s="92">
        <x:f>IF($S$2=0,$D6,$K6)</x:f>
        <x:v>212</x:v>
      </x:c>
      <x:c r="E27" s="92">
        <x:f>IF($S$2=0,$E6,$L6)</x:f>
        <x:v>233</x:v>
      </x:c>
      <x:c r="F27" s="4">
        <x:f>IF($S$2=0,$F6,$M6)</x:f>
        <x:v>190</x:v>
      </x:c>
      <x:c r="G27" s="124"/>
      <x:c r="H27" s="116"/>
      <x:c r="I27" s="29" t="str">
        <x:f>$B11</x:f>
        <x:v>정 영 우</x:v>
      </x:c>
      <x:c r="J27" s="92">
        <x:f>IF($S$2=0,$C11,$J11)</x:f>
        <x:v>203</x:v>
      </x:c>
      <x:c r="K27" s="92">
        <x:f>IF($S$2=0,$D11,$K11)</x:f>
        <x:v>253</x:v>
      </x:c>
      <x:c r="L27" s="4">
        <x:f>IF($S$2=0,$E11,$L11)</x:f>
        <x:v>167</x:v>
      </x:c>
      <x:c r="M27" s="4">
        <x:f>IF($S$2=0,$F11,$M11)</x:f>
        <x:v>140</x:v>
      </x:c>
      <x:c r="N27" s="130"/>
      <x:c r="O27" s="127"/>
    </x:row>
    <x:row r="28" spans="2:15" s="11" customFormat="1" ht="24.949999999999999" customHeight="1">
      <x:c r="B28" s="29" t="str">
        <x:f>$B7</x:f>
        <x:v>강 완 규</x:v>
      </x:c>
      <x:c r="C28" s="4">
        <x:f>IF($S$2=0,$C7,$J7)</x:f>
        <x:v>182</x:v>
      </x:c>
      <x:c r="D28" s="4">
        <x:f>IF($S$2=0,$D7,$K7)</x:f>
        <x:v>182</x:v>
      </x:c>
      <x:c r="E28" s="4">
        <x:f>IF($S$2=0,$E7,$L7)</x:f>
        <x:v>194</x:v>
      </x:c>
      <x:c r="F28" s="4">
        <x:f>IF($S$2=0,$F7,$M7)</x:f>
        <x:v>192</x:v>
      </x:c>
      <x:c r="G28" s="124"/>
      <x:c r="H28" s="116"/>
      <x:c r="I28" s="29" t="str">
        <x:f>$B12</x:f>
        <x:v>천 성 일</x:v>
      </x:c>
      <x:c r="J28" s="4">
        <x:f>IF($S$2=0,$C12,$J12)</x:f>
        <x:v>181</x:v>
      </x:c>
      <x:c r="K28" s="92">
        <x:f>IF($S$2=0,$D12,$K12)</x:f>
        <x:v>207</x:v>
      </x:c>
      <x:c r="L28" s="4">
        <x:f>IF($S$2=0,$E12,$L12)</x:f>
        <x:v>190</x:v>
      </x:c>
      <x:c r="M28" s="92">
        <x:f>IF($S$2=0,$F12,$M12)</x:f>
        <x:v>215</x:v>
      </x:c>
      <x:c r="N28" s="130"/>
      <x:c r="O28" s="127"/>
    </x:row>
    <x:row r="29" spans="2:15" s="11" customFormat="1" ht="24.949999999999999" customHeight="1">
      <x:c r="B29" s="29" t="str">
        <x:f>$B8</x:f>
        <x:v>박 성 현</x:v>
      </x:c>
      <x:c r="C29" s="4">
        <x:f>IF($S$2=0,$C8,$J8)</x:f>
        <x:v>156</x:v>
      </x:c>
      <x:c r="D29" s="92">
        <x:f>IF($S$2=0,$D8,$K8)</x:f>
        <x:v>222</x:v>
      </x:c>
      <x:c r="E29" s="4">
        <x:f>IF($S$2=0,$E8,$L8)</x:f>
        <x:v>188</x:v>
      </x:c>
      <x:c r="F29" s="4">
        <x:f>IF($S$2=0,$F8,$M8)</x:f>
        <x:v>192</x:v>
      </x:c>
      <x:c r="G29" s="124"/>
      <x:c r="H29" s="116"/>
      <x:c r="I29" s="29" t="str">
        <x:f>$B13</x:f>
        <x:v>손 은 주</x:v>
      </x:c>
      <x:c r="J29" s="4">
        <x:f>IF($S$2=0,$C13,$J13)</x:f>
        <x:v>154</x:v>
      </x:c>
      <x:c r="K29" s="4">
        <x:f>IF($S$2=0,$D13,$K13)</x:f>
        <x:v>157</x:v>
      </x:c>
      <x:c r="L29" s="4">
        <x:f>IF($S$2=0,$E13,$L13)</x:f>
        <x:v>143</x:v>
      </x:c>
      <x:c r="M29" s="4">
        <x:f>IF($S$2=0,$F13,$M13)</x:f>
        <x:v>150</x:v>
      </x:c>
      <x:c r="N29" s="130"/>
      <x:c r="O29" s="127"/>
    </x:row>
    <x:row r="30" spans="2:15" s="11" customFormat="1" ht="24.949999999999999" customHeight="1">
      <x:c r="B30" s="30"/>
      <x:c r="C30" s="31">
        <x:f>SUM(C25:C29)</x:f>
        <x:v>920</x:v>
      </x:c>
      <x:c r="D30" s="94">
        <x:f>SUM(D25:D29)</x:f>
        <x:v>1046</x:v>
      </x:c>
      <x:c r="E30" s="94">
        <x:f>SUM(E25:E29)</x:f>
        <x:v>1003</x:v>
      </x:c>
      <x:c r="F30" s="31">
        <x:f>SUM(F25:F29)</x:f>
        <x:v>911</x:v>
      </x:c>
      <x:c r="G30" s="125"/>
      <x:c r="H30" s="117"/>
      <x:c r="I30" s="30"/>
      <x:c r="J30" s="31">
        <x:f>SUM(J25:J29)</x:f>
        <x:v>934</x:v>
      </x:c>
      <x:c r="K30" s="94">
        <x:f>SUM(K25:K29)</x:f>
        <x:v>1042</x:v>
      </x:c>
      <x:c r="L30" s="31">
        <x:f>SUM(L25:L29)</x:f>
        <x:v>878</x:v>
      </x:c>
      <x:c r="M30" s="31">
        <x:f>SUM(M25:M29)</x:f>
        <x:v>926</x:v>
      </x:c>
      <x:c r="N30" s="131"/>
      <x:c r="O30" s="128"/>
    </x:row>
    <x:row r="31" s="11" customFormat="1" ht="9.9499999999999993" customHeight="1"/>
    <x:row r="32" spans="2:15" s="11" customFormat="1" ht="24.949999999999999" customHeight="1">
      <x:c r="B32" s="26" t="str">
        <x:f>$B14</x:f>
        <x:v>최 현 수</x:v>
      </x:c>
      <x:c r="C32" s="93">
        <x:f>IF($S$2=0,$C14,$J14)</x:f>
        <x:v>266</x:v>
      </x:c>
      <x:c r="D32" s="27">
        <x:f>IF($S$2=0,$D14,$K14)</x:f>
        <x:v>169</x:v>
      </x:c>
      <x:c r="E32" s="93">
        <x:f>IF($S$2=0,$E14,$L14)</x:f>
        <x:v>224</x:v>
      </x:c>
      <x:c r="F32" s="27">
        <x:f>IF($S$2=0,$F14,$M14)</x:f>
        <x:v>178</x:v>
      </x:c>
      <x:c r="G32" s="123">
        <x:f>E37+D37+C37+F37</x:f>
        <x:v>3922</x:v>
      </x:c>
      <x:c r="H32" s="115">
        <x:v>2</x:v>
      </x:c>
      <x:c r="I32" s="28" t="str">
        <x:f>$B19</x:f>
        <x:v>이 대 용</x:v>
      </x:c>
      <x:c r="J32" s="27">
        <x:f>IF($S$2=0,$C19,$J19)</x:f>
        <x:v>191</x:v>
      </x:c>
      <x:c r="K32" s="93">
        <x:f>IF($S$2=0,$D19,$K19)</x:f>
        <x:v>245</x:v>
      </x:c>
      <x:c r="L32" s="27">
        <x:f>IF($S$2=0,$E19,$L19)</x:f>
        <x:v>190</x:v>
      </x:c>
      <x:c r="M32" s="47">
        <x:f>IF($S$2=0,$F19,$M19)</x:f>
        <x:v>192</x:v>
      </x:c>
      <x:c r="N32" s="141">
        <x:f>L37+K37+J37+M37</x:f>
        <x:v>4020</x:v>
      </x:c>
      <x:c r="O32" s="126">
        <x:v>1</x:v>
      </x:c>
    </x:row>
    <x:row r="33" spans="2:15" s="12" customFormat="1" ht="24.949999999999999" customHeight="1">
      <x:c r="B33" s="29" t="str">
        <x:f>$B15</x:f>
        <x:v>김 미 란</x:v>
      </x:c>
      <x:c r="C33" s="92">
        <x:f>IF($S$2=0,$C15,$J15)</x:f>
        <x:v>202</x:v>
      </x:c>
      <x:c r="D33" s="4">
        <x:f>IF($S$2=0,$D15,$K15)</x:f>
        <x:v>186</x:v>
      </x:c>
      <x:c r="E33" s="4">
        <x:f>IF($S$2=0,$E15,$L15)</x:f>
        <x:v>151</x:v>
      </x:c>
      <x:c r="F33" s="4">
        <x:f>IF($S$2=0,$F15,$M15)</x:f>
        <x:v>177</x:v>
      </x:c>
      <x:c r="G33" s="124"/>
      <x:c r="H33" s="116"/>
      <x:c r="I33" s="29" t="str">
        <x:f>$B20</x:f>
        <x:v>나 경 주</x:v>
      </x:c>
      <x:c r="J33" s="4">
        <x:f>IF($S$2=0,$C20,$J20)</x:f>
        <x:v>190</x:v>
      </x:c>
      <x:c r="K33" s="92">
        <x:f>IF($S$2=0,$D20,$K20)</x:f>
        <x:v>217</x:v>
      </x:c>
      <x:c r="L33" s="92">
        <x:f>IF($S$2=0,$E20,$L20)</x:f>
        <x:v>201</x:v>
      </x:c>
      <x:c r="M33" s="92">
        <x:f>IF($S$2=0,$F20,$M20)</x:f>
        <x:v>201</x:v>
      </x:c>
      <x:c r="N33" s="142"/>
      <x:c r="O33" s="127"/>
    </x:row>
    <x:row r="34" spans="2:15" s="12" customFormat="1" ht="24.949999999999999" customHeight="1">
      <x:c r="B34" s="29" t="str">
        <x:f>$B16</x:f>
        <x:v>임 연 진</x:v>
      </x:c>
      <x:c r="C34" s="92">
        <x:f>IF($S$2=0,$C16,$J16)</x:f>
        <x:v>233</x:v>
      </x:c>
      <x:c r="D34" s="4">
        <x:f>IF($S$2=0,$D16,$K16)</x:f>
        <x:v>191</x:v>
      </x:c>
      <x:c r="E34" s="92">
        <x:f>IF($S$2=0,$E16,$L16)</x:f>
        <x:v>232</x:v>
      </x:c>
      <x:c r="F34" s="4">
        <x:f>IF($S$2=0,$F16,$M16)</x:f>
        <x:v>187</x:v>
      </x:c>
      <x:c r="G34" s="124"/>
      <x:c r="H34" s="116"/>
      <x:c r="I34" s="29" t="str">
        <x:f>$B21</x:f>
        <x:v>황 인 교</x:v>
      </x:c>
      <x:c r="J34" s="92">
        <x:f>IF($S$2=0,$C21,$J21)</x:f>
        <x:v>216</x:v>
      </x:c>
      <x:c r="K34" s="4">
        <x:f>IF($S$2=0,$D21,$K21)</x:f>
        <x:v>159</x:v>
      </x:c>
      <x:c r="L34" s="4">
        <x:f>IF($S$2=0,$E21,$L21)</x:f>
        <x:v>187</x:v>
      </x:c>
      <x:c r="M34" s="4">
        <x:f>IF($S$2=0,$F21,$M21)</x:f>
        <x:v>199</x:v>
      </x:c>
      <x:c r="N34" s="142"/>
      <x:c r="O34" s="127"/>
    </x:row>
    <x:row r="35" spans="2:15" s="12" customFormat="1" ht="24.949999999999999" customHeight="1">
      <x:c r="B35" s="29" t="str">
        <x:f>$B17</x:f>
        <x:v>고 경 훈</x:v>
      </x:c>
      <x:c r="C35" s="4">
        <x:f>IF($S$2=0,$C17,$J17)</x:f>
        <x:v>173</x:v>
      </x:c>
      <x:c r="D35" s="92">
        <x:f>IF($S$2=0,$D17,$K17)</x:f>
        <x:v>248</x:v>
      </x:c>
      <x:c r="E35" s="4">
        <x:f>IF($S$2=0,$E17,$L17)</x:f>
        <x:v>161</x:v>
      </x:c>
      <x:c r="F35" s="92">
        <x:f>IF($S$2=0,$F17,$M17)</x:f>
        <x:v>277</x:v>
      </x:c>
      <x:c r="G35" s="124"/>
      <x:c r="H35" s="116"/>
      <x:c r="I35" s="29" t="str">
        <x:f>$B22</x:f>
        <x:v>김 남 주</x:v>
      </x:c>
      <x:c r="J35" s="4">
        <x:f>IF($S$2=0,$C22,$J22)</x:f>
        <x:v>191</x:v>
      </x:c>
      <x:c r="K35" s="92">
        <x:f>IF($S$2=0,$D22,$K22)</x:f>
        <x:v>201</x:v>
      </x:c>
      <x:c r="L35" s="92">
        <x:f>IF($S$2=0,$E22,$L22)</x:f>
        <x:v>214</x:v>
      </x:c>
      <x:c r="M35" s="92">
        <x:f>IF($S$2=0,$F22,$M22)</x:f>
        <x:v>215</x:v>
      </x:c>
      <x:c r="N35" s="142"/>
      <x:c r="O35" s="127"/>
    </x:row>
    <x:row r="36" spans="2:15" s="12" customFormat="1" ht="24.949999999999999" customHeight="1">
      <x:c r="B36" s="29" t="str">
        <x:f>$B18</x:f>
        <x:v>이 승 미</x:v>
      </x:c>
      <x:c r="C36" s="4">
        <x:f>IF($S$2=0,$C18,$J18)</x:f>
        <x:v>151</x:v>
      </x:c>
      <x:c r="D36" s="4">
        <x:f>IF($S$2=0,$D18,$K18)</x:f>
        <x:v>137</x:v>
      </x:c>
      <x:c r="E36" s="92">
        <x:f>IF($S$2=0,$E18,$L18)</x:f>
        <x:v>210</x:v>
      </x:c>
      <x:c r="F36" s="4">
        <x:f>IF($S$2=0,$F18,$M18)</x:f>
        <x:v>169</x:v>
      </x:c>
      <x:c r="G36" s="124"/>
      <x:c r="H36" s="116"/>
      <x:c r="I36" s="29" t="str">
        <x:f>$B23</x:f>
        <x:v>김 정 희</x:v>
      </x:c>
      <x:c r="J36" s="92">
        <x:f>IF($S$2=0,$C23,$J23)</x:f>
        <x:v>235</x:v>
      </x:c>
      <x:c r="K36" s="4">
        <x:f>IF($S$2=0,$D23,$K23)</x:f>
        <x:v>196</x:v>
      </x:c>
      <x:c r="L36" s="4">
        <x:f>IF($S$2=0,$E23,$L23)</x:f>
        <x:v>168</x:v>
      </x:c>
      <x:c r="M36" s="92">
        <x:f>IF($S$2=0,$F23,$M23)</x:f>
        <x:v>212</x:v>
      </x:c>
      <x:c r="N36" s="142"/>
      <x:c r="O36" s="127"/>
    </x:row>
    <x:row r="37" spans="2:15" s="12" customFormat="1" ht="24.949999999999999" customHeight="1">
      <x:c r="B37" s="30"/>
      <x:c r="C37" s="94">
        <x:f>SUM(C32:C36)</x:f>
        <x:v>1025</x:v>
      </x:c>
      <x:c r="D37" s="31">
        <x:f>SUM(D32:D36)</x:f>
        <x:v>931</x:v>
      </x:c>
      <x:c r="E37" s="31">
        <x:f>SUM(E32:E36)</x:f>
        <x:v>978</x:v>
      </x:c>
      <x:c r="F37" s="31">
        <x:f>SUM(F32:F36)</x:f>
        <x:v>988</x:v>
      </x:c>
      <x:c r="G37" s="125"/>
      <x:c r="H37" s="117"/>
      <x:c r="I37" s="30"/>
      <x:c r="J37" s="94">
        <x:f>SUM(J32:J36)</x:f>
        <x:v>1023</x:v>
      </x:c>
      <x:c r="K37" s="94">
        <x:f>SUM(K32:K36)</x:f>
        <x:v>1018</x:v>
      </x:c>
      <x:c r="L37" s="31">
        <x:f>SUM(L32:L36)</x:f>
        <x:v>960</x:v>
      </x:c>
      <x:c r="M37" s="94">
        <x:f>SUM(M32:M36)</x:f>
        <x:v>1019</x:v>
      </x:c>
      <x:c r="N37" s="143"/>
      <x:c r="O37" s="128"/>
    </x:row>
    <x:row r="38" ht="24.949999999999999" customHeight="1"/>
    <x:row r="39" ht="24.949999999999999" customHeight="1"/>
    <x:row r="40" ht="24.949999999999999" customHeight="1"/>
    <x:row r="41" spans="1:15" ht="60" customHeight="1">
      <x:c r="A41" s="112" t="str">
        <x:f>A1</x:f>
        <x:v>2026 아르케 존 04회 번개 모임 점수</x:v>
      </x:c>
      <x:c r="B41" s="112"/>
      <x:c r="C41" s="112"/>
      <x:c r="D41" s="112"/>
      <x:c r="E41" s="112"/>
      <x:c r="F41" s="112"/>
      <x:c r="G41" s="112"/>
      <x:c r="H41" s="112"/>
      <x:c r="I41" s="112"/>
      <x:c r="J41" s="112"/>
      <x:c r="K41" s="112"/>
      <x:c r="L41" s="112"/>
      <x:c r="M41" s="112"/>
      <x:c r="N41" s="112"/>
      <x:c r="O41" s="112"/>
    </x:row>
    <x:row r="42" spans="1:15" ht="24.949999999999999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4" t="s">
        <x:v>48</x:v>
      </x:c>
      <x:c r="M42" s="34"/>
      <x:c r="N42" s="113">
        <x:f>N2</x:f>
        <x:v>46079</x:v>
      </x:c>
      <x:c r="O42" s="114"/>
    </x:row>
    <x:row r="43" spans="1:15" ht="24.949999999999999" customHeight="1">
      <x:c r="A43" s="13"/>
      <x:c r="B43" s="14" t="s">
        <x:v>14</x:v>
      </x:c>
      <x:c r="C43" s="14" t="s">
        <x:v>44</x:v>
      </x:c>
      <x:c r="D43" s="14" t="s">
        <x:v>55</x:v>
      </x:c>
      <x:c r="E43" s="14" t="s">
        <x:v>54</x:v>
      </x:c>
      <x:c r="F43" s="14" t="s">
        <x:v>53</x:v>
      </x:c>
      <x:c r="G43" s="14" t="s">
        <x:v>52</x:v>
      </x:c>
      <x:c r="H43" s="14" t="s">
        <x:v>47</x:v>
      </x:c>
      <x:c r="I43" s="15" t="s">
        <x:v>41</x:v>
      </x:c>
      <x:c r="J43" s="14" t="s">
        <x:v>44</x:v>
      </x:c>
      <x:c r="K43" s="14" t="s">
        <x:v>55</x:v>
      </x:c>
      <x:c r="L43" s="14" t="s">
        <x:v>54</x:v>
      </x:c>
      <x:c r="M43" s="14" t="s">
        <x:v>53</x:v>
      </x:c>
      <x:c r="N43" s="16" t="s">
        <x:v>52</x:v>
      </x:c>
      <x:c r="O43" s="17" t="s">
        <x:v>56</x:v>
      </x:c>
    </x:row>
    <x:row r="44" spans="1:15" ht="24.949999999999999" customHeight="1">
      <x:c r="A44" s="18">
        <x:v>1</x:v>
      </x:c>
      <x:c r="B44" s="19" t="str">
        <x:f t="array" ref="B44:B44">INDEX($B$4:$O$23,MATCH($A44,$T$4:$T$23,0),COLUMN(A$1))</x:f>
        <x:v>고 경 훈</x:v>
      </x:c>
      <x:c r="C44" s="20">
        <x:f t="array" ref="C44:C44">INDEX($B$4:$O$23,MATCH($A44,$T$4:$T$23,0),COLUMN(B$1))</x:f>
        <x:v>173</x:v>
      </x:c>
      <x:c r="D44" s="20">
        <x:f t="array" ref="D44:D44">INDEX($B$4:$O$23,MATCH($A44,$T$4:$T$23,0),COLUMN(C$1))</x:f>
        <x:v>248</x:v>
      </x:c>
      <x:c r="E44" s="20">
        <x:f t="array" ref="E44:E44">INDEX($B$4:$O$23,MATCH($A44,$T$4:$T$23,0),COLUMN(D$1))</x:f>
        <x:v>161</x:v>
      </x:c>
      <x:c r="F44" s="20">
        <x:f t="array" ref="F44:F44">INDEX($B$4:$O$23,MATCH($A44,$T$4:$T$23,0),COLUMN(E$1))</x:f>
        <x:v>277</x:v>
      </x:c>
      <x:c r="G44" s="21">
        <x:f>SUM(C44:F44)</x:f>
        <x:v>859</x:v>
      </x:c>
      <x:c r="H44" s="22">
        <x:f>G44/4</x:f>
        <x:v>214.75</x:v>
      </x:c>
      <x:c r="I44" s="23">
        <x:f>IF(B44="","",IFERROR(INDEX('회원명단 및 기준에버'!D:G,MATCH(B44,'회원명단 및 기준에버'!$C:$C,0),CHOOSE(INT((MONTH($N$2)-1)/3)+1,1,2,3,4)),""))</x:f>
        <x:v>195</x:v>
      </x:c>
      <x:c r="J44" s="5">
        <x:f>IFERROR(C44+-I44,0)</x:f>
        <x:v>-22</x:v>
      </x:c>
      <x:c r="K44" s="5">
        <x:f>IFERROR(D44+-I44,0)</x:f>
        <x:v>53</x:v>
      </x:c>
      <x:c r="L44" s="5">
        <x:f>IFERROR(E44+-I44,0)</x:f>
        <x:v>-34</x:v>
      </x:c>
      <x:c r="M44" s="5">
        <x:f>IFERROR(F44+-I44,0)</x:f>
        <x:v>82</x:v>
      </x:c>
      <x:c r="N44" s="6">
        <x:f>SUM(J44:M44)</x:f>
        <x:v>79</x:v>
      </x:c>
      <x:c r="O44" s="24">
        <x:f>IFERROR(H44+-I44,0)</x:f>
        <x:v>19.75</x:v>
      </x:c>
    </x:row>
    <x:row r="45" spans="1:15" ht="24.949999999999999" customHeight="1">
      <x:c r="A45" s="18">
        <x:v>2</x:v>
      </x:c>
      <x:c r="B45" s="19" t="str">
        <x:f t="array" ref="B45:B45">INDEX($B$4:$O$23,MATCH($A45,$T$4:$T$23,0),COLUMN(A$1))</x:f>
        <x:v>임 연 진</x:v>
      </x:c>
      <x:c r="C45" s="20">
        <x:f t="array" ref="C45:C45">INDEX($B$4:$O$23,MATCH($A45,$T$4:$T$23,0),COLUMN(B$1))</x:f>
        <x:v>233</x:v>
      </x:c>
      <x:c r="D45" s="20">
        <x:f t="array" ref="D45:D45">INDEX($B$4:$O$23,MATCH($A45,$T$4:$T$23,0),COLUMN(C$1))</x:f>
        <x:v>191</x:v>
      </x:c>
      <x:c r="E45" s="20">
        <x:f t="array" ref="E45:E45">INDEX($B$4:$O$23,MATCH($A45,$T$4:$T$23,0),COLUMN(D$1))</x:f>
        <x:v>232</x:v>
      </x:c>
      <x:c r="F45" s="20">
        <x:f t="array" ref="F45:F45">INDEX($B$4:$O$23,MATCH($A45,$T$4:$T$23,0),COLUMN(E$1))</x:f>
        <x:v>187</x:v>
      </x:c>
      <x:c r="G45" s="21">
        <x:f t="shared" ref="G45:G63" si="11">SUM(C45:F45)</x:f>
        <x:v>843</x:v>
      </x:c>
      <x:c r="H45" s="22">
        <x:f t="shared" ref="H45:H63" si="12">G45/4</x:f>
        <x:v>210.75</x:v>
      </x:c>
      <x:c r="I45" s="23">
        <x:f>IF(B45="","",IFERROR(INDEX('회원명단 및 기준에버'!D:G,MATCH(B45,'회원명단 및 기준에버'!$C:$C,0),CHOOSE(INT((MONTH($N$2)-1)/3)+1,1,2,3,4)),""))</x:f>
        <x:v>194</x:v>
      </x:c>
      <x:c r="J45" s="5">
        <x:f t="shared" ref="J45:J63" si="13">IFERROR(C45+-I45,0)</x:f>
        <x:v>39</x:v>
      </x:c>
      <x:c r="K45" s="5">
        <x:f t="shared" ref="K45:K63" si="14">IFERROR(D45+-I45,0)</x:f>
        <x:v>-3</x:v>
      </x:c>
      <x:c r="L45" s="5">
        <x:f t="shared" ref="L45:L63" si="15">IFERROR(E45+-I45,0)</x:f>
        <x:v>38</x:v>
      </x:c>
      <x:c r="M45" s="5">
        <x:f t="shared" ref="M45:M63" si="16">IFERROR(F45+-I45,0)</x:f>
        <x:v>-7</x:v>
      </x:c>
      <x:c r="N45" s="6">
        <x:f t="shared" ref="N45:N63" si="17">SUM(J45:M45)</x:f>
        <x:v>67</x:v>
      </x:c>
      <x:c r="O45" s="24">
        <x:f t="shared" ref="O45:O63" si="18">IFERROR(H45+-I45,0)</x:f>
        <x:v>16.75</x:v>
      </x:c>
    </x:row>
    <x:row r="46" spans="1:15" ht="24.949999999999999" customHeight="1">
      <x:c r="A46" s="18">
        <x:v>3</x:v>
      </x:c>
      <x:c r="B46" s="19" t="str">
        <x:f t="array" ref="B46:B46">INDEX($B$4:$O$23,MATCH($A46,$T$4:$T$23,0),COLUMN(A$1))</x:f>
        <x:v>나 경 주</x:v>
      </x:c>
      <x:c r="C46" s="20">
        <x:f t="array" ref="C46:C46">INDEX($B$4:$O$23,MATCH($A46,$T$4:$T$23,0),COLUMN(B$1))</x:f>
        <x:v>190</x:v>
      </x:c>
      <x:c r="D46" s="20">
        <x:f t="array" ref="D46:D46">INDEX($B$4:$O$23,MATCH($A46,$T$4:$T$23,0),COLUMN(C$1))</x:f>
        <x:v>217</x:v>
      </x:c>
      <x:c r="E46" s="20">
        <x:f t="array" ref="E46:E46">INDEX($B$4:$O$23,MATCH($A46,$T$4:$T$23,0),COLUMN(D$1))</x:f>
        <x:v>201</x:v>
      </x:c>
      <x:c r="F46" s="20">
        <x:f t="array" ref="F46:F46">INDEX($B$4:$O$23,MATCH($A46,$T$4:$T$23,0),COLUMN(E$1))</x:f>
        <x:v>201</x:v>
      </x:c>
      <x:c r="G46" s="21">
        <x:f t="shared" si="11"/>
        <x:v>809</x:v>
      </x:c>
      <x:c r="H46" s="22">
        <x:f t="shared" si="12"/>
        <x:v>202.25</x:v>
      </x:c>
      <x:c r="I46" s="23">
        <x:f>IF(B46="","",IFERROR(INDEX('회원명단 및 기준에버'!D:G,MATCH(B46,'회원명단 및 기준에버'!$C:$C,0),CHOOSE(INT((MONTH($N$2)-1)/3)+1,1,2,3,4)),""))</x:f>
        <x:v>192</x:v>
      </x:c>
      <x:c r="J46" s="5">
        <x:f t="shared" si="13"/>
        <x:v>-2</x:v>
      </x:c>
      <x:c r="K46" s="5">
        <x:f t="shared" si="14"/>
        <x:v>25</x:v>
      </x:c>
      <x:c r="L46" s="5">
        <x:f t="shared" si="15"/>
        <x:v>9</x:v>
      </x:c>
      <x:c r="M46" s="5">
        <x:f t="shared" si="16"/>
        <x:v>9</x:v>
      </x:c>
      <x:c r="N46" s="6">
        <x:f t="shared" si="17"/>
        <x:v>41</x:v>
      </x:c>
      <x:c r="O46" s="24">
        <x:f t="shared" si="18"/>
        <x:v>10.25</x:v>
      </x:c>
    </x:row>
    <x:row r="47" spans="1:15" ht="24.949999999999999" customHeight="1">
      <x:c r="A47" s="18">
        <x:v>4</x:v>
      </x:c>
      <x:c r="B47" s="19" t="str">
        <x:f t="array" ref="B47:B47">INDEX($B$4:$O$23,MATCH($A47,$T$4:$T$23,0),COLUMN(A$1))</x:f>
        <x:v>김 남 주</x:v>
      </x:c>
      <x:c r="C47" s="20">
        <x:f t="array" ref="C47:C47">INDEX($B$4:$O$23,MATCH($A47,$T$4:$T$23,0),COLUMN(B$1))</x:f>
        <x:v>191</x:v>
      </x:c>
      <x:c r="D47" s="20">
        <x:f t="array" ref="D47:D47">INDEX($B$4:$O$23,MATCH($A47,$T$4:$T$23,0),COLUMN(C$1))</x:f>
        <x:v>201</x:v>
      </x:c>
      <x:c r="E47" s="20">
        <x:f t="array" ref="E47:E47">INDEX($B$4:$O$23,MATCH($A47,$T$4:$T$23,0),COLUMN(D$1))</x:f>
        <x:v>214</x:v>
      </x:c>
      <x:c r="F47" s="20">
        <x:f t="array" ref="F47:F47">INDEX($B$4:$O$23,MATCH($A47,$T$4:$T$23,0),COLUMN(E$1))</x:f>
        <x:v>215</x:v>
      </x:c>
      <x:c r="G47" s="21">
        <x:f t="shared" si="11"/>
        <x:v>821</x:v>
      </x:c>
      <x:c r="H47" s="22">
        <x:f t="shared" si="12"/>
        <x:v>205.25</x:v>
      </x:c>
      <x:c r="I47" s="23">
        <x:f>IF(B47="","",IFERROR(INDEX('회원명단 및 기준에버'!D:G,MATCH(B47,'회원명단 및 기준에버'!$C:$C,0),CHOOSE(INT((MONTH($N$2)-1)/3)+1,1,2,3,4)),""))</x:f>
        <x:v>195</x:v>
      </x:c>
      <x:c r="J47" s="5">
        <x:f t="shared" si="13"/>
        <x:v>-4</x:v>
      </x:c>
      <x:c r="K47" s="5">
        <x:f t="shared" si="14"/>
        <x:v>6</x:v>
      </x:c>
      <x:c r="L47" s="5">
        <x:f t="shared" si="15"/>
        <x:v>19</x:v>
      </x:c>
      <x:c r="M47" s="5">
        <x:f t="shared" si="16"/>
        <x:v>20</x:v>
      </x:c>
      <x:c r="N47" s="6">
        <x:f t="shared" si="17"/>
        <x:v>41</x:v>
      </x:c>
      <x:c r="O47" s="24">
        <x:f t="shared" si="18"/>
        <x:v>10.25</x:v>
      </x:c>
    </x:row>
    <x:row r="48" spans="1:15" ht="24.949999999999999" customHeight="1">
      <x:c r="A48" s="18">
        <x:v>5</x:v>
      </x:c>
      <x:c r="B48" s="19" t="str">
        <x:f t="array" ref="B48:B48">INDEX($B$4:$O$23,MATCH($A48,$T$4:$T$23,0),COLUMN(A$1))</x:f>
        <x:v>최 현 수</x:v>
      </x:c>
      <x:c r="C48" s="20">
        <x:f t="array" ref="C48:C48">INDEX($B$4:$O$23,MATCH($A48,$T$4:$T$23,0),COLUMN(B$1))</x:f>
        <x:v>266</x:v>
      </x:c>
      <x:c r="D48" s="20">
        <x:f t="array" ref="D48:D48">INDEX($B$4:$O$23,MATCH($A48,$T$4:$T$23,0),COLUMN(C$1))</x:f>
        <x:v>169</x:v>
      </x:c>
      <x:c r="E48" s="20">
        <x:f t="array" ref="E48:E48">INDEX($B$4:$O$23,MATCH($A48,$T$4:$T$23,0),COLUMN(D$1))</x:f>
        <x:v>224</x:v>
      </x:c>
      <x:c r="F48" s="20">
        <x:f t="array" ref="F48:F48">INDEX($B$4:$O$23,MATCH($A48,$T$4:$T$23,0),COLUMN(E$1))</x:f>
        <x:v>178</x:v>
      </x:c>
      <x:c r="G48" s="21">
        <x:f t="shared" si="11"/>
        <x:v>837</x:v>
      </x:c>
      <x:c r="H48" s="22">
        <x:f t="shared" si="12"/>
        <x:v>209.25</x:v>
      </x:c>
      <x:c r="I48" s="23">
        <x:f>IF(B48="","",IFERROR(INDEX('회원명단 및 기준에버'!D:G,MATCH(B48,'회원명단 및 기준에버'!$C:$C,0),CHOOSE(INT((MONTH($N$2)-1)/3)+1,1,2,3,4)),""))</x:f>
        <x:v>200</x:v>
      </x:c>
      <x:c r="J48" s="5">
        <x:f t="shared" si="13"/>
        <x:v>66</x:v>
      </x:c>
      <x:c r="K48" s="5">
        <x:f t="shared" si="14"/>
        <x:v>-31</x:v>
      </x:c>
      <x:c r="L48" s="5">
        <x:f t="shared" si="15"/>
        <x:v>24</x:v>
      </x:c>
      <x:c r="M48" s="5">
        <x:f t="shared" si="16"/>
        <x:v>-22</x:v>
      </x:c>
      <x:c r="N48" s="6">
        <x:f t="shared" si="17"/>
        <x:v>37</x:v>
      </x:c>
      <x:c r="O48" s="24">
        <x:f t="shared" si="18"/>
        <x:v>9.25</x:v>
      </x:c>
    </x:row>
    <x:row r="49" spans="1:15" ht="24.949999999999999" customHeight="1">
      <x:c r="A49" s="18">
        <x:v>6</x:v>
      </x:c>
      <x:c r="B49" s="19" t="str">
        <x:f t="array" ref="B49:B49">INDEX($B$4:$O$23,MATCH($A49,$T$4:$T$23,0),COLUMN(A$1))</x:f>
        <x:v>장 영 민</x:v>
      </x:c>
      <x:c r="C49" s="20">
        <x:f t="array" ref="C49:C49">INDEX($B$4:$O$23,MATCH($A49,$T$4:$T$23,0),COLUMN(B$1))</x:f>
        <x:v>199</x:v>
      </x:c>
      <x:c r="D49" s="20">
        <x:f t="array" ref="D49:D49">INDEX($B$4:$O$23,MATCH($A49,$T$4:$T$23,0),COLUMN(C$1))</x:f>
        <x:v>248</x:v>
      </x:c>
      <x:c r="E49" s="20">
        <x:f t="array" ref="E49:E49">INDEX($B$4:$O$23,MATCH($A49,$T$4:$T$23,0),COLUMN(D$1))</x:f>
        <x:v>203</x:v>
      </x:c>
      <x:c r="F49" s="20">
        <x:f t="array" ref="F49:F49">INDEX($B$4:$O$23,MATCH($A49,$T$4:$T$23,0),COLUMN(E$1))</x:f>
        <x:v>181</x:v>
      </x:c>
      <x:c r="G49" s="21">
        <x:f t="shared" si="11"/>
        <x:v>831</x:v>
      </x:c>
      <x:c r="H49" s="22">
        <x:f t="shared" si="12"/>
        <x:v>207.75</x:v>
      </x:c>
      <x:c r="I49" s="23">
        <x:f>IF(B49="","",IFERROR(INDEX('회원명단 및 기준에버'!D:G,MATCH(B49,'회원명단 및 기준에버'!$C:$C,0),CHOOSE(INT((MONTH($N$2)-1)/3)+1,1,2,3,4)),""))</x:f>
        <x:v>200</x:v>
      </x:c>
      <x:c r="J49" s="5">
        <x:f t="shared" si="13"/>
        <x:v>-1</x:v>
      </x:c>
      <x:c r="K49" s="5">
        <x:f t="shared" si="14"/>
        <x:v>48</x:v>
      </x:c>
      <x:c r="L49" s="5">
        <x:f t="shared" si="15"/>
        <x:v>3</x:v>
      </x:c>
      <x:c r="M49" s="5">
        <x:f t="shared" si="16"/>
        <x:v>-19</x:v>
      </x:c>
      <x:c r="N49" s="6">
        <x:f t="shared" si="17"/>
        <x:v>31</x:v>
      </x:c>
      <x:c r="O49" s="24">
        <x:f t="shared" si="18"/>
        <x:v>7.75</x:v>
      </x:c>
    </x:row>
    <x:row r="50" spans="1:15" ht="24.949999999999999" customHeight="1">
      <x:c r="A50" s="18">
        <x:v>7</x:v>
      </x:c>
      <x:c r="B50" s="19" t="str">
        <x:f t="array" ref="B50:B50">INDEX($B$4:$O$23,MATCH($A50,$T$4:$T$23,0),COLUMN(A$1))</x:f>
        <x:v>천 성 일</x:v>
      </x:c>
      <x:c r="C50" s="20">
        <x:f t="array" ref="C50:C50">INDEX($B$4:$O$23,MATCH($A50,$T$4:$T$23,0),COLUMN(B$1))</x:f>
        <x:v>181</x:v>
      </x:c>
      <x:c r="D50" s="20">
        <x:f t="array" ref="D50:D50">INDEX($B$4:$O$23,MATCH($A50,$T$4:$T$23,0),COLUMN(C$1))</x:f>
        <x:v>207</x:v>
      </x:c>
      <x:c r="E50" s="20">
        <x:f t="array" ref="E50:E50">INDEX($B$4:$O$23,MATCH($A50,$T$4:$T$23,0),COLUMN(D$1))</x:f>
        <x:v>190</x:v>
      </x:c>
      <x:c r="F50" s="20">
        <x:f t="array" ref="F50:F50">INDEX($B$4:$O$23,MATCH($A50,$T$4:$T$23,0),COLUMN(E$1))</x:f>
        <x:v>215</x:v>
      </x:c>
      <x:c r="G50" s="21">
        <x:f t="shared" si="11"/>
        <x:v>793</x:v>
      </x:c>
      <x:c r="H50" s="22">
        <x:f t="shared" si="12"/>
        <x:v>198.25</x:v>
      </x:c>
      <x:c r="I50" s="23">
        <x:f>IF(B50="","",IFERROR(INDEX('회원명단 및 기준에버'!D:G,MATCH(B50,'회원명단 및 기준에버'!$C:$C,0),CHOOSE(INT((MONTH($N$2)-1)/3)+1,1,2,3,4)),""))</x:f>
        <x:v>191</x:v>
      </x:c>
      <x:c r="J50" s="5">
        <x:f t="shared" si="13"/>
        <x:v>-10</x:v>
      </x:c>
      <x:c r="K50" s="5">
        <x:f t="shared" si="14"/>
        <x:v>16</x:v>
      </x:c>
      <x:c r="L50" s="5">
        <x:f t="shared" si="15"/>
        <x:v>-1</x:v>
      </x:c>
      <x:c r="M50" s="5">
        <x:f t="shared" si="16"/>
        <x:v>24</x:v>
      </x:c>
      <x:c r="N50" s="6">
        <x:f t="shared" si="17"/>
        <x:v>29</x:v>
      </x:c>
      <x:c r="O50" s="24">
        <x:f t="shared" si="18"/>
        <x:v>7.25</x:v>
      </x:c>
    </x:row>
    <x:row r="51" spans="1:15" ht="24.949999999999999" customHeight="1">
      <x:c r="A51" s="18">
        <x:v>8</x:v>
      </x:c>
      <x:c r="B51" s="19" t="str">
        <x:f t="array" ref="B51:B51">INDEX($B$4:$O$23,MATCH($A51,$T$4:$T$23,0),COLUMN(A$1))</x:f>
        <x:v>정 영 우</x:v>
      </x:c>
      <x:c r="C51" s="20">
        <x:f t="array" ref="C51:C51">INDEX($B$4:$O$23,MATCH($A51,$T$4:$T$23,0),COLUMN(B$1))</x:f>
        <x:v>203</x:v>
      </x:c>
      <x:c r="D51" s="20">
        <x:f t="array" ref="D51:D51">INDEX($B$4:$O$23,MATCH($A51,$T$4:$T$23,0),COLUMN(C$1))</x:f>
        <x:v>253</x:v>
      </x:c>
      <x:c r="E51" s="20">
        <x:f t="array" ref="E51:E51">INDEX($B$4:$O$23,MATCH($A51,$T$4:$T$23,0),COLUMN(D$1))</x:f>
        <x:v>167</x:v>
      </x:c>
      <x:c r="F51" s="20">
        <x:f t="array" ref="F51:F51">INDEX($B$4:$O$23,MATCH($A51,$T$4:$T$23,0),COLUMN(E$1))</x:f>
        <x:v>140</x:v>
      </x:c>
      <x:c r="G51" s="21">
        <x:f t="shared" si="11"/>
        <x:v>763</x:v>
      </x:c>
      <x:c r="H51" s="22">
        <x:f t="shared" si="12"/>
        <x:v>190.75</x:v>
      </x:c>
      <x:c r="I51" s="23">
        <x:f>IF(B51="","",IFERROR(INDEX('회원명단 및 기준에버'!D:G,MATCH(B51,'회원명단 및 기준에버'!$C:$C,0),CHOOSE(INT((MONTH($N$2)-1)/3)+1,1,2,3,4)),""))</x:f>
        <x:v>184</x:v>
      </x:c>
      <x:c r="J51" s="5">
        <x:f t="shared" si="13"/>
        <x:v>19</x:v>
      </x:c>
      <x:c r="K51" s="5">
        <x:f t="shared" si="14"/>
        <x:v>69</x:v>
      </x:c>
      <x:c r="L51" s="5">
        <x:f t="shared" si="15"/>
        <x:v>-17</x:v>
      </x:c>
      <x:c r="M51" s="5">
        <x:f t="shared" si="16"/>
        <x:v>-44</x:v>
      </x:c>
      <x:c r="N51" s="6">
        <x:f t="shared" si="17"/>
        <x:v>27</x:v>
      </x:c>
      <x:c r="O51" s="24">
        <x:f t="shared" si="18"/>
        <x:v>6.75</x:v>
      </x:c>
    </x:row>
    <x:row r="52" spans="1:15" ht="24.949999999999999" customHeight="1">
      <x:c r="A52" s="18">
        <x:v>9</x:v>
      </x:c>
      <x:c r="B52" s="19" t="str">
        <x:f t="array" ref="B52:B52">INDEX($B$4:$O$23,MATCH($A52,$T$4:$T$23,0),COLUMN(A$1))</x:f>
        <x:v>황 인 교</x:v>
      </x:c>
      <x:c r="C52" s="20">
        <x:f t="array" ref="C52:C52">INDEX($B$4:$O$23,MATCH($A52,$T$4:$T$23,0),COLUMN(B$1))</x:f>
        <x:v>216</x:v>
      </x:c>
      <x:c r="D52" s="20">
        <x:f t="array" ref="D52:D52">INDEX($B$4:$O$23,MATCH($A52,$T$4:$T$23,0),COLUMN(C$1))</x:f>
        <x:v>159</x:v>
      </x:c>
      <x:c r="E52" s="20">
        <x:f t="array" ref="E52:E52">INDEX($B$4:$O$23,MATCH($A52,$T$4:$T$23,0),COLUMN(D$1))</x:f>
        <x:v>187</x:v>
      </x:c>
      <x:c r="F52" s="20">
        <x:f t="array" ref="F52:F52">INDEX($B$4:$O$23,MATCH($A52,$T$4:$T$23,0),COLUMN(E$1))</x:f>
        <x:v>199</x:v>
      </x:c>
      <x:c r="G52" s="21">
        <x:f t="shared" si="11"/>
        <x:v>761</x:v>
      </x:c>
      <x:c r="H52" s="22">
        <x:f t="shared" si="12"/>
        <x:v>190.25</x:v>
      </x:c>
      <x:c r="I52" s="23">
        <x:f>IF(B52="","",IFERROR(INDEX('회원명단 및 기준에버'!D:G,MATCH(B52,'회원명단 및 기준에버'!$C:$C,0),CHOOSE(INT((MONTH($N$2)-1)/3)+1,1,2,3,4)),""))</x:f>
        <x:v>184</x:v>
      </x:c>
      <x:c r="J52" s="5">
        <x:f t="shared" si="13"/>
        <x:v>32</x:v>
      </x:c>
      <x:c r="K52" s="5">
        <x:f t="shared" si="14"/>
        <x:v>-25</x:v>
      </x:c>
      <x:c r="L52" s="5">
        <x:f t="shared" si="15"/>
        <x:v>3</x:v>
      </x:c>
      <x:c r="M52" s="5">
        <x:f t="shared" si="16"/>
        <x:v>15</x:v>
      </x:c>
      <x:c r="N52" s="6">
        <x:f t="shared" si="17"/>
        <x:v>25</x:v>
      </x:c>
      <x:c r="O52" s="24">
        <x:f t="shared" si="18"/>
        <x:v>6.25</x:v>
      </x:c>
    </x:row>
    <x:row r="53" spans="1:15" ht="24.949999999999999" customHeight="1">
      <x:c r="A53" s="18">
        <x:v>10</x:v>
      </x:c>
      <x:c r="B53" s="19" t="str">
        <x:f t="array" ref="B53:B53">INDEX($B$4:$O$23,MATCH($A53,$T$4:$T$23,0),COLUMN(A$1))</x:f>
        <x:v>이 대 용</x:v>
      </x:c>
      <x:c r="C53" s="20">
        <x:f t="array" ref="C53:C53">INDEX($B$4:$O$23,MATCH($A53,$T$4:$T$23,0),COLUMN(B$1))</x:f>
        <x:v>191</x:v>
      </x:c>
      <x:c r="D53" s="20">
        <x:f t="array" ref="D53:D53">INDEX($B$4:$O$23,MATCH($A53,$T$4:$T$23,0),COLUMN(C$1))</x:f>
        <x:v>245</x:v>
      </x:c>
      <x:c r="E53" s="20">
        <x:f t="array" ref="E53:E53">INDEX($B$4:$O$23,MATCH($A53,$T$4:$T$23,0),COLUMN(D$1))</x:f>
        <x:v>190</x:v>
      </x:c>
      <x:c r="F53" s="20">
        <x:f t="array" ref="F53:F53">INDEX($B$4:$O$23,MATCH($A53,$T$4:$T$23,0),COLUMN(E$1))</x:f>
        <x:v>192</x:v>
      </x:c>
      <x:c r="G53" s="21">
        <x:f t="shared" si="11"/>
        <x:v>818</x:v>
      </x:c>
      <x:c r="H53" s="22">
        <x:f t="shared" si="12"/>
        <x:v>204.5</x:v>
      </x:c>
      <x:c r="I53" s="23">
        <x:f>IF(B53="","",IFERROR(INDEX('회원명단 및 기준에버'!D:G,MATCH(B53,'회원명단 및 기준에버'!$C:$C,0),CHOOSE(INT((MONTH($N$2)-1)/3)+1,1,2,3,4)),""))</x:f>
        <x:v>200</x:v>
      </x:c>
      <x:c r="J53" s="5">
        <x:f t="shared" si="13"/>
        <x:v>-9</x:v>
      </x:c>
      <x:c r="K53" s="5">
        <x:f t="shared" si="14"/>
        <x:v>45</x:v>
      </x:c>
      <x:c r="L53" s="5">
        <x:f t="shared" si="15"/>
        <x:v>-10</x:v>
      </x:c>
      <x:c r="M53" s="5">
        <x:f t="shared" si="16"/>
        <x:v>-8</x:v>
      </x:c>
      <x:c r="N53" s="6">
        <x:f t="shared" si="17"/>
        <x:v>18</x:v>
      </x:c>
      <x:c r="O53" s="24">
        <x:f t="shared" si="18"/>
        <x:v>4.5</x:v>
      </x:c>
    </x:row>
    <x:row r="54" spans="1:15" ht="24.949999999999999" customHeight="1">
      <x:c r="A54" s="18">
        <x:v>11</x:v>
      </x:c>
      <x:c r="B54" s="19" t="str">
        <x:f t="array" ref="B54:B54">INDEX($B$4:$O$23,MATCH($A54,$T$4:$T$23,0),COLUMN(A$1))</x:f>
        <x:v>이 승 미</x:v>
      </x:c>
      <x:c r="C54" s="20">
        <x:f t="array" ref="C54:C54">INDEX($B$4:$O$23,MATCH($A54,$T$4:$T$23,0),COLUMN(B$1))</x:f>
        <x:v>151</x:v>
      </x:c>
      <x:c r="D54" s="20">
        <x:f t="array" ref="D54:D54">INDEX($B$4:$O$23,MATCH($A54,$T$4:$T$23,0),COLUMN(C$1))</x:f>
        <x:v>137</x:v>
      </x:c>
      <x:c r="E54" s="20">
        <x:f t="array" ref="E54:E54">INDEX($B$4:$O$23,MATCH($A54,$T$4:$T$23,0),COLUMN(D$1))</x:f>
        <x:v>210</x:v>
      </x:c>
      <x:c r="F54" s="20">
        <x:f t="array" ref="F54:F54">INDEX($B$4:$O$23,MATCH($A54,$T$4:$T$23,0),COLUMN(E$1))</x:f>
        <x:v>169</x:v>
      </x:c>
      <x:c r="G54" s="21">
        <x:f t="shared" si="11"/>
        <x:v>667</x:v>
      </x:c>
      <x:c r="H54" s="22">
        <x:f t="shared" si="12"/>
        <x:v>166.75</x:v>
      </x:c>
      <x:c r="I54" s="23">
        <x:f>IF(B54="","",IFERROR(INDEX('회원명단 및 기준에버'!D:G,MATCH(B54,'회원명단 및 기준에버'!$C:$C,0),CHOOSE(INT((MONTH($N$2)-1)/3)+1,1,2,3,4)),""))</x:f>
        <x:v>165</x:v>
      </x:c>
      <x:c r="J54" s="5">
        <x:f t="shared" si="13"/>
        <x:v>-14</x:v>
      </x:c>
      <x:c r="K54" s="5">
        <x:f t="shared" si="14"/>
        <x:v>-28</x:v>
      </x:c>
      <x:c r="L54" s="5">
        <x:f t="shared" si="15"/>
        <x:v>45</x:v>
      </x:c>
      <x:c r="M54" s="5">
        <x:f t="shared" si="16"/>
        <x:v>4</x:v>
      </x:c>
      <x:c r="N54" s="6">
        <x:f t="shared" si="17"/>
        <x:v>7</x:v>
      </x:c>
      <x:c r="O54" s="24">
        <x:f t="shared" si="18"/>
        <x:v>1.75</x:v>
      </x:c>
    </x:row>
    <x:row r="55" spans="1:15" ht="24.949999999999999" customHeight="1">
      <x:c r="A55" s="18">
        <x:v>12</x:v>
      </x:c>
      <x:c r="B55" s="19" t="str">
        <x:f t="array" ref="B55:B55">INDEX($B$4:$O$23,MATCH($A55,$T$4:$T$23,0),COLUMN(A$1))</x:f>
        <x:v>김 정 희</x:v>
      </x:c>
      <x:c r="C55" s="20">
        <x:f t="array" ref="C55:C55">INDEX($B$4:$O$23,MATCH($A55,$T$4:$T$23,0),COLUMN(B$1))</x:f>
        <x:v>235</x:v>
      </x:c>
      <x:c r="D55" s="20">
        <x:f t="array" ref="D55:D55">INDEX($B$4:$O$23,MATCH($A55,$T$4:$T$23,0),COLUMN(C$1))</x:f>
        <x:v>196</x:v>
      </x:c>
      <x:c r="E55" s="20">
        <x:f t="array" ref="E55:E55">INDEX($B$4:$O$23,MATCH($A55,$T$4:$T$23,0),COLUMN(D$1))</x:f>
        <x:v>168</x:v>
      </x:c>
      <x:c r="F55" s="20">
        <x:f t="array" ref="F55:F55">INDEX($B$4:$O$23,MATCH($A55,$T$4:$T$23,0),COLUMN(E$1))</x:f>
        <x:v>212</x:v>
      </x:c>
      <x:c r="G55" s="21">
        <x:f t="shared" si="11"/>
        <x:v>811</x:v>
      </x:c>
      <x:c r="H55" s="22">
        <x:f t="shared" si="12"/>
        <x:v>202.75</x:v>
      </x:c>
      <x:c r="I55" s="23">
        <x:f>IF(B55="","",IFERROR(INDEX('회원명단 및 기준에버'!D:G,MATCH(B55,'회원명단 및 기준에버'!$C:$C,0),CHOOSE(INT((MONTH($N$2)-1)/3)+1,1,2,3,4)),""))</x:f>
        <x:v>200</x:v>
      </x:c>
      <x:c r="J55" s="5">
        <x:v>0</x:v>
      </x:c>
      <x:c r="K55" s="5">
        <x:v>0</x:v>
      </x:c>
      <x:c r="L55" s="5">
        <x:v>0</x:v>
      </x:c>
      <x:c r="M55" s="5">
        <x:v>0</x:v>
      </x:c>
      <x:c r="N55" s="6">
        <x:f t="shared" si="17"/>
        <x:v>0</x:v>
      </x:c>
      <x:c r="O55" s="24">
        <x:v>0</x:v>
      </x:c>
    </x:row>
    <x:row r="56" spans="1:15" ht="24.949999999999999" customHeight="1">
      <x:c r="A56" s="18">
        <x:v>13</x:v>
      </x:c>
      <x:c r="B56" s="19" t="str">
        <x:f t="array" ref="B56:B56">INDEX($B$4:$O$23,MATCH($A56,$T$4:$T$23,0),COLUMN(A$1))</x:f>
        <x:v>임 승 기</x:v>
      </x:c>
      <x:c r="C56" s="20">
        <x:f t="array" ref="C56:C56">INDEX($B$4:$O$23,MATCH($A56,$T$4:$T$23,0),COLUMN(B$1))</x:f>
        <x:v>227</x:v>
      </x:c>
      <x:c r="D56" s="20">
        <x:f t="array" ref="D56:D56">INDEX($B$4:$O$23,MATCH($A56,$T$4:$T$23,0),COLUMN(C$1))</x:f>
        <x:v>182</x:v>
      </x:c>
      <x:c r="E56" s="20">
        <x:f t="array" ref="E56:E56">INDEX($B$4:$O$23,MATCH($A56,$T$4:$T$23,0),COLUMN(D$1))</x:f>
        <x:v>213</x:v>
      </x:c>
      <x:c r="F56" s="20">
        <x:f t="array" ref="F56:F56">INDEX($B$4:$O$23,MATCH($A56,$T$4:$T$23,0),COLUMN(E$1))</x:f>
        <x:v>233</x:v>
      </x:c>
      <x:c r="G56" s="21">
        <x:f t="shared" si="11"/>
        <x:v>855</x:v>
      </x:c>
      <x:c r="H56" s="22">
        <x:f t="shared" si="12"/>
        <x:v>213.75</x:v>
      </x:c>
      <x:c r="I56" s="23">
        <x:f>IF(B56="","",IFERROR(INDEX('회원명단 및 기준에버'!D:G,MATCH(B56,'회원명단 및 기준에버'!$C:$C,0),CHOOSE(INT((MONTH($N$2)-1)/3)+1,1,2,3,4)),""))</x:f>
        <x:v>200</x:v>
      </x:c>
      <x:c r="J56" s="5">
        <x:v>0</x:v>
      </x:c>
      <x:c r="K56" s="5">
        <x:v>0</x:v>
      </x:c>
      <x:c r="L56" s="5">
        <x:v>0</x:v>
      </x:c>
      <x:c r="M56" s="5">
        <x:v>0</x:v>
      </x:c>
      <x:c r="N56" s="6">
        <x:f t="shared" si="17"/>
        <x:v>0</x:v>
      </x:c>
      <x:c r="O56" s="24">
        <x:v>0</x:v>
      </x:c>
    </x:row>
    <x:row r="57" spans="1:15" ht="24.949999999999999" customHeight="1">
      <x:c r="A57" s="18">
        <x:v>14</x:v>
      </x:c>
      <x:c r="B57" s="19" t="str">
        <x:f t="array" ref="B57:B57">INDEX($B$4:$O$23,MATCH($A57,$T$4:$T$23,0),COLUMN(A$1))</x:f>
        <x:v>김 태 환</x:v>
      </x:c>
      <x:c r="C57" s="20">
        <x:f t="array" ref="C57:C57">INDEX($B$4:$O$23,MATCH($A57,$T$4:$T$23,0),COLUMN(B$1))</x:f>
        <x:v>182</x:v>
      </x:c>
      <x:c r="D57" s="20">
        <x:f t="array" ref="D57:D57">INDEX($B$4:$O$23,MATCH($A57,$T$4:$T$23,0),COLUMN(C$1))</x:f>
        <x:v>212</x:v>
      </x:c>
      <x:c r="E57" s="20">
        <x:f t="array" ref="E57:E57">INDEX($B$4:$O$23,MATCH($A57,$T$4:$T$23,0),COLUMN(D$1))</x:f>
        <x:v>233</x:v>
      </x:c>
      <x:c r="F57" s="20">
        <x:f t="array" ref="F57:F57">INDEX($B$4:$O$23,MATCH($A57,$T$4:$T$23,0),COLUMN(E$1))</x:f>
        <x:v>190</x:v>
      </x:c>
      <x:c r="G57" s="21">
        <x:f t="shared" si="11"/>
        <x:v>817</x:v>
      </x:c>
      <x:c r="H57" s="22">
        <x:f t="shared" si="12"/>
        <x:v>204.25</x:v>
      </x:c>
      <x:c r="I57" s="23">
        <x:f>IF(B57="","",IFERROR(INDEX('회원명단 및 기준에버'!D:G,MATCH(B57,'회원명단 및 기준에버'!$C:$C,0),CHOOSE(INT((MONTH($N$2)-1)/3)+1,1,2,3,4)),""))</x:f>
        <x:v>198</x:v>
      </x:c>
      <x:c r="J57" s="5">
        <x:v>0</x:v>
      </x:c>
      <x:c r="K57" s="5">
        <x:v>0</x:v>
      </x:c>
      <x:c r="L57" s="5">
        <x:v>0</x:v>
      </x:c>
      <x:c r="M57" s="5">
        <x:v>0</x:v>
      </x:c>
      <x:c r="N57" s="6">
        <x:f t="shared" si="17"/>
        <x:v>0</x:v>
      </x:c>
      <x:c r="O57" s="24">
        <x:v>0</x:v>
      </x:c>
    </x:row>
    <x:row r="58" spans="1:15" ht="24.949999999999999" customHeight="1">
      <x:c r="A58" s="18">
        <x:v>15</x:v>
      </x:c>
      <x:c r="B58" s="19" t="str">
        <x:f t="array" ref="B58:B58">INDEX($B$4:$O$23,MATCH($A58,$T$4:$T$23,0),COLUMN(A$1))</x:f>
        <x:v>손 은 주</x:v>
      </x:c>
      <x:c r="C58" s="20">
        <x:f t="array" ref="C58:C58">INDEX($B$4:$O$23,MATCH($A58,$T$4:$T$23,0),COLUMN(B$1))</x:f>
        <x:v>154</x:v>
      </x:c>
      <x:c r="D58" s="20">
        <x:f t="array" ref="D58:D58">INDEX($B$4:$O$23,MATCH($A58,$T$4:$T$23,0),COLUMN(C$1))</x:f>
        <x:v>157</x:v>
      </x:c>
      <x:c r="E58" s="20">
        <x:f t="array" ref="E58:E58">INDEX($B$4:$O$23,MATCH($A58,$T$4:$T$23,0),COLUMN(D$1))</x:f>
        <x:v>143</x:v>
      </x:c>
      <x:c r="F58" s="20">
        <x:f t="array" ref="F58:F58">INDEX($B$4:$O$23,MATCH($A58,$T$4:$T$23,0),COLUMN(E$1))</x:f>
        <x:v>150</x:v>
      </x:c>
      <x:c r="G58" s="21">
        <x:f t="shared" si="11"/>
        <x:v>604</x:v>
      </x:c>
      <x:c r="H58" s="22">
        <x:f t="shared" si="12"/>
        <x:v>151</x:v>
      </x:c>
      <x:c r="I58" s="23">
        <x:f>IF(B58="","",IFERROR(INDEX('회원명단 및 기준에버'!D:G,MATCH(B58,'회원명단 및 기준에버'!$C:$C,0),CHOOSE(INT((MONTH($N$2)-1)/3)+1,1,2,3,4)),""))</x:f>
        <x:v>151</x:v>
      </x:c>
      <x:c r="J58" s="5">
        <x:f t="shared" si="13"/>
        <x:v>3</x:v>
      </x:c>
      <x:c r="K58" s="5">
        <x:f t="shared" si="14"/>
        <x:v>6</x:v>
      </x:c>
      <x:c r="L58" s="5">
        <x:f t="shared" si="15"/>
        <x:v>-8</x:v>
      </x:c>
      <x:c r="M58" s="5">
        <x:f t="shared" si="16"/>
        <x:v>-1</x:v>
      </x:c>
      <x:c r="N58" s="6">
        <x:f t="shared" si="17"/>
        <x:v>0</x:v>
      </x:c>
      <x:c r="O58" s="24">
        <x:f t="shared" si="18"/>
        <x:v>0</x:v>
      </x:c>
    </x:row>
    <x:row r="59" spans="1:15" ht="24.949999999999999" customHeight="1">
      <x:c r="A59" s="18">
        <x:v>16</x:v>
      </x:c>
      <x:c r="B59" s="19" t="str">
        <x:f t="array" ref="B59:B59">INDEX($B$4:$O$23,MATCH($A59,$T$4:$T$23,0),COLUMN(A$1))</x:f>
        <x:v>박 성 현</x:v>
      </x:c>
      <x:c r="C59" s="20">
        <x:f t="array" ref="C59:C59">INDEX($B$4:$O$23,MATCH($A59,$T$4:$T$23,0),COLUMN(B$1))</x:f>
        <x:v>156</x:v>
      </x:c>
      <x:c r="D59" s="20">
        <x:f t="array" ref="D59:D59">INDEX($B$4:$O$23,MATCH($A59,$T$4:$T$23,0),COLUMN(C$1))</x:f>
        <x:v>222</x:v>
      </x:c>
      <x:c r="E59" s="20">
        <x:f t="array" ref="E59:E59">INDEX($B$4:$O$23,MATCH($A59,$T$4:$T$23,0),COLUMN(D$1))</x:f>
        <x:v>188</x:v>
      </x:c>
      <x:c r="F59" s="20">
        <x:f t="array" ref="F59:F59">INDEX($B$4:$O$23,MATCH($A59,$T$4:$T$23,0),COLUMN(E$1))</x:f>
        <x:v>192</x:v>
      </x:c>
      <x:c r="G59" s="21">
        <x:f t="shared" si="11"/>
        <x:v>758</x:v>
      </x:c>
      <x:c r="H59" s="22">
        <x:f t="shared" si="12"/>
        <x:v>189.5</x:v>
      </x:c>
      <x:c r="I59" s="23">
        <x:f>IF(B59="","",IFERROR(INDEX('회원명단 및 기준에버'!D:G,MATCH(B59,'회원명단 및 기준에버'!$C:$C,0),CHOOSE(INT((MONTH($N$2)-1)/3)+1,1,2,3,4)),""))</x:f>
        <x:v>190</x:v>
      </x:c>
      <x:c r="J59" s="5">
        <x:f t="shared" si="13"/>
        <x:v>-34</x:v>
      </x:c>
      <x:c r="K59" s="5">
        <x:f t="shared" si="14"/>
        <x:v>32</x:v>
      </x:c>
      <x:c r="L59" s="5">
        <x:f t="shared" si="15"/>
        <x:v>-2</x:v>
      </x:c>
      <x:c r="M59" s="5">
        <x:f t="shared" si="16"/>
        <x:v>2</x:v>
      </x:c>
      <x:c r="N59" s="6">
        <x:f t="shared" si="17"/>
        <x:v>-2</x:v>
      </x:c>
      <x:c r="O59" s="24">
        <x:f t="shared" si="18"/>
        <x:v>-0.5</x:v>
      </x:c>
    </x:row>
    <x:row r="60" spans="1:15" ht="24.949999999999999" customHeight="1">
      <x:c r="A60" s="18">
        <x:v>17</x:v>
      </x:c>
      <x:c r="B60" s="19" t="str">
        <x:f t="array" ref="B60:B60">INDEX($B$4:$O$23,MATCH($A60,$T$4:$T$23,0),COLUMN(A$1))</x:f>
        <x:v>지 옥 명</x:v>
      </x:c>
      <x:c r="C60" s="20">
        <x:f t="array" ref="C60:C60">INDEX($B$4:$O$23,MATCH($A60,$T$4:$T$23,0),COLUMN(B$1))</x:f>
        <x:v>201</x:v>
      </x:c>
      <x:c r="D60" s="20">
        <x:f t="array" ref="D60:D60">INDEX($B$4:$O$23,MATCH($A60,$T$4:$T$23,0),COLUMN(C$1))</x:f>
        <x:v>182</x:v>
      </x:c>
      <x:c r="E60" s="20">
        <x:f t="array" ref="E60:E60">INDEX($B$4:$O$23,MATCH($A60,$T$4:$T$23,0),COLUMN(D$1))</x:f>
        <x:v>185</x:v>
      </x:c>
      <x:c r="F60" s="20">
        <x:f t="array" ref="F60:F60">INDEX($B$4:$O$23,MATCH($A60,$T$4:$T$23,0),COLUMN(E$1))</x:f>
        <x:v>156</x:v>
      </x:c>
      <x:c r="G60" s="21">
        <x:f t="shared" si="11"/>
        <x:v>724</x:v>
      </x:c>
      <x:c r="H60" s="22">
        <x:f t="shared" si="12"/>
        <x:v>181</x:v>
      </x:c>
      <x:c r="I60" s="23">
        <x:f>IF(B60="","",IFERROR(INDEX('회원명단 및 기준에버'!D:G,MATCH(B60,'회원명단 및 기준에버'!$C:$C,0),CHOOSE(INT((MONTH($N$2)-1)/3)+1,1,2,3,4)),""))</x:f>
        <x:v>183</x:v>
      </x:c>
      <x:c r="J60" s="5">
        <x:f t="shared" si="13"/>
        <x:v>18</x:v>
      </x:c>
      <x:c r="K60" s="5">
        <x:f t="shared" si="14"/>
        <x:v>-1</x:v>
      </x:c>
      <x:c r="L60" s="5">
        <x:f t="shared" si="15"/>
        <x:v>2</x:v>
      </x:c>
      <x:c r="M60" s="5">
        <x:f t="shared" si="16"/>
        <x:v>-27</x:v>
      </x:c>
      <x:c r="N60" s="6">
        <x:f t="shared" si="17"/>
        <x:v>-8</x:v>
      </x:c>
      <x:c r="O60" s="24">
        <x:f t="shared" si="18"/>
        <x:v>-2</x:v>
      </x:c>
    </x:row>
    <x:row r="61" spans="1:15" ht="24.949999999999999" customHeight="1">
      <x:c r="A61" s="18">
        <x:v>18</x:v>
      </x:c>
      <x:c r="B61" s="19" t="str">
        <x:f t="array" ref="B61:B61">INDEX($B$4:$O$23,MATCH($A61,$T$4:$T$23,0),COLUMN(A$1))</x:f>
        <x:v>김 미 란</x:v>
      </x:c>
      <x:c r="C61" s="20">
        <x:f t="array" ref="C61:C61">INDEX($B$4:$O$23,MATCH($A61,$T$4:$T$23,0),COLUMN(B$1))</x:f>
        <x:v>202</x:v>
      </x:c>
      <x:c r="D61" s="20">
        <x:f t="array" ref="D61:D61">INDEX($B$4:$O$23,MATCH($A61,$T$4:$T$23,0),COLUMN(C$1))</x:f>
        <x:v>186</x:v>
      </x:c>
      <x:c r="E61" s="20">
        <x:f t="array" ref="E61:E61">INDEX($B$4:$O$23,MATCH($A61,$T$4:$T$23,0),COLUMN(D$1))</x:f>
        <x:v>151</x:v>
      </x:c>
      <x:c r="F61" s="20">
        <x:f t="array" ref="F61:F61">INDEX($B$4:$O$23,MATCH($A61,$T$4:$T$23,0),COLUMN(E$1))</x:f>
        <x:v>177</x:v>
      </x:c>
      <x:c r="G61" s="21">
        <x:f t="shared" si="11"/>
        <x:v>716</x:v>
      </x:c>
      <x:c r="H61" s="22">
        <x:f t="shared" si="12"/>
        <x:v>179</x:v>
      </x:c>
      <x:c r="I61" s="23">
        <x:f>IF(B61="","",IFERROR(INDEX('회원명단 및 기준에버'!D:G,MATCH(B61,'회원명단 및 기준에버'!$C:$C,0),CHOOSE(INT((MONTH($N$2)-1)/3)+1,1,2,3,4)),""))</x:f>
        <x:v>182</x:v>
      </x:c>
      <x:c r="J61" s="5">
        <x:f t="shared" si="13"/>
        <x:v>20</x:v>
      </x:c>
      <x:c r="K61" s="5">
        <x:f t="shared" si="14"/>
        <x:v>4</x:v>
      </x:c>
      <x:c r="L61" s="5">
        <x:f t="shared" si="15"/>
        <x:v>-31</x:v>
      </x:c>
      <x:c r="M61" s="5">
        <x:f t="shared" si="16"/>
        <x:v>-5</x:v>
      </x:c>
      <x:c r="N61" s="6">
        <x:f t="shared" si="17"/>
        <x:v>-12</x:v>
      </x:c>
      <x:c r="O61" s="24">
        <x:f t="shared" si="18"/>
        <x:v>-3</x:v>
      </x:c>
    </x:row>
    <x:row r="62" spans="1:15" ht="24.949999999999999" customHeight="1">
      <x:c r="A62" s="18">
        <x:v>19</x:v>
      </x:c>
      <x:c r="B62" s="19" t="str">
        <x:f t="array" ref="B62:B62">INDEX($B$4:$O$23,MATCH($A62,$T$4:$T$23,0),COLUMN(A$1))</x:f>
        <x:v>강 완 규</x:v>
      </x:c>
      <x:c r="C62" s="20">
        <x:f t="array" ref="C62:C62">INDEX($B$4:$O$23,MATCH($A62,$T$4:$T$23,0),COLUMN(B$1))</x:f>
        <x:v>182</x:v>
      </x:c>
      <x:c r="D62" s="20">
        <x:f t="array" ref="D62:D62">INDEX($B$4:$O$23,MATCH($A62,$T$4:$T$23,0),COLUMN(C$1))</x:f>
        <x:v>182</x:v>
      </x:c>
      <x:c r="E62" s="20">
        <x:f t="array" ref="E62:E62">INDEX($B$4:$O$23,MATCH($A62,$T$4:$T$23,0),COLUMN(D$1))</x:f>
        <x:v>194</x:v>
      </x:c>
      <x:c r="F62" s="20">
        <x:f t="array" ref="F62:F62">INDEX($B$4:$O$23,MATCH($A62,$T$4:$T$23,0),COLUMN(E$1))</x:f>
        <x:v>192</x:v>
      </x:c>
      <x:c r="G62" s="21">
        <x:f t="shared" si="11"/>
        <x:v>750</x:v>
      </x:c>
      <x:c r="H62" s="22">
        <x:f t="shared" si="12"/>
        <x:v>187.5</x:v>
      </x:c>
      <x:c r="I62" s="23">
        <x:f>IF(B62="","",IFERROR(INDEX('회원명단 및 기준에버'!D:G,MATCH(B62,'회원명단 및 기준에버'!$C:$C,0),CHOOSE(INT((MONTH($N$2)-1)/3)+1,1,2,3,4)),""))</x:f>
        <x:v>194</x:v>
      </x:c>
      <x:c r="J62" s="5">
        <x:f t="shared" si="13"/>
        <x:v>-12</x:v>
      </x:c>
      <x:c r="K62" s="5">
        <x:f t="shared" si="14"/>
        <x:v>-12</x:v>
      </x:c>
      <x:c r="L62" s="5">
        <x:f t="shared" si="15"/>
        <x:v>0</x:v>
      </x:c>
      <x:c r="M62" s="5">
        <x:f t="shared" si="16"/>
        <x:v>-2</x:v>
      </x:c>
      <x:c r="N62" s="6">
        <x:f t="shared" si="17"/>
        <x:v>-26</x:v>
      </x:c>
      <x:c r="O62" s="24">
        <x:f t="shared" si="18"/>
        <x:v>-6.5</x:v>
      </x:c>
    </x:row>
    <x:row r="63" spans="1:15" ht="24.949999999999999" customHeight="1">
      <x:c r="A63" s="18">
        <x:v>20</x:v>
      </x:c>
      <x:c r="B63" s="19" t="str">
        <x:f t="array" ref="B63:B63">INDEX($B$4:$O$23,MATCH($A63,$T$4:$T$23,0),COLUMN(A$1))</x:f>
        <x:v>변 상 필</x:v>
      </x:c>
      <x:c r="C63" s="20">
        <x:f t="array" ref="C63:C63">INDEX($B$4:$O$23,MATCH($A63,$T$4:$T$23,0),COLUMN(B$1))</x:f>
        <x:v>169</x:v>
      </x:c>
      <x:c r="D63" s="20">
        <x:f t="array" ref="D63:D63">INDEX($B$4:$O$23,MATCH($A63,$T$4:$T$23,0),COLUMN(C$1))</x:f>
        <x:v>243</x:v>
      </x:c>
      <x:c r="E63" s="20">
        <x:f t="array" ref="E63:E63">INDEX($B$4:$O$23,MATCH($A63,$T$4:$T$23,0),COLUMN(D$1))</x:f>
        <x:v>165</x:v>
      </x:c>
      <x:c r="F63" s="20">
        <x:f t="array" ref="F63:F63">INDEX($B$4:$O$23,MATCH($A63,$T$4:$T$23,0),COLUMN(E$1))</x:f>
        <x:v>188</x:v>
      </x:c>
      <x:c r="G63" s="21">
        <x:f t="shared" si="11"/>
        <x:v>765</x:v>
      </x:c>
      <x:c r="H63" s="22">
        <x:f t="shared" si="12"/>
        <x:v>191.25</x:v>
      </x:c>
      <x:c r="I63" s="23">
        <x:f>IF(B63="","",IFERROR(INDEX('회원명단 및 기준에버'!D:G,MATCH(B63,'회원명단 및 기준에버'!$C:$C,0),CHOOSE(INT((MONTH($N$2)-1)/3)+1,1,2,3,4)),""))</x:f>
        <x:v>200</x:v>
      </x:c>
      <x:c r="J63" s="5">
        <x:f t="shared" si="13"/>
        <x:v>-31</x:v>
      </x:c>
      <x:c r="K63" s="5">
        <x:f t="shared" si="14"/>
        <x:v>43</x:v>
      </x:c>
      <x:c r="L63" s="5">
        <x:f t="shared" si="15"/>
        <x:v>-35</x:v>
      </x:c>
      <x:c r="M63" s="5">
        <x:f t="shared" si="16"/>
        <x:v>-12</x:v>
      </x:c>
      <x:c r="N63" s="6">
        <x:f t="shared" si="17"/>
        <x:v>-35</x:v>
      </x:c>
      <x:c r="O63" s="24">
        <x:f t="shared" si="18"/>
        <x:v>-8.75</x:v>
      </x:c>
    </x:row>
    <x:row r="64" spans="2:15" ht="24.949999999999999" customHeight="1">
      <x:c r="B64" s="120" t="s">
        <x:v>21</x:v>
      </x:c>
      <x:c r="C64" s="121"/>
      <x:c r="D64" s="121"/>
      <x:c r="E64" s="121"/>
      <x:c r="F64" s="120"/>
      <x:c r="G64" s="121"/>
      <x:c r="H64" s="121"/>
      <x:c r="I64" s="121"/>
      <x:c r="J64" s="121"/>
      <x:c r="K64" s="121"/>
      <x:c r="L64" s="121"/>
      <x:c r="M64" s="120"/>
      <x:c r="N64" s="121"/>
      <x:c r="O64" s="122"/>
    </x:row>
    <x:row r="65" spans="2:15" ht="24.949999999999999" customHeight="1">
      <x:c r="B65" s="13" t="str">
        <x:f t="shared" ref="B65:G69" si="19">IF(B25="","",B25)</x:f>
        <x:v>장 영 민</x:v>
      </x:c>
      <x:c r="C65" s="49">
        <x:f t="shared" si="19"/>
        <x:v>199</x:v>
      </x:c>
      <x:c r="D65" s="96">
        <x:f t="shared" si="19"/>
        <x:v>248</x:v>
      </x:c>
      <x:c r="E65" s="96">
        <x:f t="shared" si="19"/>
        <x:v>203</x:v>
      </x:c>
      <x:c r="F65" s="49">
        <x:f t="shared" si="19"/>
        <x:v>181</x:v>
      </x:c>
      <x:c r="G65" s="123">
        <x:f t="shared" si="19"/>
        <x:v>3880</x:v>
      </x:c>
      <x:c r="H65" s="115">
        <x:v>3</x:v>
      </x:c>
      <x:c r="I65" s="50" t="str">
        <x:f t="shared" ref="I65:N69" si="20">IF(I25="","",I25)</x:f>
        <x:v>변 상 필</x:v>
      </x:c>
      <x:c r="J65" s="49">
        <x:f t="shared" si="20"/>
        <x:v>169</x:v>
      </x:c>
      <x:c r="K65" s="96">
        <x:f t="shared" si="20"/>
        <x:v>243</x:v>
      </x:c>
      <x:c r="L65" s="49">
        <x:f t="shared" si="20"/>
        <x:v>165</x:v>
      </x:c>
      <x:c r="M65" s="49">
        <x:f t="shared" si="20"/>
        <x:v>188</x:v>
      </x:c>
      <x:c r="N65" s="129">
        <x:f t="shared" si="20"/>
        <x:v>3780</x:v>
      </x:c>
      <x:c r="O65" s="126">
        <x:v>4</x:v>
      </x:c>
    </x:row>
    <x:row r="66" spans="2:15" ht="24.949999999999999" customHeight="1">
      <x:c r="B66" s="18" t="str">
        <x:f t="shared" si="19"/>
        <x:v>지 옥 명</x:v>
      </x:c>
      <x:c r="C66" s="95">
        <x:f t="shared" si="19"/>
        <x:v>201</x:v>
      </x:c>
      <x:c r="D66" s="5">
        <x:f t="shared" si="19"/>
        <x:v>182</x:v>
      </x:c>
      <x:c r="E66" s="5">
        <x:f t="shared" si="19"/>
        <x:v>185</x:v>
      </x:c>
      <x:c r="F66" s="5">
        <x:f t="shared" si="19"/>
        <x:v>156</x:v>
      </x:c>
      <x:c r="G66" s="124" t="str">
        <x:f t="shared" si="19"/>
        <x:v/>
      </x:c>
      <x:c r="H66" s="116"/>
      <x:c r="I66" s="18" t="str">
        <x:f t="shared" si="20"/>
        <x:v>임 승 기</x:v>
      </x:c>
      <x:c r="J66" s="95">
        <x:f t="shared" si="20"/>
        <x:v>227</x:v>
      </x:c>
      <x:c r="K66" s="5">
        <x:f t="shared" si="20"/>
        <x:v>182</x:v>
      </x:c>
      <x:c r="L66" s="95">
        <x:f t="shared" si="20"/>
        <x:v>213</x:v>
      </x:c>
      <x:c r="M66" s="95">
        <x:f t="shared" si="20"/>
        <x:v>233</x:v>
      </x:c>
      <x:c r="N66" s="130" t="str">
        <x:f t="shared" si="20"/>
        <x:v/>
      </x:c>
      <x:c r="O66" s="127"/>
    </x:row>
    <x:row r="67" spans="2:15" ht="24.949999999999999" customHeight="1">
      <x:c r="B67" s="18" t="str">
        <x:f t="shared" si="19"/>
        <x:v>김 태 환</x:v>
      </x:c>
      <x:c r="C67" s="5">
        <x:f t="shared" si="19"/>
        <x:v>182</x:v>
      </x:c>
      <x:c r="D67" s="95">
        <x:f t="shared" si="19"/>
        <x:v>212</x:v>
      </x:c>
      <x:c r="E67" s="95">
        <x:f t="shared" si="19"/>
        <x:v>233</x:v>
      </x:c>
      <x:c r="F67" s="5">
        <x:f t="shared" si="19"/>
        <x:v>190</x:v>
      </x:c>
      <x:c r="G67" s="124" t="str">
        <x:f t="shared" si="19"/>
        <x:v/>
      </x:c>
      <x:c r="H67" s="116"/>
      <x:c r="I67" s="18" t="str">
        <x:f t="shared" si="20"/>
        <x:v>정 영 우</x:v>
      </x:c>
      <x:c r="J67" s="95">
        <x:f t="shared" si="20"/>
        <x:v>203</x:v>
      </x:c>
      <x:c r="K67" s="95">
        <x:f t="shared" si="20"/>
        <x:v>253</x:v>
      </x:c>
      <x:c r="L67" s="5">
        <x:f t="shared" si="20"/>
        <x:v>167</x:v>
      </x:c>
      <x:c r="M67" s="5">
        <x:f t="shared" si="20"/>
        <x:v>140</x:v>
      </x:c>
      <x:c r="N67" s="130" t="str">
        <x:f t="shared" si="20"/>
        <x:v/>
      </x:c>
      <x:c r="O67" s="127"/>
    </x:row>
    <x:row r="68" spans="2:15" ht="24.949999999999999" customHeight="1">
      <x:c r="B68" s="18" t="str">
        <x:f t="shared" si="19"/>
        <x:v>강 완 규</x:v>
      </x:c>
      <x:c r="C68" s="5">
        <x:f t="shared" si="19"/>
        <x:v>182</x:v>
      </x:c>
      <x:c r="D68" s="5">
        <x:f t="shared" si="19"/>
        <x:v>182</x:v>
      </x:c>
      <x:c r="E68" s="5">
        <x:f t="shared" si="19"/>
        <x:v>194</x:v>
      </x:c>
      <x:c r="F68" s="5">
        <x:f t="shared" si="19"/>
        <x:v>192</x:v>
      </x:c>
      <x:c r="G68" s="124" t="str">
        <x:f t="shared" si="19"/>
        <x:v/>
      </x:c>
      <x:c r="H68" s="116"/>
      <x:c r="I68" s="18" t="str">
        <x:f t="shared" si="20"/>
        <x:v>천 성 일</x:v>
      </x:c>
      <x:c r="J68" s="5">
        <x:f t="shared" si="20"/>
        <x:v>181</x:v>
      </x:c>
      <x:c r="K68" s="95">
        <x:f t="shared" si="20"/>
        <x:v>207</x:v>
      </x:c>
      <x:c r="L68" s="5">
        <x:f t="shared" si="20"/>
        <x:v>190</x:v>
      </x:c>
      <x:c r="M68" s="95">
        <x:f t="shared" si="20"/>
        <x:v>215</x:v>
      </x:c>
      <x:c r="N68" s="130" t="str">
        <x:f t="shared" si="20"/>
        <x:v/>
      </x:c>
      <x:c r="O68" s="127"/>
    </x:row>
    <x:row r="69" spans="2:15" ht="24.949999999999999" customHeight="1">
      <x:c r="B69" s="18" t="str">
        <x:f t="shared" si="19"/>
        <x:v>박 성 현</x:v>
      </x:c>
      <x:c r="C69" s="5">
        <x:f t="shared" si="19"/>
        <x:v>156</x:v>
      </x:c>
      <x:c r="D69" s="95">
        <x:f t="shared" si="19"/>
        <x:v>222</x:v>
      </x:c>
      <x:c r="E69" s="5">
        <x:f t="shared" si="19"/>
        <x:v>188</x:v>
      </x:c>
      <x:c r="F69" s="5">
        <x:f t="shared" si="19"/>
        <x:v>192</x:v>
      </x:c>
      <x:c r="G69" s="124" t="str">
        <x:f t="shared" si="19"/>
        <x:v/>
      </x:c>
      <x:c r="H69" s="116"/>
      <x:c r="I69" s="18" t="str">
        <x:f t="shared" si="20"/>
        <x:v>손 은 주</x:v>
      </x:c>
      <x:c r="J69" s="5">
        <x:f t="shared" si="20"/>
        <x:v>154</x:v>
      </x:c>
      <x:c r="K69" s="5">
        <x:f t="shared" si="20"/>
        <x:v>157</x:v>
      </x:c>
      <x:c r="L69" s="5">
        <x:f t="shared" si="20"/>
        <x:v>143</x:v>
      </x:c>
      <x:c r="M69" s="5">
        <x:f t="shared" si="20"/>
        <x:v>150</x:v>
      </x:c>
      <x:c r="N69" s="130" t="str">
        <x:f t="shared" si="20"/>
        <x:v/>
      </x:c>
      <x:c r="O69" s="127"/>
    </x:row>
    <x:row r="70" spans="2:15" ht="24.949999999999999" customHeight="1">
      <x:c r="B70" s="30" t="str">
        <x:f t="shared" ref="B70:G70" si="21">IF(B30="","",B30)</x:f>
        <x:v/>
      </x:c>
      <x:c r="C70" s="51">
        <x:f t="shared" si="21"/>
        <x:v>920</x:v>
      </x:c>
      <x:c r="D70" s="91">
        <x:f t="shared" si="21"/>
        <x:v>1046</x:v>
      </x:c>
      <x:c r="E70" s="91">
        <x:f t="shared" si="21"/>
        <x:v>1003</x:v>
      </x:c>
      <x:c r="F70" s="51">
        <x:f t="shared" si="21"/>
        <x:v>911</x:v>
      </x:c>
      <x:c r="G70" s="125" t="str">
        <x:f t="shared" si="21"/>
        <x:v/>
      </x:c>
      <x:c r="H70" s="117"/>
      <x:c r="I70" s="30" t="str">
        <x:f t="shared" ref="I70:N70" si="22">IF(I30="","",I30)</x:f>
        <x:v/>
      </x:c>
      <x:c r="J70" s="51">
        <x:f t="shared" si="22"/>
        <x:v>934</x:v>
      </x:c>
      <x:c r="K70" s="91">
        <x:f t="shared" si="22"/>
        <x:v>1042</x:v>
      </x:c>
      <x:c r="L70" s="51">
        <x:f t="shared" si="22"/>
        <x:v>878</x:v>
      </x:c>
      <x:c r="M70" s="51">
        <x:f t="shared" si="22"/>
        <x:v>926</x:v>
      </x:c>
      <x:c r="N70" s="131" t="str">
        <x:f t="shared" si="22"/>
        <x:v/>
      </x:c>
      <x:c r="O70" s="128"/>
    </x:row>
    <x:row r="71" spans="2:15" ht="9.9499999999999993" customHeight="1"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</x:row>
    <x:row r="72" spans="2:15" ht="24.949999999999999" customHeight="1">
      <x:c r="B72" s="13" t="str">
        <x:f t="shared" ref="B72:O76" si="23">IF(B32="","",B32)</x:f>
        <x:v>최 현 수</x:v>
      </x:c>
      <x:c r="C72" s="96">
        <x:f t="shared" si="23"/>
        <x:v>266</x:v>
      </x:c>
      <x:c r="D72" s="49">
        <x:f t="shared" si="23"/>
        <x:v>169</x:v>
      </x:c>
      <x:c r="E72" s="96">
        <x:f t="shared" si="23"/>
        <x:v>224</x:v>
      </x:c>
      <x:c r="F72" s="49">
        <x:f t="shared" si="23"/>
        <x:v>178</x:v>
      </x:c>
      <x:c r="G72" s="129">
        <x:f t="shared" si="23"/>
        <x:v>3922</x:v>
      </x:c>
      <x:c r="H72" s="126">
        <x:v>2</x:v>
      </x:c>
      <x:c r="I72" s="50" t="str">
        <x:f t="shared" si="23"/>
        <x:v>이 대 용</x:v>
      </x:c>
      <x:c r="J72" s="49">
        <x:f t="shared" si="23"/>
        <x:v>191</x:v>
      </x:c>
      <x:c r="K72" s="96">
        <x:f t="shared" si="23"/>
        <x:v>245</x:v>
      </x:c>
      <x:c r="L72" s="49">
        <x:f t="shared" si="23"/>
        <x:v>190</x:v>
      </x:c>
      <x:c r="M72" s="49">
        <x:f t="shared" si="23"/>
        <x:v>192</x:v>
      </x:c>
      <x:c r="N72" s="129">
        <x:f t="shared" si="23"/>
        <x:v>4020</x:v>
      </x:c>
      <x:c r="O72" s="126">
        <x:v>1</x:v>
      </x:c>
    </x:row>
    <x:row r="73" spans="2:15" ht="24.949999999999999" customHeight="1">
      <x:c r="B73" s="18" t="str">
        <x:f t="shared" si="23"/>
        <x:v>김 미 란</x:v>
      </x:c>
      <x:c r="C73" s="95">
        <x:f t="shared" si="23"/>
        <x:v>202</x:v>
      </x:c>
      <x:c r="D73" s="5">
        <x:f t="shared" si="23"/>
        <x:v>186</x:v>
      </x:c>
      <x:c r="E73" s="5">
        <x:f t="shared" si="23"/>
        <x:v>151</x:v>
      </x:c>
      <x:c r="F73" s="5">
        <x:f t="shared" si="23"/>
        <x:v>177</x:v>
      </x:c>
      <x:c r="G73" s="130" t="str">
        <x:f t="shared" si="23"/>
        <x:v/>
      </x:c>
      <x:c r="H73" s="127" t="str">
        <x:f t="shared" si="23"/>
        <x:v/>
      </x:c>
      <x:c r="I73" s="18" t="str">
        <x:f t="shared" si="23"/>
        <x:v>나 경 주</x:v>
      </x:c>
      <x:c r="J73" s="5">
        <x:f t="shared" si="23"/>
        <x:v>190</x:v>
      </x:c>
      <x:c r="K73" s="95">
        <x:f t="shared" si="23"/>
        <x:v>217</x:v>
      </x:c>
      <x:c r="L73" s="95">
        <x:f t="shared" si="23"/>
        <x:v>201</x:v>
      </x:c>
      <x:c r="M73" s="95">
        <x:f t="shared" si="23"/>
        <x:v>201</x:v>
      </x:c>
      <x:c r="N73" s="130" t="str">
        <x:f t="shared" si="23"/>
        <x:v/>
      </x:c>
      <x:c r="O73" s="127" t="str">
        <x:f t="shared" si="23"/>
        <x:v/>
      </x:c>
    </x:row>
    <x:row r="74" spans="2:15" ht="24.949999999999999" customHeight="1">
      <x:c r="B74" s="18" t="str">
        <x:f t="shared" si="23"/>
        <x:v>임 연 진</x:v>
      </x:c>
      <x:c r="C74" s="95">
        <x:f t="shared" si="23"/>
        <x:v>233</x:v>
      </x:c>
      <x:c r="D74" s="5">
        <x:f t="shared" si="23"/>
        <x:v>191</x:v>
      </x:c>
      <x:c r="E74" s="95">
        <x:f t="shared" si="23"/>
        <x:v>232</x:v>
      </x:c>
      <x:c r="F74" s="5">
        <x:f t="shared" si="23"/>
        <x:v>187</x:v>
      </x:c>
      <x:c r="G74" s="130" t="str">
        <x:f t="shared" si="23"/>
        <x:v/>
      </x:c>
      <x:c r="H74" s="127" t="str">
        <x:f t="shared" si="23"/>
        <x:v/>
      </x:c>
      <x:c r="I74" s="18" t="str">
        <x:f t="shared" si="23"/>
        <x:v>황 인 교</x:v>
      </x:c>
      <x:c r="J74" s="95">
        <x:f t="shared" si="23"/>
        <x:v>216</x:v>
      </x:c>
      <x:c r="K74" s="5">
        <x:f t="shared" si="23"/>
        <x:v>159</x:v>
      </x:c>
      <x:c r="L74" s="5">
        <x:f t="shared" si="23"/>
        <x:v>187</x:v>
      </x:c>
      <x:c r="M74" s="5">
        <x:f t="shared" si="23"/>
        <x:v>199</x:v>
      </x:c>
      <x:c r="N74" s="130" t="str">
        <x:f t="shared" si="23"/>
        <x:v/>
      </x:c>
      <x:c r="O74" s="127" t="str">
        <x:f t="shared" si="23"/>
        <x:v/>
      </x:c>
    </x:row>
    <x:row r="75" spans="2:15" ht="24.949999999999999" customHeight="1">
      <x:c r="B75" s="18" t="str">
        <x:f t="shared" si="23"/>
        <x:v>고 경 훈</x:v>
      </x:c>
      <x:c r="C75" s="5">
        <x:f t="shared" si="23"/>
        <x:v>173</x:v>
      </x:c>
      <x:c r="D75" s="95">
        <x:f t="shared" si="23"/>
        <x:v>248</x:v>
      </x:c>
      <x:c r="E75" s="5">
        <x:f t="shared" si="23"/>
        <x:v>161</x:v>
      </x:c>
      <x:c r="F75" s="95">
        <x:f t="shared" si="23"/>
        <x:v>277</x:v>
      </x:c>
      <x:c r="G75" s="130" t="str">
        <x:f t="shared" si="23"/>
        <x:v/>
      </x:c>
      <x:c r="H75" s="127" t="str">
        <x:f t="shared" si="23"/>
        <x:v/>
      </x:c>
      <x:c r="I75" s="18" t="str">
        <x:f t="shared" si="23"/>
        <x:v>김 남 주</x:v>
      </x:c>
      <x:c r="J75" s="5">
        <x:f t="shared" si="23"/>
        <x:v>191</x:v>
      </x:c>
      <x:c r="K75" s="95">
        <x:f t="shared" si="23"/>
        <x:v>201</x:v>
      </x:c>
      <x:c r="L75" s="95">
        <x:f t="shared" si="23"/>
        <x:v>214</x:v>
      </x:c>
      <x:c r="M75" s="95">
        <x:f t="shared" si="23"/>
        <x:v>215</x:v>
      </x:c>
      <x:c r="N75" s="130" t="str">
        <x:f t="shared" si="23"/>
        <x:v/>
      </x:c>
      <x:c r="O75" s="127" t="str">
        <x:f t="shared" si="23"/>
        <x:v/>
      </x:c>
    </x:row>
    <x:row r="76" spans="2:15" ht="24.949999999999999" customHeight="1">
      <x:c r="B76" s="18" t="str">
        <x:f t="shared" si="23"/>
        <x:v>이 승 미</x:v>
      </x:c>
      <x:c r="C76" s="5">
        <x:f t="shared" si="23"/>
        <x:v>151</x:v>
      </x:c>
      <x:c r="D76" s="5">
        <x:f t="shared" si="23"/>
        <x:v>137</x:v>
      </x:c>
      <x:c r="E76" s="95">
        <x:f t="shared" si="23"/>
        <x:v>210</x:v>
      </x:c>
      <x:c r="F76" s="5">
        <x:f t="shared" si="23"/>
        <x:v>169</x:v>
      </x:c>
      <x:c r="G76" s="130" t="str">
        <x:f t="shared" si="23"/>
        <x:v/>
      </x:c>
      <x:c r="H76" s="127" t="str">
        <x:f t="shared" si="23"/>
        <x:v/>
      </x:c>
      <x:c r="I76" s="18" t="str">
        <x:f t="shared" si="23"/>
        <x:v>김 정 희</x:v>
      </x:c>
      <x:c r="J76" s="95">
        <x:f t="shared" si="23"/>
        <x:v>235</x:v>
      </x:c>
      <x:c r="K76" s="5">
        <x:f t="shared" si="23"/>
        <x:v>196</x:v>
      </x:c>
      <x:c r="L76" s="5">
        <x:f t="shared" si="23"/>
        <x:v>168</x:v>
      </x:c>
      <x:c r="M76" s="95">
        <x:f t="shared" si="23"/>
        <x:v>212</x:v>
      </x:c>
      <x:c r="N76" s="130" t="str">
        <x:f t="shared" si="23"/>
        <x:v/>
      </x:c>
      <x:c r="O76" s="127" t="str">
        <x:f t="shared" si="23"/>
        <x:v/>
      </x:c>
    </x:row>
    <x:row r="77" spans="2:15" ht="24.949999999999999" customHeight="1">
      <x:c r="B77" s="30" t="str">
        <x:f t="shared" ref="B77:O77" si="24">IF(B37="","",B37)</x:f>
        <x:v/>
      </x:c>
      <x:c r="C77" s="91">
        <x:f t="shared" si="24"/>
        <x:v>1025</x:v>
      </x:c>
      <x:c r="D77" s="51">
        <x:f t="shared" si="24"/>
        <x:v>931</x:v>
      </x:c>
      <x:c r="E77" s="51">
        <x:f t="shared" si="24"/>
        <x:v>978</x:v>
      </x:c>
      <x:c r="F77" s="51">
        <x:f t="shared" si="24"/>
        <x:v>988</x:v>
      </x:c>
      <x:c r="G77" s="131" t="str">
        <x:f t="shared" si="24"/>
        <x:v/>
      </x:c>
      <x:c r="H77" s="128" t="str">
        <x:f t="shared" si="24"/>
        <x:v/>
      </x:c>
      <x:c r="I77" s="30" t="str">
        <x:f t="shared" si="24"/>
        <x:v/>
      </x:c>
      <x:c r="J77" s="91">
        <x:f t="shared" si="24"/>
        <x:v>1023</x:v>
      </x:c>
      <x:c r="K77" s="91">
        <x:f t="shared" si="24"/>
        <x:v>1018</x:v>
      </x:c>
      <x:c r="L77" s="51">
        <x:f t="shared" si="24"/>
        <x:v>960</x:v>
      </x:c>
      <x:c r="M77" s="91">
        <x:f t="shared" si="24"/>
        <x:v>1019</x:v>
      </x:c>
      <x:c r="N77" s="131" t="str">
        <x:f t="shared" si="24"/>
        <x:v/>
      </x:c>
      <x:c r="O77" s="128" t="str">
        <x:f t="shared" si="24"/>
        <x:v/>
      </x:c>
    </x:row>
    <x:row r="78" ht="24.949999999999999" customHeight="1"/>
  </x:sheetData>
  <x:mergeCells count="22">
    <x:mergeCell ref="G65:G70"/>
    <x:mergeCell ref="H65:H70"/>
    <x:mergeCell ref="N65:N70"/>
    <x:mergeCell ref="O65:O70"/>
    <x:mergeCell ref="G72:G77"/>
    <x:mergeCell ref="H72:H77"/>
    <x:mergeCell ref="N72:N77"/>
    <x:mergeCell ref="O72:O77"/>
    <x:mergeCell ref="A41:O41"/>
    <x:mergeCell ref="N42:O42"/>
    <x:mergeCell ref="B64:O64"/>
    <x:mergeCell ref="A1:O1"/>
    <x:mergeCell ref="N2:O2"/>
    <x:mergeCell ref="B24:O24"/>
    <x:mergeCell ref="H32:H37"/>
    <x:mergeCell ref="O32:O37"/>
    <x:mergeCell ref="G25:G30"/>
    <x:mergeCell ref="H25:H30"/>
    <x:mergeCell ref="N25:N30"/>
    <x:mergeCell ref="O25:O30"/>
    <x:mergeCell ref="G32:G37"/>
    <x:mergeCell ref="N32:N37"/>
  </x:mergeCells>
  <x:conditionalFormatting sqref="C4:E23">
    <x:cfRule type="cellIs" dxfId="61" priority="20" operator="between">
      <x:formula>200</x:formula>
      <x:formula>200</x:formula>
    </x:cfRule>
  </x:conditionalFormatting>
  <x:conditionalFormatting sqref="C4:F23">
    <x:cfRule type="cellIs" dxfId="60" priority="4" operator="between">
      <x:formula>200</x:formula>
      <x:formula>300</x:formula>
    </x:cfRule>
  </x:conditionalFormatting>
  <x:conditionalFormatting sqref="C44:F63">
    <x:cfRule type="cellIs" dxfId="58" priority="6" operator="between">
      <x:formula>200</x:formula>
      <x:formula>200</x:formula>
    </x:cfRule>
    <x:cfRule type="cellIs" dxfId="59" priority="5" operator="between">
      <x:formula>200</x:formula>
      <x:formula>300</x:formula>
    </x:cfRule>
  </x:conditionalFormatting>
  <x:conditionalFormatting sqref="G44:G63">
    <x:cfRule type="cellIs" dxfId="56" priority="16" operator="greaterThan">
      <x:formula>599</x:formula>
    </x:cfRule>
    <x:cfRule type="cellIs" dxfId="57" priority="11" operator="between">
      <x:formula>600</x:formula>
      <x:formula>900</x:formula>
    </x:cfRule>
  </x:conditionalFormatting>
  <x:conditionalFormatting sqref="H4:H23">
    <x:cfRule type="cellIs" dxfId="55" priority="26" operator="greaterThan">
      <x:formula>199.9</x:formula>
    </x:cfRule>
  </x:conditionalFormatting>
  <x:conditionalFormatting sqref="H44:H63">
    <x:cfRule type="cellIs" dxfId="54" priority="14" operator="greaterThan">
      <x:formula>199.9</x:formula>
    </x:cfRule>
  </x:conditionalFormatting>
  <x:conditionalFormatting sqref="H4:I23">
    <x:cfRule type="cellIs" dxfId="53" priority="17" operator="between">
      <x:formula>200</x:formula>
      <x:formula>300</x:formula>
    </x:cfRule>
  </x:conditionalFormatting>
  <x:conditionalFormatting sqref="H44:I63">
    <x:cfRule type="cellIs" dxfId="52" priority="10" operator="between">
      <x:formula>200</x:formula>
      <x:formula>300</x:formula>
    </x:cfRule>
  </x:conditionalFormatting>
  <x:conditionalFormatting sqref="I4:I23">
    <x:cfRule type="cellIs" dxfId="51" priority="27" operator="greaterThan">
      <x:formula>199</x:formula>
    </x:cfRule>
  </x:conditionalFormatting>
  <x:conditionalFormatting sqref="I44:I63">
    <x:cfRule type="cellIs" dxfId="50" priority="15" operator="greaterThan">
      <x:formula>199</x:formula>
    </x:cfRule>
  </x:conditionalFormatting>
  <x:conditionalFormatting sqref="G4:G23">
    <x:cfRule type="cellIs" dxfId="49" priority="1" operator="between">
      <x:formula>800</x:formula>
      <x:formula>1600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X79"/>
  <x:sheetViews>
    <x:sheetView topLeftCell="A1" zoomScale="90" zoomScaleNormal="90" zoomScaleSheetLayoutView="110" workbookViewId="0">
      <x:selection activeCell="L7" activeCellId="0" sqref="L7:L7"/>
    </x:sheetView>
  </x:sheetViews>
  <x:sheetFormatPr defaultColWidth="9" defaultRowHeight="16.399999999999999"/>
  <x:cols>
    <x:col min="1" max="1" width="4.625" style="3" customWidth="1"/>
    <x:col min="2" max="2" width="12.77734375" style="3" customWidth="1"/>
    <x:col min="3" max="8" width="10.77734375" style="3" customWidth="1"/>
    <x:col min="9" max="9" width="12.77734375" style="3" customWidth="1"/>
    <x:col min="10" max="15" width="10.77734375" style="3" customWidth="1"/>
    <x:col min="16" max="16" width="9.875" style="3" bestFit="1" customWidth="1"/>
    <x:col min="17" max="17" width="9.375" style="3" customWidth="1"/>
    <x:col min="19" max="19" width="10.625" style="3" customWidth="1"/>
    <x:col min="21" max="21" width="13.125" style="3" customWidth="1"/>
    <x:col min="22" max="22" width="11" style="3" bestFit="1" customWidth="1"/>
    <x:col min="23" max="23" width="15" style="3" customWidth="1"/>
    <x:col min="24" max="24" width="9" style="3" bestFit="1" customWidth="1"/>
  </x:cols>
  <x:sheetData>
    <x:row r="1" spans="1:15" ht="60" customHeight="1">
      <x:c r="A1" s="112" t="s">
        <x:v>65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</x:row>
    <x:row r="2" spans="1:24" ht="22.5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4" t="s">
        <x:v>48</x:v>
      </x:c>
      <x:c r="M2" s="34"/>
      <x:c r="N2" s="113">
        <x:v>46065</x:v>
      </x:c>
      <x:c r="O2" s="114"/>
      <x:c r="U2" s="35" t="s">
        <x:v>18</x:v>
      </x:c>
      <x:c r="V2" s="35">
        <x:v>1</x:v>
      </x:c>
      <x:c r="W2" s="35" t="s">
        <x:v>0</x:v>
      </x:c>
      <x:c r="X2" s="35">
        <x:v>1</x:v>
      </x:c>
    </x:row>
    <x:row r="3" spans="1:24" ht="24.949999999999999" customHeight="1">
      <x:c r="A3" s="13"/>
      <x:c r="B3" s="14" t="s">
        <x:v>14</x:v>
      </x:c>
      <x:c r="C3" s="14" t="s">
        <x:v>44</x:v>
      </x:c>
      <x:c r="D3" s="14" t="s">
        <x:v>55</x:v>
      </x:c>
      <x:c r="E3" s="14" t="s">
        <x:v>54</x:v>
      </x:c>
      <x:c r="F3" s="14" t="s">
        <x:v>53</x:v>
      </x:c>
      <x:c r="G3" s="14" t="s">
        <x:v>52</x:v>
      </x:c>
      <x:c r="H3" s="14" t="s">
        <x:v>47</x:v>
      </x:c>
      <x:c r="I3" s="15" t="s">
        <x:v>41</x:v>
      </x:c>
      <x:c r="J3" s="14" t="s">
        <x:v>44</x:v>
      </x:c>
      <x:c r="K3" s="14" t="s">
        <x:v>55</x:v>
      </x:c>
      <x:c r="L3" s="14" t="s">
        <x:v>54</x:v>
      </x:c>
      <x:c r="M3" s="14" t="s">
        <x:v>53</x:v>
      </x:c>
      <x:c r="N3" s="16" t="s">
        <x:v>52</x:v>
      </x:c>
      <x:c r="O3" s="17" t="s">
        <x:v>56</x:v>
      </x:c>
      <x:c r="U3" s="36" t="s">
        <x:v>58</x:v>
      </x:c>
      <x:c r="V3" s="36"/>
      <x:c r="W3" s="36"/>
      <x:c r="X3" s="36"/>
    </x:row>
    <x:row r="4" spans="1:24" ht="24.949999999999999" customHeight="1">
      <x:c r="A4" s="18">
        <x:v>1</x:v>
      </x:c>
      <x:c r="B4" s="90" t="s">
        <x:v>33</x:v>
      </x:c>
      <x:c r="C4" s="82">
        <x:v>196</x:v>
      </x:c>
      <x:c r="D4" s="82">
        <x:v>169</x:v>
      </x:c>
      <x:c r="E4" s="82">
        <x:v>258</x:v>
      </x:c>
      <x:c r="F4" s="82">
        <x:v>157</x:v>
      </x:c>
      <x:c r="G4" s="83">
        <x:f>F4+E4+D4+C4</x:f>
        <x:v>780</x:v>
      </x:c>
      <x:c r="H4" s="84">
        <x:f>G4/4</x:f>
        <x:v>195</x:v>
      </x:c>
      <x:c r="I4" s="85">
        <x:f>IF(B4="","",IFERROR(INDEX('회원명단 및 기준에버'!D:G,MATCH(B4,'회원명단 및 기준에버'!$C:$C,0),CHOOSE(INT((MONTH($N$2)-1)/3)+1,1,2,3,4)),""))</x:f>
        <x:v>200</x:v>
      </x:c>
      <x:c r="J4" s="86">
        <x:f>IFERROR(C4+-I4,0)</x:f>
        <x:v>-4</x:v>
      </x:c>
      <x:c r="K4" s="86">
        <x:f>IFERROR(D4+-I4,0)</x:f>
        <x:v>-31</x:v>
      </x:c>
      <x:c r="L4" s="86">
        <x:f>IFERROR(E4+-I4,0)</x:f>
        <x:v>58</x:v>
      </x:c>
      <x:c r="M4" s="86">
        <x:f>IFERROR(F4+-I4,0)</x:f>
        <x:v>-43</x:v>
      </x:c>
      <x:c r="N4" s="87">
        <x:f>SUM(J4:M4)</x:f>
        <x:v>-20</x:v>
      </x:c>
      <x:c r="O4" s="88">
        <x:f>IFERROR(H4+-I4,0)</x:f>
        <x:v>-5</x:v>
      </x:c>
      <x:c r="P4" s="25"/>
      <x:c r="U4" s="59">
        <x:f t="shared" ref="U4:U23" si="0">MAX(C4:F4)-MIN(C4:F4)</x:f>
        <x:v>101</x:v>
      </x:c>
      <x:c r="V4" s="60">
        <x:f>IF($X$2=0,(G4*1000000+U4*1000+A4),(O4*1000000+U4*1000+A4))</x:f>
        <x:v>-4898999</x:v>
      </x:c>
      <x:c r="W4" s="60">
        <x:f t="shared" ref="W4:W23" si="1">_xlfn.RANK.EQ(V4,$V$4:$V$23,0)</x:f>
        <x:v>12</x:v>
      </x:c>
      <x:c r="X4" s="61"/>
    </x:row>
    <x:row r="5" spans="1:24" ht="24.949999999999999" customHeight="1">
      <x:c r="A5" s="18">
        <x:v>2</x:v>
      </x:c>
      <x:c r="B5" s="90" t="s">
        <x:v>9</x:v>
      </x:c>
      <x:c r="C5" s="82">
        <x:v>216</x:v>
      </x:c>
      <x:c r="D5" s="82">
        <x:v>158</x:v>
      </x:c>
      <x:c r="E5" s="82">
        <x:v>182</x:v>
      </x:c>
      <x:c r="F5" s="82">
        <x:v>185</x:v>
      </x:c>
      <x:c r="G5" s="89">
        <x:f t="shared" ref="G5:G23" si="2">F5+E5+D5+C5</x:f>
        <x:v>741</x:v>
      </x:c>
      <x:c r="H5" s="84">
        <x:f t="shared" ref="H5:H23" si="3">G5/4</x:f>
        <x:v>185.25</x:v>
      </x:c>
      <x:c r="I5" s="85">
        <x:f>IF(B5="","",IFERROR(INDEX('회원명단 및 기준에버'!D:G,MATCH(B5,'회원명단 및 기준에버'!$C:$C,0),CHOOSE(INT((MONTH($N$2)-1)/3)+1,1,2,3,4)),""))</x:f>
        <x:v>191</x:v>
      </x:c>
      <x:c r="J5" s="86">
        <x:f>IFERROR(C5+-I5,0)</x:f>
        <x:v>25</x:v>
      </x:c>
      <x:c r="K5" s="86">
        <x:f>IFERROR(D5+-I5,0)</x:f>
        <x:v>-33</x:v>
      </x:c>
      <x:c r="L5" s="86">
        <x:f>IFERROR(E5+-I5,0)</x:f>
        <x:v>-9</x:v>
      </x:c>
      <x:c r="M5" s="86">
        <x:f t="shared" ref="M5:M22" si="4">IFERROR(F5+-I5,0)</x:f>
        <x:v>-6</x:v>
      </x:c>
      <x:c r="N5" s="87">
        <x:f t="shared" ref="N5:N23" si="5">SUM(J5:M5)</x:f>
        <x:v>-23</x:v>
      </x:c>
      <x:c r="O5" s="88">
        <x:f>IFERROR(H5+-I5,0)</x:f>
        <x:v>-5.75</x:v>
      </x:c>
      <x:c r="P5" s="25"/>
      <x:c r="U5" s="62">
        <x:f t="shared" si="0"/>
        <x:v>58</x:v>
      </x:c>
      <x:c r="V5" s="57">
        <x:f t="shared" ref="V5:V23" si="6">IF($X$2=0,(G5*1000000+U5*1000+A5),(O5*1000000+U5*1000+A5))</x:f>
        <x:v>-5691998</x:v>
      </x:c>
      <x:c r="W5" s="57">
        <x:f t="shared" si="1"/>
        <x:v>15</x:v>
      </x:c>
      <x:c r="X5" s="63"/>
    </x:row>
    <x:row r="6" spans="1:24" ht="24.949999999999999" customHeight="1">
      <x:c r="A6" s="18">
        <x:v>3</x:v>
      </x:c>
      <x:c r="B6" s="90" t="s">
        <x:v>39</x:v>
      </x:c>
      <x:c r="C6" s="82">
        <x:v>255</x:v>
      </x:c>
      <x:c r="D6" s="82">
        <x:v>232</x:v>
      </x:c>
      <x:c r="E6" s="82">
        <x:v>190</x:v>
      </x:c>
      <x:c r="F6" s="82">
        <x:v>197</x:v>
      </x:c>
      <x:c r="G6" s="89">
        <x:f t="shared" si="2"/>
        <x:v>874</x:v>
      </x:c>
      <x:c r="H6" s="84">
        <x:f t="shared" si="3"/>
        <x:v>218.5</x:v>
      </x:c>
      <x:c r="I6" s="85">
        <x:f>IF(B6="","",IFERROR(INDEX('회원명단 및 기준에버'!D:G,MATCH(B6,'회원명단 및 기준에버'!$C:$C,0),CHOOSE(INT((MONTH($N$2)-1)/3)+1,1,2,3,4)),""))</x:f>
        <x:v>198</x:v>
      </x:c>
      <x:c r="J6" s="86">
        <x:f t="shared" ref="J6:J22" si="7">IFERROR(C6+-I6,0)</x:f>
        <x:v>57</x:v>
      </x:c>
      <x:c r="K6" s="86">
        <x:f t="shared" ref="K6:K22" si="8">IFERROR(D6+-I6,0)</x:f>
        <x:v>34</x:v>
      </x:c>
      <x:c r="L6" s="86">
        <x:f t="shared" ref="L6:L22" si="9">IFERROR(E6+-I6,0)</x:f>
        <x:v>-8</x:v>
      </x:c>
      <x:c r="M6" s="86">
        <x:f t="shared" si="4"/>
        <x:v>-1</x:v>
      </x:c>
      <x:c r="N6" s="87">
        <x:f t="shared" si="5"/>
        <x:v>82</x:v>
      </x:c>
      <x:c r="O6" s="88">
        <x:f t="shared" ref="O6:O22" si="10">IFERROR(H6+-I6,0)</x:f>
        <x:v>20.5</x:v>
      </x:c>
      <x:c r="U6" s="62">
        <x:f t="shared" si="0"/>
        <x:v>65</x:v>
      </x:c>
      <x:c r="V6" s="57">
        <x:f t="shared" si="6"/>
        <x:v>20565003</x:v>
      </x:c>
      <x:c r="W6" s="57">
        <x:f t="shared" si="1"/>
        <x:v>2</x:v>
      </x:c>
      <x:c r="X6" s="63"/>
    </x:row>
    <x:row r="7" spans="1:24" ht="24.949999999999999" customHeight="1">
      <x:c r="A7" s="18">
        <x:v>4</x:v>
      </x:c>
      <x:c r="B7" s="90" t="s">
        <x:v>36</x:v>
      </x:c>
      <x:c r="C7" s="82">
        <x:v>169</x:v>
      </x:c>
      <x:c r="D7" s="82">
        <x:v>223</x:v>
      </x:c>
      <x:c r="E7" s="82">
        <x:v>180</x:v>
      </x:c>
      <x:c r="F7" s="82">
        <x:v>166</x:v>
      </x:c>
      <x:c r="G7" s="89">
        <x:f t="shared" si="2"/>
        <x:v>738</x:v>
      </x:c>
      <x:c r="H7" s="84">
        <x:f t="shared" si="3"/>
        <x:v>184.5</x:v>
      </x:c>
      <x:c r="I7" s="85">
        <x:f>IF(B7="","",IFERROR(INDEX('회원명단 및 기준에버'!D:G,MATCH(B7,'회원명단 및 기준에버'!$C:$C,0),CHOOSE(INT((MONTH($N$2)-1)/3)+1,1,2,3,4)),""))</x:f>
        <x:v>171</x:v>
      </x:c>
      <x:c r="J7" s="86">
        <x:f t="shared" si="7"/>
        <x:v>-2</x:v>
      </x:c>
      <x:c r="K7" s="86">
        <x:f t="shared" si="8"/>
        <x:v>52</x:v>
      </x:c>
      <x:c r="L7" s="86">
        <x:f t="shared" si="9"/>
        <x:v>9</x:v>
      </x:c>
      <x:c r="M7" s="86">
        <x:f t="shared" si="4"/>
        <x:v>-5</x:v>
      </x:c>
      <x:c r="N7" s="87">
        <x:f t="shared" si="5"/>
        <x:v>54</x:v>
      </x:c>
      <x:c r="O7" s="88">
        <x:f t="shared" si="10"/>
        <x:v>13.5</x:v>
      </x:c>
      <x:c r="U7" s="62">
        <x:f t="shared" si="0"/>
        <x:v>57</x:v>
      </x:c>
      <x:c r="V7" s="57">
        <x:f t="shared" si="6"/>
        <x:v>13557004</x:v>
      </x:c>
      <x:c r="W7" s="57">
        <x:f t="shared" si="1"/>
        <x:v>3</x:v>
      </x:c>
      <x:c r="X7" s="63"/>
    </x:row>
    <x:row r="8" spans="1:24" ht="24.949999999999999" customHeight="1">
      <x:c r="A8" s="18">
        <x:v>5</x:v>
      </x:c>
      <x:c r="B8" s="90" t="s">
        <x:v>17</x:v>
      </x:c>
      <x:c r="C8" s="82">
        <x:v>165</x:v>
      </x:c>
      <x:c r="D8" s="82">
        <x:v>172</x:v>
      </x:c>
      <x:c r="E8" s="82">
        <x:v>199</x:v>
      </x:c>
      <x:c r="F8" s="82">
        <x:v>151</x:v>
      </x:c>
      <x:c r="G8" s="89">
        <x:f t="shared" si="2"/>
        <x:v>687</x:v>
      </x:c>
      <x:c r="H8" s="84">
        <x:f t="shared" si="3"/>
        <x:v>171.75</x:v>
      </x:c>
      <x:c r="I8" s="85">
        <x:f>IF(B8="","",IFERROR(INDEX('회원명단 및 기준에버'!D:G,MATCH(B8,'회원명단 및 기준에버'!$C:$C,0),CHOOSE(INT((MONTH($N$2)-1)/3)+1,1,2,3,4)),""))</x:f>
        <x:v>184</x:v>
      </x:c>
      <x:c r="J8" s="86">
        <x:f t="shared" si="7"/>
        <x:v>-19</x:v>
      </x:c>
      <x:c r="K8" s="86">
        <x:f t="shared" si="8"/>
        <x:v>-12</x:v>
      </x:c>
      <x:c r="L8" s="86">
        <x:f t="shared" si="9"/>
        <x:v>15</x:v>
      </x:c>
      <x:c r="M8" s="86">
        <x:f t="shared" si="4"/>
        <x:v>-33</x:v>
      </x:c>
      <x:c r="N8" s="87">
        <x:f t="shared" si="5"/>
        <x:v>-49</x:v>
      </x:c>
      <x:c r="O8" s="88">
        <x:f t="shared" si="10"/>
        <x:v>-12.25</x:v>
      </x:c>
      <x:c r="U8" s="62">
        <x:f t="shared" si="0"/>
        <x:v>48</x:v>
      </x:c>
      <x:c r="V8" s="57">
        <x:f t="shared" si="6"/>
        <x:v>-12201995</x:v>
      </x:c>
      <x:c r="W8" s="57">
        <x:f t="shared" si="1"/>
        <x:v>18</x:v>
      </x:c>
      <x:c r="X8" s="63"/>
    </x:row>
    <x:row r="9" spans="1:24" ht="24.949999999999999" customHeight="1">
      <x:c r="A9" s="18">
        <x:v>6</x:v>
      </x:c>
      <x:c r="B9" s="90" t="s">
        <x:v>16</x:v>
      </x:c>
      <x:c r="C9" s="82">
        <x:v>216</x:v>
      </x:c>
      <x:c r="D9" s="82">
        <x:v>177</x:v>
      </x:c>
      <x:c r="E9" s="82">
        <x:v>233</x:v>
      </x:c>
      <x:c r="F9" s="82">
        <x:v>202</x:v>
      </x:c>
      <x:c r="G9" s="89">
        <x:f t="shared" si="2"/>
        <x:v>828</x:v>
      </x:c>
      <x:c r="H9" s="84">
        <x:f t="shared" si="3"/>
        <x:v>207</x:v>
      </x:c>
      <x:c r="I9" s="85">
        <x:f>IF(B9="","",IFERROR(INDEX('회원명단 및 기준에버'!D:G,MATCH(B9,'회원명단 및 기준에버'!$C:$C,0),CHOOSE(INT((MONTH($N$2)-1)/3)+1,1,2,3,4)),""))</x:f>
        <x:v>200</x:v>
      </x:c>
      <x:c r="J9" s="86">
        <x:f t="shared" si="7"/>
        <x:v>16</x:v>
      </x:c>
      <x:c r="K9" s="86">
        <x:f t="shared" si="8"/>
        <x:v>-23</x:v>
      </x:c>
      <x:c r="L9" s="86">
        <x:f t="shared" si="9"/>
        <x:v>33</x:v>
      </x:c>
      <x:c r="M9" s="86">
        <x:f t="shared" si="4"/>
        <x:v>2</x:v>
      </x:c>
      <x:c r="N9" s="87">
        <x:f t="shared" si="5"/>
        <x:v>28</x:v>
      </x:c>
      <x:c r="O9" s="88">
        <x:f t="shared" si="10"/>
        <x:v>7</x:v>
      </x:c>
      <x:c r="U9" s="62">
        <x:f t="shared" si="0"/>
        <x:v>56</x:v>
      </x:c>
      <x:c r="V9" s="57">
        <x:f t="shared" si="6"/>
        <x:v>7056006</x:v>
      </x:c>
      <x:c r="W9" s="57">
        <x:f t="shared" si="1"/>
        <x:v>5</x:v>
      </x:c>
      <x:c r="X9" s="63"/>
    </x:row>
    <x:row r="10" spans="1:24" ht="24.949999999999999" customHeight="1">
      <x:c r="A10" s="18">
        <x:v>7</x:v>
      </x:c>
      <x:c r="B10" s="90" t="s">
        <x:v>3</x:v>
      </x:c>
      <x:c r="C10" s="82">
        <x:v>179</x:v>
      </x:c>
      <x:c r="D10" s="82">
        <x:v>194</x:v>
      </x:c>
      <x:c r="E10" s="82">
        <x:v>189</x:v>
      </x:c>
      <x:c r="F10" s="82">
        <x:v>224</x:v>
      </x:c>
      <x:c r="G10" s="89">
        <x:f t="shared" si="2"/>
        <x:v>786</x:v>
      </x:c>
      <x:c r="H10" s="84">
        <x:f t="shared" si="3"/>
        <x:v>196.5</x:v>
      </x:c>
      <x:c r="I10" s="85">
        <x:f>IF(B10="","",IFERROR(INDEX('회원명단 및 기준에버'!D:G,MATCH(B10,'회원명단 및 기준에버'!$C:$C,0),CHOOSE(INT((MONTH($N$2)-1)/3)+1,1,2,3,4)),""))</x:f>
        <x:v>192</x:v>
      </x:c>
      <x:c r="J10" s="86">
        <x:f t="shared" si="7"/>
        <x:v>-13</x:v>
      </x:c>
      <x:c r="K10" s="86">
        <x:f t="shared" si="8"/>
        <x:v>2</x:v>
      </x:c>
      <x:c r="L10" s="86">
        <x:f t="shared" si="9"/>
        <x:v>-3</x:v>
      </x:c>
      <x:c r="M10" s="86">
        <x:f t="shared" si="4"/>
        <x:v>32</x:v>
      </x:c>
      <x:c r="N10" s="87">
        <x:f t="shared" si="5"/>
        <x:v>18</x:v>
      </x:c>
      <x:c r="O10" s="88">
        <x:f t="shared" si="10"/>
        <x:v>4.5</x:v>
      </x:c>
      <x:c r="U10" s="62">
        <x:f t="shared" si="0"/>
        <x:v>45</x:v>
      </x:c>
      <x:c r="V10" s="57">
        <x:f t="shared" si="6"/>
        <x:v>4545007</x:v>
      </x:c>
      <x:c r="W10" s="57">
        <x:f t="shared" si="1"/>
        <x:v>7</x:v>
      </x:c>
      <x:c r="X10" s="63"/>
    </x:row>
    <x:row r="11" spans="1:24" ht="24.949999999999999" customHeight="1">
      <x:c r="A11" s="18">
        <x:v>8</x:v>
      </x:c>
      <x:c r="B11" s="90" t="s">
        <x:v>31</x:v>
      </x:c>
      <x:c r="C11" s="82">
        <x:v>197</x:v>
      </x:c>
      <x:c r="D11" s="82">
        <x:v>167</x:v>
      </x:c>
      <x:c r="E11" s="82">
        <x:v>176</x:v>
      </x:c>
      <x:c r="F11" s="82">
        <x:v>224</x:v>
      </x:c>
      <x:c r="G11" s="89">
        <x:f t="shared" si="2"/>
        <x:v>764</x:v>
      </x:c>
      <x:c r="H11" s="84">
        <x:f t="shared" si="3"/>
        <x:v>191</x:v>
      </x:c>
      <x:c r="I11" s="85">
        <x:f>IF(B11="","",IFERROR(INDEX('회원명단 및 기준에버'!D:G,MATCH(B11,'회원명단 및 기준에버'!$C:$C,0),CHOOSE(INT((MONTH($N$2)-1)/3)+1,1,2,3,4)),""))</x:f>
        <x:v>198</x:v>
      </x:c>
      <x:c r="J11" s="86">
        <x:v>0</x:v>
      </x:c>
      <x:c r="K11" s="86">
        <x:v>0</x:v>
      </x:c>
      <x:c r="L11" s="86">
        <x:v>0</x:v>
      </x:c>
      <x:c r="M11" s="86">
        <x:v>0</x:v>
      </x:c>
      <x:c r="N11" s="87">
        <x:f t="shared" si="5"/>
        <x:v>0</x:v>
      </x:c>
      <x:c r="O11" s="88">
        <x:v>0</x:v>
      </x:c>
      <x:c r="U11" s="62">
        <x:f t="shared" si="0"/>
        <x:v>57</x:v>
      </x:c>
      <x:c r="V11" s="57">
        <x:f t="shared" si="6"/>
        <x:v>57008</x:v>
      </x:c>
      <x:c r="W11" s="57">
        <x:f t="shared" si="1"/>
        <x:v>8</x:v>
      </x:c>
      <x:c r="X11" s="63"/>
    </x:row>
    <x:row r="12" spans="1:24" ht="24.949999999999999" customHeight="1">
      <x:c r="A12" s="18">
        <x:v>9</x:v>
      </x:c>
      <x:c r="B12" s="90" t="s">
        <x:v>5</x:v>
      </x:c>
      <x:c r="C12" s="82">
        <x:v>146</x:v>
      </x:c>
      <x:c r="D12" s="82">
        <x:v>181</x:v>
      </x:c>
      <x:c r="E12" s="82">
        <x:v>146</x:v>
      </x:c>
      <x:c r="F12" s="82">
        <x:v>149</x:v>
      </x:c>
      <x:c r="G12" s="89">
        <x:f t="shared" si="2"/>
        <x:v>622</x:v>
      </x:c>
      <x:c r="H12" s="84">
        <x:f t="shared" si="3"/>
        <x:v>155.5</x:v>
      </x:c>
      <x:c r="I12" s="85">
        <x:f>IF(B12="","",IFERROR(INDEX('회원명단 및 기준에버'!D:G,MATCH(B12,'회원명단 및 기준에버'!$C:$C,0),CHOOSE(INT((MONTH($N$2)-1)/3)+1,1,2,3,4)),""))</x:f>
        <x:v>161</x:v>
      </x:c>
      <x:c r="J12" s="86">
        <x:f t="shared" si="7"/>
        <x:v>-15</x:v>
      </x:c>
      <x:c r="K12" s="86">
        <x:f t="shared" si="8"/>
        <x:v>20</x:v>
      </x:c>
      <x:c r="L12" s="86">
        <x:f t="shared" si="9"/>
        <x:v>-15</x:v>
      </x:c>
      <x:c r="M12" s="86">
        <x:f t="shared" si="4"/>
        <x:v>-12</x:v>
      </x:c>
      <x:c r="N12" s="87">
        <x:f t="shared" si="5"/>
        <x:v>-22</x:v>
      </x:c>
      <x:c r="O12" s="88">
        <x:f t="shared" si="10"/>
        <x:v>-5.5</x:v>
      </x:c>
      <x:c r="U12" s="62">
        <x:f t="shared" si="0"/>
        <x:v>35</x:v>
      </x:c>
      <x:c r="V12" s="57">
        <x:f t="shared" si="6"/>
        <x:v>-5464991</x:v>
      </x:c>
      <x:c r="W12" s="57">
        <x:f t="shared" si="1"/>
        <x:v>13</x:v>
      </x:c>
      <x:c r="X12" s="63"/>
    </x:row>
    <x:row r="13" spans="1:24" ht="24.949999999999999" customHeight="1">
      <x:c r="A13" s="18">
        <x:v>10</x:v>
      </x:c>
      <x:c r="B13" s="90" t="s">
        <x:v>20</x:v>
      </x:c>
      <x:c r="C13" s="82">
        <x:v>159</x:v>
      </x:c>
      <x:c r="D13" s="82">
        <x:v>215</x:v>
      </x:c>
      <x:c r="E13" s="82">
        <x:v>149</x:v>
      </x:c>
      <x:c r="F13" s="82">
        <x:v>186</x:v>
      </x:c>
      <x:c r="G13" s="89">
        <x:f t="shared" si="2"/>
        <x:v>709</x:v>
      </x:c>
      <x:c r="H13" s="84">
        <x:f t="shared" si="3"/>
        <x:v>177.25</x:v>
      </x:c>
      <x:c r="I13" s="85">
        <x:f>IF(B13="","",IFERROR(INDEX('회원명단 및 기준에버'!D:G,MATCH(B13,'회원명단 및 기준에버'!$C:$C,0),CHOOSE(INT((MONTH($N$2)-1)/3)+1,1,2,3,4)),""))</x:f>
        <x:v>183</x:v>
      </x:c>
      <x:c r="J13" s="86">
        <x:f t="shared" si="7"/>
        <x:v>-24</x:v>
      </x:c>
      <x:c r="K13" s="86">
        <x:f t="shared" si="8"/>
        <x:v>32</x:v>
      </x:c>
      <x:c r="L13" s="86">
        <x:f t="shared" si="9"/>
        <x:v>-34</x:v>
      </x:c>
      <x:c r="M13" s="86">
        <x:f t="shared" si="4"/>
        <x:v>3</x:v>
      </x:c>
      <x:c r="N13" s="87">
        <x:f t="shared" si="5"/>
        <x:v>-23</x:v>
      </x:c>
      <x:c r="O13" s="88">
        <x:f t="shared" si="10"/>
        <x:v>-5.75</x:v>
      </x:c>
      <x:c r="U13" s="62">
        <x:f t="shared" si="0"/>
        <x:v>66</x:v>
      </x:c>
      <x:c r="V13" s="57">
        <x:f t="shared" si="6"/>
        <x:v>-5683990</x:v>
      </x:c>
      <x:c r="W13" s="57">
        <x:f t="shared" si="1"/>
        <x:v>14</x:v>
      </x:c>
      <x:c r="X13" s="63"/>
    </x:row>
    <x:row r="14" spans="1:24" ht="24.949999999999999" customHeight="1">
      <x:c r="A14" s="18">
        <x:v>11</x:v>
      </x:c>
      <x:c r="B14" s="90" t="s">
        <x:v>29</x:v>
      </x:c>
      <x:c r="C14" s="82">
        <x:v>224</x:v>
      </x:c>
      <x:c r="D14" s="82">
        <x:v>159</x:v>
      </x:c>
      <x:c r="E14" s="82">
        <x:v>191</x:v>
      </x:c>
      <x:c r="F14" s="82">
        <x:v>196</x:v>
      </x:c>
      <x:c r="G14" s="89">
        <x:f t="shared" si="2"/>
        <x:v>770</x:v>
      </x:c>
      <x:c r="H14" s="84">
        <x:f t="shared" si="3"/>
        <x:v>192.5</x:v>
      </x:c>
      <x:c r="I14" s="85">
        <x:f>IF(B14="","",IFERROR(INDEX('회원명단 및 기준에버'!D:G,MATCH(B14,'회원명단 및 기준에버'!$C:$C,0),CHOOSE(INT((MONTH($N$2)-1)/3)+1,1,2,3,4)),""))</x:f>
        <x:v>200</x:v>
      </x:c>
      <x:c r="J14" s="86">
        <x:f t="shared" si="7"/>
        <x:v>24</x:v>
      </x:c>
      <x:c r="K14" s="86">
        <x:f t="shared" si="8"/>
        <x:v>-41</x:v>
      </x:c>
      <x:c r="L14" s="86">
        <x:f t="shared" si="9"/>
        <x:v>-9</x:v>
      </x:c>
      <x:c r="M14" s="86">
        <x:f t="shared" si="4"/>
        <x:v>-4</x:v>
      </x:c>
      <x:c r="N14" s="87">
        <x:f t="shared" si="5"/>
        <x:v>-30</x:v>
      </x:c>
      <x:c r="O14" s="88">
        <x:f t="shared" si="10"/>
        <x:v>-7.5</x:v>
      </x:c>
      <x:c r="U14" s="62">
        <x:f t="shared" si="0"/>
        <x:v>65</x:v>
      </x:c>
      <x:c r="V14" s="57">
        <x:f t="shared" si="6"/>
        <x:v>-7434989</x:v>
      </x:c>
      <x:c r="W14" s="57">
        <x:f t="shared" si="1"/>
        <x:v>16</x:v>
      </x:c>
      <x:c r="X14" s="63"/>
    </x:row>
    <x:row r="15" spans="1:24" ht="24.949999999999999" customHeight="1">
      <x:c r="A15" s="18">
        <x:v>12</x:v>
      </x:c>
      <x:c r="B15" s="90" t="s">
        <x:v>12</x:v>
      </x:c>
      <x:c r="C15" s="82">
        <x:v>206</x:v>
      </x:c>
      <x:c r="D15" s="82">
        <x:v>183</x:v>
      </x:c>
      <x:c r="E15" s="82">
        <x:v>172</x:v>
      </x:c>
      <x:c r="F15" s="82">
        <x:v>206</x:v>
      </x:c>
      <x:c r="G15" s="89">
        <x:f t="shared" si="2"/>
        <x:v>767</x:v>
      </x:c>
      <x:c r="H15" s="84">
        <x:f t="shared" si="3"/>
        <x:v>191.75</x:v>
      </x:c>
      <x:c r="I15" s="85">
        <x:f>IF(B15="","",IFERROR(INDEX('회원명단 및 기준에버'!D:G,MATCH(B15,'회원명단 및 기준에버'!$C:$C,0),CHOOSE(INT((MONTH($N$2)-1)/3)+1,1,2,3,4)),""))</x:f>
        <x:v>196</x:v>
      </x:c>
      <x:c r="J15" s="86">
        <x:f t="shared" si="7"/>
        <x:v>10</x:v>
      </x:c>
      <x:c r="K15" s="86">
        <x:f t="shared" si="8"/>
        <x:v>-13</x:v>
      </x:c>
      <x:c r="L15" s="86">
        <x:f t="shared" si="9"/>
        <x:v>-24</x:v>
      </x:c>
      <x:c r="M15" s="86">
        <x:f t="shared" si="4"/>
        <x:v>10</x:v>
      </x:c>
      <x:c r="N15" s="87">
        <x:f t="shared" si="5"/>
        <x:v>-17</x:v>
      </x:c>
      <x:c r="O15" s="88">
        <x:f t="shared" si="10"/>
        <x:v>-4.25</x:v>
      </x:c>
      <x:c r="U15" s="62">
        <x:f t="shared" si="0"/>
        <x:v>34</x:v>
      </x:c>
      <x:c r="V15" s="57">
        <x:f t="shared" si="6"/>
        <x:v>-4215988</x:v>
      </x:c>
      <x:c r="W15" s="57">
        <x:f t="shared" si="1"/>
        <x:v>11</x:v>
      </x:c>
      <x:c r="X15" s="63"/>
    </x:row>
    <x:row r="16" spans="1:24" ht="24.949999999999999" customHeight="1">
      <x:c r="A16" s="18">
        <x:v>13</x:v>
      </x:c>
      <x:c r="B16" s="90" t="s">
        <x:v>38</x:v>
      </x:c>
      <x:c r="C16" s="82">
        <x:v>184</x:v>
      </x:c>
      <x:c r="D16" s="82">
        <x:v>191</x:v>
      </x:c>
      <x:c r="E16" s="82">
        <x:v>203</x:v>
      </x:c>
      <x:c r="F16" s="82">
        <x:v>189</x:v>
      </x:c>
      <x:c r="G16" s="89">
        <x:f t="shared" si="2"/>
        <x:v>767</x:v>
      </x:c>
      <x:c r="H16" s="84">
        <x:f t="shared" si="3"/>
        <x:v>191.75</x:v>
      </x:c>
      <x:c r="I16" s="85">
        <x:f>IF(B16="","",IFERROR(INDEX('회원명단 및 기준에버'!D:G,MATCH(B16,'회원명단 및 기준에버'!$C:$C,0),CHOOSE(INT((MONTH($N$2)-1)/3)+1,1,2,3,4)),""))</x:f>
        <x:v>195</x:v>
      </x:c>
      <x:c r="J16" s="86">
        <x:f t="shared" si="7"/>
        <x:v>-11</x:v>
      </x:c>
      <x:c r="K16" s="86">
        <x:f t="shared" si="8"/>
        <x:v>-4</x:v>
      </x:c>
      <x:c r="L16" s="86">
        <x:f t="shared" si="9"/>
        <x:v>8</x:v>
      </x:c>
      <x:c r="M16" s="86">
        <x:f t="shared" si="4"/>
        <x:v>-6</x:v>
      </x:c>
      <x:c r="N16" s="87">
        <x:f t="shared" si="5"/>
        <x:v>-13</x:v>
      </x:c>
      <x:c r="O16" s="88">
        <x:f t="shared" si="10"/>
        <x:v>-3.25</x:v>
      </x:c>
      <x:c r="U16" s="62">
        <x:f t="shared" si="0"/>
        <x:v>19</x:v>
      </x:c>
      <x:c r="V16" s="57">
        <x:f t="shared" si="6"/>
        <x:v>-3230987</x:v>
      </x:c>
      <x:c r="W16" s="57">
        <x:f t="shared" si="1"/>
        <x:v>10</x:v>
      </x:c>
      <x:c r="X16" s="63"/>
    </x:row>
    <x:row r="17" spans="1:24" ht="24.949999999999999" customHeight="1">
      <x:c r="A17" s="18">
        <x:v>14</x:v>
      </x:c>
      <x:c r="B17" s="90" t="s">
        <x:v>13</x:v>
      </x:c>
      <x:c r="C17" s="82">
        <x:v>160</x:v>
      </x:c>
      <x:c r="D17" s="82">
        <x:v>179</x:v>
      </x:c>
      <x:c r="E17" s="82">
        <x:v>164</x:v>
      </x:c>
      <x:c r="F17" s="82">
        <x:v>178</x:v>
      </x:c>
      <x:c r="G17" s="89">
        <x:f t="shared" si="2"/>
        <x:v>681</x:v>
      </x:c>
      <x:c r="H17" s="84">
        <x:f t="shared" si="3"/>
        <x:v>170.25</x:v>
      </x:c>
      <x:c r="I17" s="85">
        <x:f>IF(B17="","",IFERROR(INDEX('회원명단 및 기준에버'!D:G,MATCH(B17,'회원명단 및 기준에버'!$C:$C,0),CHOOSE(INT((MONTH($N$2)-1)/3)+1,1,2,3,4)),""))</x:f>
        <x:v>165</x:v>
      </x:c>
      <x:c r="J17" s="86">
        <x:f t="shared" si="7"/>
        <x:v>-5</x:v>
      </x:c>
      <x:c r="K17" s="86">
        <x:f t="shared" si="8"/>
        <x:v>14</x:v>
      </x:c>
      <x:c r="L17" s="86">
        <x:f t="shared" si="9"/>
        <x:v>-1</x:v>
      </x:c>
      <x:c r="M17" s="86">
        <x:f t="shared" si="4"/>
        <x:v>13</x:v>
      </x:c>
      <x:c r="N17" s="87">
        <x:f t="shared" si="5"/>
        <x:v>21</x:v>
      </x:c>
      <x:c r="O17" s="88">
        <x:f t="shared" si="10"/>
        <x:v>5.25</x:v>
      </x:c>
      <x:c r="U17" s="62">
        <x:f t="shared" si="0"/>
        <x:v>19</x:v>
      </x:c>
      <x:c r="V17" s="57">
        <x:f t="shared" si="6"/>
        <x:v>5269014</x:v>
      </x:c>
      <x:c r="W17" s="57">
        <x:f t="shared" si="1"/>
        <x:v>6</x:v>
      </x:c>
      <x:c r="X17" s="63"/>
    </x:row>
    <x:row r="18" spans="1:24" ht="24.949999999999999" customHeight="1">
      <x:c r="A18" s="18">
        <x:v>15</x:v>
      </x:c>
      <x:c r="B18" s="90" t="s">
        <x:v>8</x:v>
      </x:c>
      <x:c r="C18" s="82">
        <x:v>159</x:v>
      </x:c>
      <x:c r="D18" s="82">
        <x:v>156</x:v>
      </x:c>
      <x:c r="E18" s="82">
        <x:v>180</x:v>
      </x:c>
      <x:c r="F18" s="82">
        <x:v>170</x:v>
      </x:c>
      <x:c r="G18" s="89">
        <x:f t="shared" si="2"/>
        <x:v>665</x:v>
      </x:c>
      <x:c r="H18" s="84">
        <x:f t="shared" si="3"/>
        <x:v>166.25</x:v>
      </x:c>
      <x:c r="I18" s="85">
        <x:f>IF(B18="","",IFERROR(INDEX('회원명단 및 기준에버'!D:G,MATCH(B18,'회원명단 및 기준에버'!$C:$C,0),CHOOSE(INT((MONTH($N$2)-1)/3)+1,1,2,3,4)),""))</x:f>
        <x:v>184</x:v>
      </x:c>
      <x:c r="J18" s="86">
        <x:f t="shared" si="7"/>
        <x:v>-25</x:v>
      </x:c>
      <x:c r="K18" s="86">
        <x:f t="shared" si="8"/>
        <x:v>-28</x:v>
      </x:c>
      <x:c r="L18" s="86">
        <x:f t="shared" si="9"/>
        <x:v>-4</x:v>
      </x:c>
      <x:c r="M18" s="86">
        <x:f t="shared" si="4"/>
        <x:v>-14</x:v>
      </x:c>
      <x:c r="N18" s="87">
        <x:f t="shared" si="5"/>
        <x:v>-71</x:v>
      </x:c>
      <x:c r="O18" s="88">
        <x:f t="shared" si="10"/>
        <x:v>-17.75</x:v>
      </x:c>
      <x:c r="U18" s="62">
        <x:f t="shared" si="0"/>
        <x:v>24</x:v>
      </x:c>
      <x:c r="V18" s="57">
        <x:f t="shared" si="6"/>
        <x:v>-17725985</x:v>
      </x:c>
      <x:c r="W18" s="57">
        <x:f t="shared" si="1"/>
        <x:v>19</x:v>
      </x:c>
      <x:c r="X18" s="63"/>
    </x:row>
    <x:row r="19" spans="1:24" ht="24.949999999999999" customHeight="1">
      <x:c r="A19" s="18">
        <x:v>16</x:v>
      </x:c>
      <x:c r="B19" s="90" t="s">
        <x:v>22</x:v>
      </x:c>
      <x:c r="C19" s="82">
        <x:v>143</x:v>
      </x:c>
      <x:c r="D19" s="82">
        <x:v>166</x:v>
      </x:c>
      <x:c r="E19" s="82">
        <x:v>200</x:v>
      </x:c>
      <x:c r="F19" s="82">
        <x:v>184</x:v>
      </x:c>
      <x:c r="G19" s="89">
        <x:f t="shared" si="2"/>
        <x:v>693</x:v>
      </x:c>
      <x:c r="H19" s="84">
        <x:f t="shared" si="3"/>
        <x:v>173.25</x:v>
      </x:c>
      <x:c r="I19" s="85">
        <x:f>IF(B19="","",IFERROR(INDEX('회원명단 및 기준에버'!D:G,MATCH(B19,'회원명단 및 기준에버'!$C:$C,0),CHOOSE(INT((MONTH($N$2)-1)/3)+1,1,2,3,4)),""))</x:f>
        <x:v>194</x:v>
      </x:c>
      <x:c r="J19" s="86">
        <x:f t="shared" si="7"/>
        <x:v>-51</x:v>
      </x:c>
      <x:c r="K19" s="86">
        <x:f t="shared" si="8"/>
        <x:v>-28</x:v>
      </x:c>
      <x:c r="L19" s="86">
        <x:f t="shared" si="9"/>
        <x:v>6</x:v>
      </x:c>
      <x:c r="M19" s="86">
        <x:f t="shared" si="4"/>
        <x:v>-10</x:v>
      </x:c>
      <x:c r="N19" s="87">
        <x:f t="shared" si="5"/>
        <x:v>-83</x:v>
      </x:c>
      <x:c r="O19" s="88">
        <x:f t="shared" si="10"/>
        <x:v>-20.75</x:v>
      </x:c>
      <x:c r="U19" s="62">
        <x:f t="shared" si="0"/>
        <x:v>57</x:v>
      </x:c>
      <x:c r="V19" s="57">
        <x:f t="shared" si="6"/>
        <x:v>-20692984</x:v>
      </x:c>
      <x:c r="W19" s="57">
        <x:f t="shared" si="1"/>
        <x:v>20</x:v>
      </x:c>
      <x:c r="X19" s="63"/>
    </x:row>
    <x:row r="20" spans="1:24" ht="24.949999999999999" customHeight="1">
      <x:c r="A20" s="18">
        <x:v>17</x:v>
      </x:c>
      <x:c r="B20" s="90" t="s">
        <x:v>23</x:v>
      </x:c>
      <x:c r="C20" s="82">
        <x:v>185</x:v>
      </x:c>
      <x:c r="D20" s="82">
        <x:v>235</x:v>
      </x:c>
      <x:c r="E20" s="82">
        <x:v>213</x:v>
      </x:c>
      <x:c r="F20" s="82">
        <x:v>198</x:v>
      </x:c>
      <x:c r="G20" s="89">
        <x:f t="shared" si="2"/>
        <x:v>831</x:v>
      </x:c>
      <x:c r="H20" s="84">
        <x:f t="shared" si="3"/>
        <x:v>207.75</x:v>
      </x:c>
      <x:c r="I20" s="85">
        <x:f>IF(B20="","",IFERROR(INDEX('회원명단 및 기준에버'!D:G,MATCH(B20,'회원명단 및 기준에버'!$C:$C,0),CHOOSE(INT((MONTH($N$2)-1)/3)+1,1,2,3,4)),""))</x:f>
        <x:v>184</x:v>
      </x:c>
      <x:c r="J20" s="86">
        <x:f t="shared" si="7"/>
        <x:v>1</x:v>
      </x:c>
      <x:c r="K20" s="86">
        <x:f t="shared" si="8"/>
        <x:v>51</x:v>
      </x:c>
      <x:c r="L20" s="86">
        <x:f t="shared" si="9"/>
        <x:v>29</x:v>
      </x:c>
      <x:c r="M20" s="86">
        <x:f t="shared" si="4"/>
        <x:v>14</x:v>
      </x:c>
      <x:c r="N20" s="87">
        <x:f t="shared" si="5"/>
        <x:v>95</x:v>
      </x:c>
      <x:c r="O20" s="88">
        <x:f t="shared" si="10"/>
        <x:v>23.75</x:v>
      </x:c>
      <x:c r="U20" s="62">
        <x:f t="shared" si="0"/>
        <x:v>50</x:v>
      </x:c>
      <x:c r="V20" s="57">
        <x:f t="shared" si="6"/>
        <x:v>23800017</x:v>
      </x:c>
      <x:c r="W20" s="57">
        <x:f t="shared" si="1"/>
        <x:v>1</x:v>
      </x:c>
      <x:c r="X20" s="63"/>
    </x:row>
    <x:row r="21" spans="1:24" ht="24.949999999999999" customHeight="1">
      <x:c r="A21" s="18">
        <x:v>18</x:v>
      </x:c>
      <x:c r="B21" s="90" t="s">
        <x:v>15</x:v>
      </x:c>
      <x:c r="C21" s="82">
        <x:v>200</x:v>
      </x:c>
      <x:c r="D21" s="82">
        <x:v>176</x:v>
      </x:c>
      <x:c r="E21" s="82">
        <x:v>233</x:v>
      </x:c>
      <x:c r="F21" s="82">
        <x:v>181</x:v>
      </x:c>
      <x:c r="G21" s="89">
        <x:f t="shared" si="2"/>
        <x:v>790</x:v>
      </x:c>
      <x:c r="H21" s="84">
        <x:f t="shared" si="3"/>
        <x:v>197.5</x:v>
      </x:c>
      <x:c r="I21" s="85">
        <x:f>IF(B21="","",IFERROR(INDEX('회원명단 및 기준에버'!D:G,MATCH(B21,'회원명단 및 기준에버'!$C:$C,0),CHOOSE(INT((MONTH($N$2)-1)/3)+1,1,2,3,4)),""))</x:f>
        <x:v>187</x:v>
      </x:c>
      <x:c r="J21" s="86">
        <x:f t="shared" si="7"/>
        <x:v>13</x:v>
      </x:c>
      <x:c r="K21" s="86">
        <x:f t="shared" si="8"/>
        <x:v>-11</x:v>
      </x:c>
      <x:c r="L21" s="86">
        <x:f t="shared" si="9"/>
        <x:v>46</x:v>
      </x:c>
      <x:c r="M21" s="86">
        <x:f t="shared" si="4"/>
        <x:v>-6</x:v>
      </x:c>
      <x:c r="N21" s="87">
        <x:f t="shared" si="5"/>
        <x:v>42</x:v>
      </x:c>
      <x:c r="O21" s="88">
        <x:f t="shared" si="10"/>
        <x:v>10.5</x:v>
      </x:c>
      <x:c r="U21" s="62">
        <x:f t="shared" si="0"/>
        <x:v>57</x:v>
      </x:c>
      <x:c r="V21" s="57">
        <x:f t="shared" si="6"/>
        <x:v>10557018</x:v>
      </x:c>
      <x:c r="W21" s="57">
        <x:f t="shared" si="1"/>
        <x:v>4</x:v>
      </x:c>
      <x:c r="X21" s="63"/>
    </x:row>
    <x:row r="22" spans="1:24" ht="24.949999999999999" customHeight="1">
      <x:c r="A22" s="18">
        <x:v>19</x:v>
      </x:c>
      <x:c r="B22" s="90" t="s">
        <x:v>37</x:v>
      </x:c>
      <x:c r="C22" s="82">
        <x:v>139</x:v>
      </x:c>
      <x:c r="D22" s="82">
        <x:v>132</x:v>
      </x:c>
      <x:c r="E22" s="82">
        <x:v>149</x:v>
      </x:c>
      <x:c r="F22" s="82">
        <x:v>139</x:v>
      </x:c>
      <x:c r="G22" s="89">
        <x:f t="shared" si="2"/>
        <x:v>559</x:v>
      </x:c>
      <x:c r="H22" s="84">
        <x:f t="shared" si="3"/>
        <x:v>139.75</x:v>
      </x:c>
      <x:c r="I22" s="85">
        <x:f>IF(B22="","",IFERROR(INDEX('회원명단 및 기준에버'!D:G,MATCH(B22,'회원명단 및 기준에버'!$C:$C,0),CHOOSE(INT((MONTH($N$2)-1)/3)+1,1,2,3,4)),""))</x:f>
        <x:v>151</x:v>
      </x:c>
      <x:c r="J22" s="86">
        <x:f t="shared" si="7"/>
        <x:v>-12</x:v>
      </x:c>
      <x:c r="K22" s="86">
        <x:f t="shared" si="8"/>
        <x:v>-19</x:v>
      </x:c>
      <x:c r="L22" s="86">
        <x:f t="shared" si="9"/>
        <x:v>-2</x:v>
      </x:c>
      <x:c r="M22" s="86">
        <x:f t="shared" si="4"/>
        <x:v>-12</x:v>
      </x:c>
      <x:c r="N22" s="87">
        <x:f t="shared" si="5"/>
        <x:v>-45</x:v>
      </x:c>
      <x:c r="O22" s="88">
        <x:f t="shared" si="10"/>
        <x:v>-11.25</x:v>
      </x:c>
      <x:c r="U22" s="62">
        <x:f t="shared" si="0"/>
        <x:v>17</x:v>
      </x:c>
      <x:c r="V22" s="57">
        <x:f t="shared" si="6"/>
        <x:v>-11232981</x:v>
      </x:c>
      <x:c r="W22" s="57">
        <x:f t="shared" si="1"/>
        <x:v>17</x:v>
      </x:c>
      <x:c r="X22" s="63"/>
    </x:row>
    <x:row r="23" spans="1:24" ht="24.949999999999999" customHeight="1">
      <x:c r="A23" s="18">
        <x:v>20</x:v>
      </x:c>
      <x:c r="B23" s="90" t="s">
        <x:v>28</x:v>
      </x:c>
      <x:c r="C23" s="82">
        <x:v>214</x:v>
      </x:c>
      <x:c r="D23" s="82">
        <x:v>195</x:v>
      </x:c>
      <x:c r="E23" s="82">
        <x:v>200</x:v>
      </x:c>
      <x:c r="F23" s="82">
        <x:v>212</x:v>
      </x:c>
      <x:c r="G23" s="89">
        <x:f t="shared" si="2"/>
        <x:v>821</x:v>
      </x:c>
      <x:c r="H23" s="84">
        <x:f t="shared" si="3"/>
        <x:v>205.25</x:v>
      </x:c>
      <x:c r="I23" s="85">
        <x:f>IF(B23="","",IFERROR(INDEX('회원명단 및 기준에버'!D:G,MATCH(B23,'회원명단 및 기준에버'!$C:$C,0),CHOOSE(INT((MONTH($N$2)-1)/3)+1,1,2,3,4)),""))</x:f>
        <x:v>200</x:v>
      </x:c>
      <x:c r="J23" s="86">
        <x:v>0</x:v>
      </x:c>
      <x:c r="K23" s="86">
        <x:v>0</x:v>
      </x:c>
      <x:c r="L23" s="86">
        <x:v>0</x:v>
      </x:c>
      <x:c r="M23" s="86">
        <x:v>0</x:v>
      </x:c>
      <x:c r="N23" s="87">
        <x:f t="shared" si="5"/>
        <x:v>0</x:v>
      </x:c>
      <x:c r="O23" s="88">
        <x:v>0</x:v>
      </x:c>
      <x:c r="U23" s="62">
        <x:f t="shared" si="0"/>
        <x:v>19</x:v>
      </x:c>
      <x:c r="V23" s="57">
        <x:f t="shared" si="6"/>
        <x:v>19020</x:v>
      </x:c>
      <x:c r="W23" s="57">
        <x:f t="shared" si="1"/>
        <x:v>9</x:v>
      </x:c>
      <x:c r="X23" s="63"/>
    </x:row>
    <x:row r="24" spans="1:15" s="11" customFormat="1" ht="24.949999999999999" customHeight="1">
      <x:c r="A24" s="12"/>
      <x:c r="B24" s="120" t="s">
        <x:v>21</x:v>
      </x:c>
      <x:c r="C24" s="121"/>
      <x:c r="D24" s="121"/>
      <x:c r="E24" s="121"/>
      <x:c r="F24" s="120"/>
      <x:c r="G24" s="121"/>
      <x:c r="H24" s="121"/>
      <x:c r="I24" s="121"/>
      <x:c r="J24" s="121"/>
      <x:c r="K24" s="121"/>
      <x:c r="L24" s="121"/>
      <x:c r="M24" s="120"/>
      <x:c r="N24" s="121"/>
      <x:c r="O24" s="122"/>
    </x:row>
    <x:row r="25" spans="2:15" s="11" customFormat="1" ht="24.949999999999999" customHeight="1">
      <x:c r="B25" s="26" t="str">
        <x:f>$B4</x:f>
        <x:v>이 우 석</x:v>
      </x:c>
      <x:c r="C25" s="27">
        <x:f>IF($V$2=0,$C4,$J4)</x:f>
        <x:v>-4</x:v>
      </x:c>
      <x:c r="D25" s="27">
        <x:f>IF($V$2=0,$D4,$K4)</x:f>
        <x:v>-31</x:v>
      </x:c>
      <x:c r="E25" s="27">
        <x:f>IF($V$2=0,$E4,$L4)</x:f>
        <x:v>58</x:v>
      </x:c>
      <x:c r="F25" s="27">
        <x:f>IF($V$2=0,$F4,$M4)</x:f>
        <x:v>-43</x:v>
      </x:c>
      <x:c r="G25" s="123">
        <x:f>E30+D30+C30+F30</x:f>
        <x:v>44</x:v>
      </x:c>
      <x:c r="H25" s="115"/>
      <x:c r="I25" s="28" t="str">
        <x:f>$B9</x:f>
        <x:v>변 상 필</x:v>
      </x:c>
      <x:c r="J25" s="27">
        <x:f>IF($V$2=0,$C9,$J9)</x:f>
        <x:v>16</x:v>
      </x:c>
      <x:c r="K25" s="27">
        <x:f>IF($V$2=0,$D9,$K9)</x:f>
        <x:v>-23</x:v>
      </x:c>
      <x:c r="L25" s="27">
        <x:f>IF($V$2=0,$E9,$L9)</x:f>
        <x:v>33</x:v>
      </x:c>
      <x:c r="M25" s="47">
        <x:f>IF($V$2=0,$F9,$M9)</x:f>
        <x:v>2</x:v>
      </x:c>
      <x:c r="N25" s="129">
        <x:f>L30+K30+J30+M30</x:f>
        <x:v>1</x:v>
      </x:c>
      <x:c r="O25" s="126"/>
    </x:row>
    <x:row r="26" spans="2:15" s="11" customFormat="1" ht="24.949999999999999" customHeight="1">
      <x:c r="B26" s="29" t="str">
        <x:f>$B5</x:f>
        <x:v>천 성 일</x:v>
      </x:c>
      <x:c r="C26" s="4">
        <x:f>IF($V$2=0,$C5,$J5)</x:f>
        <x:v>25</x:v>
      </x:c>
      <x:c r="D26" s="4">
        <x:f>IF($V$2=0,$D5,$K5)</x:f>
        <x:v>-33</x:v>
      </x:c>
      <x:c r="E26" s="4">
        <x:f>IF($V$2=0,$E5,$L5)</x:f>
        <x:v>-9</x:v>
      </x:c>
      <x:c r="F26" s="4">
        <x:f>IF($V$2=0,$F5,$M5)</x:f>
        <x:v>-6</x:v>
      </x:c>
      <x:c r="G26" s="124"/>
      <x:c r="H26" s="116"/>
      <x:c r="I26" s="29" t="str">
        <x:f>$B10</x:f>
        <x:v>나 경 주</x:v>
      </x:c>
      <x:c r="J26" s="4">
        <x:f>IF($V$2=0,$C10,$J10)</x:f>
        <x:v>-13</x:v>
      </x:c>
      <x:c r="K26" s="4">
        <x:f>IF($V$2=0,$D10,$K10)</x:f>
        <x:v>2</x:v>
      </x:c>
      <x:c r="L26" s="4">
        <x:f>IF($V$2=0,$E10,$L10)</x:f>
        <x:v>-3</x:v>
      </x:c>
      <x:c r="M26" s="4">
        <x:f>IF($V$2=0,$F10,$M10)</x:f>
        <x:v>32</x:v>
      </x:c>
      <x:c r="N26" s="130"/>
      <x:c r="O26" s="127"/>
    </x:row>
    <x:row r="27" spans="2:15" s="11" customFormat="1" ht="24.949999999999999" customHeight="1">
      <x:c r="B27" s="29" t="str">
        <x:f>$B6</x:f>
        <x:v>김 종 훈</x:v>
      </x:c>
      <x:c r="C27" s="4">
        <x:f>IF($V$2=0,$C6,$J6)</x:f>
        <x:v>57</x:v>
      </x:c>
      <x:c r="D27" s="4">
        <x:f>IF($V$2=0,$D6,$K6)</x:f>
        <x:v>34</x:v>
      </x:c>
      <x:c r="E27" s="4">
        <x:f>IF($V$2=0,$E6,$L6)</x:f>
        <x:v>-8</x:v>
      </x:c>
      <x:c r="F27" s="4">
        <x:f>IF($V$2=0,$F6,$M6)</x:f>
        <x:v>-1</x:v>
      </x:c>
      <x:c r="G27" s="124"/>
      <x:c r="H27" s="116"/>
      <x:c r="I27" s="29" t="str">
        <x:f>$B11</x:f>
        <x:v>김 태 환</x:v>
      </x:c>
      <x:c r="J27" s="4">
        <x:f>IF($V$2=0,$C11,$J11)</x:f>
        <x:v>0</x:v>
      </x:c>
      <x:c r="K27" s="4">
        <x:f>IF($V$2=0,$D11,$K11)</x:f>
        <x:v>0</x:v>
      </x:c>
      <x:c r="L27" s="4">
        <x:f>IF($V$2=0,$E11,$L11)</x:f>
        <x:v>0</x:v>
      </x:c>
      <x:c r="M27" s="4">
        <x:f>IF($V$2=0,$F11,$M11)</x:f>
        <x:v>0</x:v>
      </x:c>
      <x:c r="N27" s="130"/>
      <x:c r="O27" s="127"/>
    </x:row>
    <x:row r="28" spans="2:15" s="11" customFormat="1" ht="24.949999999999999" customHeight="1">
      <x:c r="B28" s="29" t="str">
        <x:f>$B7</x:f>
        <x:v>진 명 옥</x:v>
      </x:c>
      <x:c r="C28" s="4">
        <x:f>IF($V$2=0,$C7,$J7)</x:f>
        <x:v>-2</x:v>
      </x:c>
      <x:c r="D28" s="4">
        <x:f>IF($V$2=0,$D7,$K7)</x:f>
        <x:v>52</x:v>
      </x:c>
      <x:c r="E28" s="4">
        <x:f>IF($V$2=0,$E7,$L7)</x:f>
        <x:v>9</x:v>
      </x:c>
      <x:c r="F28" s="4">
        <x:f>IF($V$2=0,$F7,$M7)</x:f>
        <x:v>-5</x:v>
      </x:c>
      <x:c r="G28" s="124"/>
      <x:c r="H28" s="116"/>
      <x:c r="I28" s="29" t="str">
        <x:f>$B12</x:f>
        <x:v>김 선 미</x:v>
      </x:c>
      <x:c r="J28" s="4">
        <x:f>IF($V$2=0,$C12,$J12)</x:f>
        <x:v>-15</x:v>
      </x:c>
      <x:c r="K28" s="4">
        <x:f>IF($V$2=0,$D12,$K12)</x:f>
        <x:v>20</x:v>
      </x:c>
      <x:c r="L28" s="4">
        <x:f>IF($V$2=0,$E12,$L12)</x:f>
        <x:v>-15</x:v>
      </x:c>
      <x:c r="M28" s="4">
        <x:f>IF($V$2=0,$F12,$M12)</x:f>
        <x:v>-12</x:v>
      </x:c>
      <x:c r="N28" s="130"/>
      <x:c r="O28" s="127"/>
    </x:row>
    <x:row r="29" spans="2:15" s="11" customFormat="1" ht="24.949999999999999" customHeight="1">
      <x:c r="B29" s="29" t="str">
        <x:f>$B8</x:f>
        <x:v>황 인 교</x:v>
      </x:c>
      <x:c r="C29" s="4">
        <x:f>IF($V$2=0,$C8,$J8)</x:f>
        <x:v>-19</x:v>
      </x:c>
      <x:c r="D29" s="4">
        <x:f>IF($V$2=0,$D8,$K8)</x:f>
        <x:v>-12</x:v>
      </x:c>
      <x:c r="E29" s="4">
        <x:f>IF($V$2=0,$E8,$L8)</x:f>
        <x:v>15</x:v>
      </x:c>
      <x:c r="F29" s="4">
        <x:f>IF($V$2=0,$F8,$M8)</x:f>
        <x:v>-33</x:v>
      </x:c>
      <x:c r="G29" s="124"/>
      <x:c r="H29" s="116"/>
      <x:c r="I29" s="29" t="str">
        <x:f>$B13</x:f>
        <x:v>지 옥 명</x:v>
      </x:c>
      <x:c r="J29" s="4">
        <x:f>IF($V$2=0,$C13,$J13)</x:f>
        <x:v>-24</x:v>
      </x:c>
      <x:c r="K29" s="4">
        <x:f>IF($V$2=0,$D13,$K13)</x:f>
        <x:v>32</x:v>
      </x:c>
      <x:c r="L29" s="4">
        <x:f>IF($V$2=0,$E13,$L13)</x:f>
        <x:v>-34</x:v>
      </x:c>
      <x:c r="M29" s="4">
        <x:f>IF($V$2=0,$F13,$M13)</x:f>
        <x:v>3</x:v>
      </x:c>
      <x:c r="N29" s="130"/>
      <x:c r="O29" s="127"/>
    </x:row>
    <x:row r="30" spans="2:15" s="11" customFormat="1" ht="24.949999999999999" customHeight="1">
      <x:c r="B30" s="30"/>
      <x:c r="C30" s="31">
        <x:f>SUM(C25:C29)</x:f>
        <x:v>57</x:v>
      </x:c>
      <x:c r="D30" s="31">
        <x:f>SUM(D25:D29)</x:f>
        <x:v>10</x:v>
      </x:c>
      <x:c r="E30" s="31">
        <x:f>SUM(E25:E29)</x:f>
        <x:v>65</x:v>
      </x:c>
      <x:c r="F30" s="31">
        <x:f>SUM(F25:F29)</x:f>
        <x:v>-88</x:v>
      </x:c>
      <x:c r="G30" s="125"/>
      <x:c r="H30" s="117"/>
      <x:c r="I30" s="30"/>
      <x:c r="J30" s="31">
        <x:f>SUM(J25:J29)</x:f>
        <x:v>-36</x:v>
      </x:c>
      <x:c r="K30" s="31">
        <x:f>SUM(K25:K29)</x:f>
        <x:v>31</x:v>
      </x:c>
      <x:c r="L30" s="31">
        <x:f>SUM(L25:L29)</x:f>
        <x:v>-19</x:v>
      </x:c>
      <x:c r="M30" s="31">
        <x:f>SUM(M25:M29)</x:f>
        <x:v>25</x:v>
      </x:c>
      <x:c r="N30" s="131"/>
      <x:c r="O30" s="128"/>
    </x:row>
    <x:row r="31" s="11" customFormat="1" ht="9.9499999999999993" customHeight="1"/>
    <x:row r="32" spans="2:15" s="11" customFormat="1" ht="24.949999999999999" customHeight="1">
      <x:c r="B32" s="26" t="str">
        <x:f>$B14</x:f>
        <x:v>이 대 용</x:v>
      </x:c>
      <x:c r="C32" s="27">
        <x:f>IF($V$2=0,$C14,$J14)</x:f>
        <x:v>24</x:v>
      </x:c>
      <x:c r="D32" s="27">
        <x:f>IF($V$2=0,$D14,$K14)</x:f>
        <x:v>-41</x:v>
      </x:c>
      <x:c r="E32" s="27">
        <x:f>IF($V$2=0,$E14,$L14)</x:f>
        <x:v>-9</x:v>
      </x:c>
      <x:c r="F32" s="27">
        <x:f>IF($V$2=0,$F14,$M14)</x:f>
        <x:v>-4</x:v>
      </x:c>
      <x:c r="G32" s="123">
        <x:f>E37+D37+C37+F37</x:f>
        <x:v>-110</x:v>
      </x:c>
      <x:c r="H32" s="115"/>
      <x:c r="I32" s="28" t="str">
        <x:f>$B19</x:f>
        <x:v>강 완 규</x:v>
      </x:c>
      <x:c r="J32" s="27">
        <x:f>IF($V$2=0,$C19,$J19)</x:f>
        <x:v>-51</x:v>
      </x:c>
      <x:c r="K32" s="27">
        <x:f>IF($V$2=0,$D19,$K19)</x:f>
        <x:v>-28</x:v>
      </x:c>
      <x:c r="L32" s="27">
        <x:f>IF($V$2=0,$E19,$L19)</x:f>
        <x:v>6</x:v>
      </x:c>
      <x:c r="M32" s="47">
        <x:f>IF($V$2=0,$F19,$M19)</x:f>
        <x:v>-10</x:v>
      </x:c>
      <x:c r="N32" s="129">
        <x:f>L37+K37+J37+M37</x:f>
        <x:v>9</x:v>
      </x:c>
      <x:c r="O32" s="126"/>
    </x:row>
    <x:row r="33" spans="2:15" s="12" customFormat="1" ht="24.949999999999999" customHeight="1">
      <x:c r="B33" s="29" t="str">
        <x:f>$B15</x:f>
        <x:v>이 정 석</x:v>
      </x:c>
      <x:c r="C33" s="4">
        <x:f>IF($V$2=0,$C15,$J15)</x:f>
        <x:v>10</x:v>
      </x:c>
      <x:c r="D33" s="4">
        <x:f>IF($V$2=0,$D15,$K15)</x:f>
        <x:v>-13</x:v>
      </x:c>
      <x:c r="E33" s="4">
        <x:f>IF($V$2=0,$E15,$L15)</x:f>
        <x:v>-24</x:v>
      </x:c>
      <x:c r="F33" s="4">
        <x:f>IF($V$2=0,$F15,$M15)</x:f>
        <x:v>10</x:v>
      </x:c>
      <x:c r="G33" s="124"/>
      <x:c r="H33" s="116"/>
      <x:c r="I33" s="29" t="str">
        <x:f>$B20</x:f>
        <x:v>정 영 우</x:v>
      </x:c>
      <x:c r="J33" s="4">
        <x:f>IF($V$2=0,$C20,$J20)</x:f>
        <x:v>1</x:v>
      </x:c>
      <x:c r="K33" s="4">
        <x:f>IF($V$2=0,$D20,$K20)</x:f>
        <x:v>51</x:v>
      </x:c>
      <x:c r="L33" s="4">
        <x:f>IF($V$2=0,$E20,$L20)</x:f>
        <x:v>29</x:v>
      </x:c>
      <x:c r="M33" s="4">
        <x:f>IF($V$2=0,$F20,$M20)</x:f>
        <x:v>14</x:v>
      </x:c>
      <x:c r="N33" s="130"/>
      <x:c r="O33" s="127"/>
    </x:row>
    <x:row r="34" spans="2:15" s="12" customFormat="1" ht="24.949999999999999" customHeight="1">
      <x:c r="B34" s="29" t="str">
        <x:f>$B16</x:f>
        <x:v>고 경 훈</x:v>
      </x:c>
      <x:c r="C34" s="4">
        <x:f>IF($V$2=0,$C16,$J16)</x:f>
        <x:v>-11</x:v>
      </x:c>
      <x:c r="D34" s="4">
        <x:f>IF($V$2=0,$D16,$K16)</x:f>
        <x:v>-4</x:v>
      </x:c>
      <x:c r="E34" s="4">
        <x:f>IF($V$2=0,$E16,$L16)</x:f>
        <x:v>8</x:v>
      </x:c>
      <x:c r="F34" s="4">
        <x:f>IF($V$2=0,$F16,$M16)</x:f>
        <x:v>-6</x:v>
      </x:c>
      <x:c r="G34" s="124"/>
      <x:c r="H34" s="116"/>
      <x:c r="I34" s="29" t="str">
        <x:f>$B21</x:f>
        <x:v>송 정 현</x:v>
      </x:c>
      <x:c r="J34" s="4">
        <x:f>IF($V$2=0,$C21,$J21)</x:f>
        <x:v>13</x:v>
      </x:c>
      <x:c r="K34" s="4">
        <x:f>IF($V$2=0,$D21,$K21)</x:f>
        <x:v>-11</x:v>
      </x:c>
      <x:c r="L34" s="4">
        <x:f>IF($V$2=0,$E21,$L21)</x:f>
        <x:v>46</x:v>
      </x:c>
      <x:c r="M34" s="4">
        <x:f>IF($V$2=0,$F21,$M21)</x:f>
        <x:v>-6</x:v>
      </x:c>
      <x:c r="N34" s="130"/>
      <x:c r="O34" s="127"/>
    </x:row>
    <x:row r="35" spans="2:15" s="12" customFormat="1" ht="24.949999999999999" customHeight="1">
      <x:c r="B35" s="29" t="str">
        <x:f>$B17</x:f>
        <x:v>이 승 미</x:v>
      </x:c>
      <x:c r="C35" s="4">
        <x:f>IF($V$2=0,$C17,$J17)</x:f>
        <x:v>-5</x:v>
      </x:c>
      <x:c r="D35" s="4">
        <x:f>IF($V$2=0,$D17,$K17)</x:f>
        <x:v>14</x:v>
      </x:c>
      <x:c r="E35" s="4">
        <x:f>IF($V$2=0,$E17,$L17)</x:f>
        <x:v>-1</x:v>
      </x:c>
      <x:c r="F35" s="4">
        <x:f>IF($V$2=0,$F17,$M17)</x:f>
        <x:v>13</x:v>
      </x:c>
      <x:c r="G35" s="124"/>
      <x:c r="H35" s="116"/>
      <x:c r="I35" s="29" t="str">
        <x:f>$B22</x:f>
        <x:v>손 은 주</x:v>
      </x:c>
      <x:c r="J35" s="4">
        <x:f>IF($V$2=0,$C22,$J22)</x:f>
        <x:v>-12</x:v>
      </x:c>
      <x:c r="K35" s="4">
        <x:f>IF($V$2=0,$D22,$K22)</x:f>
        <x:v>-19</x:v>
      </x:c>
      <x:c r="L35" s="4">
        <x:f>IF($V$2=0,$E22,$L22)</x:f>
        <x:v>-2</x:v>
      </x:c>
      <x:c r="M35" s="4">
        <x:f>IF($V$2=0,$F22,$M22)</x:f>
        <x:v>-12</x:v>
      </x:c>
      <x:c r="N35" s="130"/>
      <x:c r="O35" s="127"/>
    </x:row>
    <x:row r="36" spans="2:15" s="12" customFormat="1" ht="24.949999999999999" customHeight="1">
      <x:c r="B36" s="29" t="str">
        <x:f>$B18</x:f>
        <x:v>엄 정 도</x:v>
      </x:c>
      <x:c r="C36" s="4">
        <x:f>IF($V$2=0,$C18,$J18)</x:f>
        <x:v>-25</x:v>
      </x:c>
      <x:c r="D36" s="4">
        <x:f>IF($V$2=0,$D18,$K18)</x:f>
        <x:v>-28</x:v>
      </x:c>
      <x:c r="E36" s="4">
        <x:f>IF($V$2=0,$E18,$L18)</x:f>
        <x:v>-4</x:v>
      </x:c>
      <x:c r="F36" s="4">
        <x:f>IF($V$2=0,$F18,$M18)</x:f>
        <x:v>-14</x:v>
      </x:c>
      <x:c r="G36" s="124"/>
      <x:c r="H36" s="116"/>
      <x:c r="I36" s="29" t="str">
        <x:f>$B23</x:f>
        <x:v>김 정 희</x:v>
      </x:c>
      <x:c r="J36" s="4">
        <x:f>IF($V$2=0,$C23,$J23)</x:f>
        <x:v>0</x:v>
      </x:c>
      <x:c r="K36" s="4">
        <x:f>IF($V$2=0,$D23,$K23)</x:f>
        <x:v>0</x:v>
      </x:c>
      <x:c r="L36" s="4">
        <x:f>IF($V$2=0,$E23,$L23)</x:f>
        <x:v>0</x:v>
      </x:c>
      <x:c r="M36" s="4">
        <x:f>IF($V$2=0,$F23,$M23)</x:f>
        <x:v>0</x:v>
      </x:c>
      <x:c r="N36" s="130"/>
      <x:c r="O36" s="127"/>
    </x:row>
    <x:row r="37" spans="2:15" s="12" customFormat="1" ht="24.949999999999999" customHeight="1">
      <x:c r="B37" s="30"/>
      <x:c r="C37" s="31">
        <x:f>SUM(C32:C36)</x:f>
        <x:v>-7</x:v>
      </x:c>
      <x:c r="D37" s="31">
        <x:f>SUM(D32:D36)</x:f>
        <x:v>-72</x:v>
      </x:c>
      <x:c r="E37" s="31">
        <x:f>SUM(E32:E36)</x:f>
        <x:v>-30</x:v>
      </x:c>
      <x:c r="F37" s="31">
        <x:f>SUM(F32:F36)</x:f>
        <x:v>-1</x:v>
      </x:c>
      <x:c r="G37" s="125"/>
      <x:c r="H37" s="117"/>
      <x:c r="I37" s="30"/>
      <x:c r="J37" s="31">
        <x:f>SUM(J32:J36)</x:f>
        <x:v>-49</x:v>
      </x:c>
      <x:c r="K37" s="31">
        <x:f>SUM(K32:K36)</x:f>
        <x:v>-7</x:v>
      </x:c>
      <x:c r="L37" s="31">
        <x:f>SUM(L32:L36)</x:f>
        <x:v>79</x:v>
      </x:c>
      <x:c r="M37" s="31">
        <x:f>SUM(M32:M36)</x:f>
        <x:v>-14</x:v>
      </x:c>
      <x:c r="N37" s="131"/>
      <x:c r="O37" s="128"/>
    </x:row>
    <x:row r="38" ht="9.9499999999999993" customHeight="1"/>
    <x:row r="39" ht="24.949999999999999" customHeight="1"/>
    <x:row r="40" ht="24.949999999999999" customHeight="1"/>
    <x:row r="41" ht="24.949999999999999" customHeight="1"/>
    <x:row r="42" spans="1:15" ht="60" customHeight="1">
      <x:c r="A42" s="112" t="str">
        <x:f>A1</x:f>
        <x:v>2026 아르케 존 03회 번개 모임 점수</x:v>
      </x:c>
      <x:c r="B42" s="112"/>
      <x:c r="C42" s="112"/>
      <x:c r="D42" s="112"/>
      <x:c r="E42" s="112"/>
      <x:c r="F42" s="112"/>
      <x:c r="G42" s="112"/>
      <x:c r="H42" s="112"/>
      <x:c r="I42" s="112"/>
      <x:c r="J42" s="112"/>
      <x:c r="K42" s="112"/>
      <x:c r="L42" s="112"/>
      <x:c r="M42" s="112"/>
      <x:c r="N42" s="112"/>
      <x:c r="O42" s="112"/>
    </x:row>
    <x:row r="43" spans="1:15" ht="24.949999999999999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4" t="s">
        <x:v>48</x:v>
      </x:c>
      <x:c r="M43" s="34"/>
      <x:c r="N43" s="113">
        <x:f>N2</x:f>
        <x:v>46065</x:v>
      </x:c>
      <x:c r="O43" s="114"/>
    </x:row>
    <x:row r="44" spans="1:15" ht="24.949999999999999" customHeight="1">
      <x:c r="A44" s="13"/>
      <x:c r="B44" s="14" t="s">
        <x:v>14</x:v>
      </x:c>
      <x:c r="C44" s="14" t="s">
        <x:v>44</x:v>
      </x:c>
      <x:c r="D44" s="14" t="s">
        <x:v>55</x:v>
      </x:c>
      <x:c r="E44" s="14" t="s">
        <x:v>54</x:v>
      </x:c>
      <x:c r="F44" s="14" t="s">
        <x:v>53</x:v>
      </x:c>
      <x:c r="G44" s="14" t="s">
        <x:v>52</x:v>
      </x:c>
      <x:c r="H44" s="14" t="s">
        <x:v>47</x:v>
      </x:c>
      <x:c r="I44" s="15" t="s">
        <x:v>41</x:v>
      </x:c>
      <x:c r="J44" s="14" t="s">
        <x:v>44</x:v>
      </x:c>
      <x:c r="K44" s="14" t="s">
        <x:v>55</x:v>
      </x:c>
      <x:c r="L44" s="14" t="s">
        <x:v>54</x:v>
      </x:c>
      <x:c r="M44" s="14" t="s">
        <x:v>53</x:v>
      </x:c>
      <x:c r="N44" s="16" t="s">
        <x:v>52</x:v>
      </x:c>
      <x:c r="O44" s="17" t="s">
        <x:v>56</x:v>
      </x:c>
    </x:row>
    <x:row r="45" spans="1:15" ht="24.949999999999999" customHeight="1">
      <x:c r="A45" s="18">
        <x:v>1</x:v>
      </x:c>
      <x:c r="B45" s="19" t="str">
        <x:f t="array" ref="B45:B45">INDEX($B$4:$O$23,MATCH($A45,$W$4:$W$23,0),COLUMN(A$1))</x:f>
        <x:v>정 영 우</x:v>
      </x:c>
      <x:c r="C45" s="20">
        <x:f t="array" ref="C45:C45">INDEX($B$4:$O$23,MATCH($A45,$W$4:$W$23,0),COLUMN(B$1))</x:f>
        <x:v>185</x:v>
      </x:c>
      <x:c r="D45" s="20">
        <x:f t="array" ref="D45:D45">INDEX($B$4:$O$23,MATCH($A45,$W$4:$W$23,0),COLUMN(C$1))</x:f>
        <x:v>235</x:v>
      </x:c>
      <x:c r="E45" s="20">
        <x:f t="array" ref="E45:E45">INDEX($B$4:$O$23,MATCH($A45,$W$4:$W$23,0),COLUMN(D$1))</x:f>
        <x:v>213</x:v>
      </x:c>
      <x:c r="F45" s="20">
        <x:f t="array" ref="F45:F45">INDEX($B$4:$O$23,MATCH($A45,$W$4:$W$23,0),COLUMN(E$1))</x:f>
        <x:v>198</x:v>
      </x:c>
      <x:c r="G45" s="21">
        <x:f>SUM(C45:F45)</x:f>
        <x:v>831</x:v>
      </x:c>
      <x:c r="H45" s="22">
        <x:f>G45/4</x:f>
        <x:v>207.75</x:v>
      </x:c>
      <x:c r="I45" s="23">
        <x:f>IF(B45="","",IFERROR(INDEX('회원명단 및 기준에버'!D:G,MATCH(B45,'회원명단 및 기준에버'!$C:$C,0),CHOOSE(INT((MONTH($N$2)-1)/3)+1,1,2,3,4)),""))</x:f>
        <x:v>184</x:v>
      </x:c>
      <x:c r="J45" s="5">
        <x:f>IFERROR(C45+-I45,0)</x:f>
        <x:v>1</x:v>
      </x:c>
      <x:c r="K45" s="5">
        <x:f>IFERROR(D45+-I45,0)</x:f>
        <x:v>51</x:v>
      </x:c>
      <x:c r="L45" s="5">
        <x:f>IFERROR(E45+-I45,0)</x:f>
        <x:v>29</x:v>
      </x:c>
      <x:c r="M45" s="5">
        <x:f>IFERROR(F45+-I45,0)</x:f>
        <x:v>14</x:v>
      </x:c>
      <x:c r="N45" s="6">
        <x:f>SUM(J45:M45)</x:f>
        <x:v>95</x:v>
      </x:c>
      <x:c r="O45" s="24">
        <x:f>IFERROR(H45+-I45,0)</x:f>
        <x:v>23.75</x:v>
      </x:c>
    </x:row>
    <x:row r="46" spans="1:15" ht="24.949999999999999" customHeight="1">
      <x:c r="A46" s="18">
        <x:v>2</x:v>
      </x:c>
      <x:c r="B46" s="19" t="str">
        <x:f t="array" ref="B46:B46">INDEX($B$4:$O$23,MATCH($A46,$W$4:$W$23,0),COLUMN(A$1))</x:f>
        <x:v>김 종 훈</x:v>
      </x:c>
      <x:c r="C46" s="20">
        <x:f t="array" ref="C46:C46">INDEX($B$4:$O$23,MATCH($A46,$W$4:$W$23,0),COLUMN(B$1))</x:f>
        <x:v>255</x:v>
      </x:c>
      <x:c r="D46" s="20">
        <x:f t="array" ref="D46:D46">INDEX($B$4:$O$23,MATCH($A46,$W$4:$W$23,0),COLUMN(C$1))</x:f>
        <x:v>232</x:v>
      </x:c>
      <x:c r="E46" s="20">
        <x:f t="array" ref="E46:E46">INDEX($B$4:$O$23,MATCH($A46,$W$4:$W$23,0),COLUMN(D$1))</x:f>
        <x:v>190</x:v>
      </x:c>
      <x:c r="F46" s="20">
        <x:f t="array" ref="F46:F46">INDEX($B$4:$O$23,MATCH($A46,$W$4:$W$23,0),COLUMN(E$1))</x:f>
        <x:v>197</x:v>
      </x:c>
      <x:c r="G46" s="21">
        <x:f t="shared" ref="G46:G64" si="11">SUM(C46:F46)</x:f>
        <x:v>874</x:v>
      </x:c>
      <x:c r="H46" s="22">
        <x:f t="shared" ref="H46:H64" si="12">G46/4</x:f>
        <x:v>218.5</x:v>
      </x:c>
      <x:c r="I46" s="23">
        <x:f>IF(B46="","",IFERROR(INDEX('회원명단 및 기준에버'!D:G,MATCH(B46,'회원명단 및 기준에버'!$C:$C,0),CHOOSE(INT((MONTH($N$2)-1)/3)+1,1,2,3,4)),""))</x:f>
        <x:v>198</x:v>
      </x:c>
      <x:c r="J46" s="5">
        <x:f>IFERROR(C46+-I46,0)</x:f>
        <x:v>57</x:v>
      </x:c>
      <x:c r="K46" s="5">
        <x:f>IFERROR(D46+-I46,0)</x:f>
        <x:v>34</x:v>
      </x:c>
      <x:c r="L46" s="5">
        <x:f>IFERROR(E46+-I46,0)</x:f>
        <x:v>-8</x:v>
      </x:c>
      <x:c r="M46" s="5">
        <x:f t="shared" ref="M46:M64" si="13">IFERROR(F46+-I46,0)</x:f>
        <x:v>-1</x:v>
      </x:c>
      <x:c r="N46" s="6">
        <x:f t="shared" ref="N46:N64" si="14">SUM(J46:M46)</x:f>
        <x:v>82</x:v>
      </x:c>
      <x:c r="O46" s="24">
        <x:f>IFERROR(H46+-I46,0)</x:f>
        <x:v>20.5</x:v>
      </x:c>
    </x:row>
    <x:row r="47" spans="1:15" ht="24.949999999999999" customHeight="1">
      <x:c r="A47" s="18">
        <x:v>3</x:v>
      </x:c>
      <x:c r="B47" s="19" t="str">
        <x:f t="array" ref="B47:B47">INDEX($B$4:$O$23,MATCH($A47,$W$4:$W$23,0),COLUMN(A$1))</x:f>
        <x:v>진 명 옥</x:v>
      </x:c>
      <x:c r="C47" s="20">
        <x:f t="array" ref="C47:C47">INDEX($B$4:$O$23,MATCH($A47,$W$4:$W$23,0),COLUMN(B$1))</x:f>
        <x:v>169</x:v>
      </x:c>
      <x:c r="D47" s="20">
        <x:f t="array" ref="D47:D47">INDEX($B$4:$O$23,MATCH($A47,$W$4:$W$23,0),COLUMN(C$1))</x:f>
        <x:v>223</x:v>
      </x:c>
      <x:c r="E47" s="20">
        <x:f t="array" ref="E47:E47">INDEX($B$4:$O$23,MATCH($A47,$W$4:$W$23,0),COLUMN(D$1))</x:f>
        <x:v>180</x:v>
      </x:c>
      <x:c r="F47" s="20">
        <x:f t="array" ref="F47:F47">INDEX($B$4:$O$23,MATCH($A47,$W$4:$W$23,0),COLUMN(E$1))</x:f>
        <x:v>166</x:v>
      </x:c>
      <x:c r="G47" s="21">
        <x:f t="shared" si="11"/>
        <x:v>738</x:v>
      </x:c>
      <x:c r="H47" s="22">
        <x:f t="shared" si="12"/>
        <x:v>184.5</x:v>
      </x:c>
      <x:c r="I47" s="23">
        <x:f>IF(B47="","",IFERROR(INDEX('회원명단 및 기준에버'!D:G,MATCH(B47,'회원명단 및 기준에버'!$C:$C,0),CHOOSE(INT((MONTH($N$2)-1)/3)+1,1,2,3,4)),""))</x:f>
        <x:v>171</x:v>
      </x:c>
      <x:c r="J47" s="5">
        <x:f t="shared" ref="J47:J64" si="15">IFERROR(C47+-I47,0)</x:f>
        <x:v>-2</x:v>
      </x:c>
      <x:c r="K47" s="5">
        <x:f t="shared" ref="K47:K64" si="16">IFERROR(D47+-I47,0)</x:f>
        <x:v>52</x:v>
      </x:c>
      <x:c r="L47" s="5">
        <x:f t="shared" ref="L47:L64" si="17">IFERROR(E47+-I47,0)</x:f>
        <x:v>9</x:v>
      </x:c>
      <x:c r="M47" s="5">
        <x:f t="shared" si="13"/>
        <x:v>-5</x:v>
      </x:c>
      <x:c r="N47" s="6">
        <x:f t="shared" si="14"/>
        <x:v>54</x:v>
      </x:c>
      <x:c r="O47" s="24">
        <x:f t="shared" ref="O47:O64" si="18">IFERROR(H47+-I47,0)</x:f>
        <x:v>13.5</x:v>
      </x:c>
    </x:row>
    <x:row r="48" spans="1:15" ht="24.949999999999999" customHeight="1">
      <x:c r="A48" s="18">
        <x:v>4</x:v>
      </x:c>
      <x:c r="B48" s="19" t="str">
        <x:f t="array" ref="B48:B48">INDEX($B$4:$O$23,MATCH($A48,$W$4:$W$23,0),COLUMN(A$1))</x:f>
        <x:v>송 정 현</x:v>
      </x:c>
      <x:c r="C48" s="20">
        <x:f t="array" ref="C48:C48">INDEX($B$4:$O$23,MATCH($A48,$W$4:$W$23,0),COLUMN(B$1))</x:f>
        <x:v>200</x:v>
      </x:c>
      <x:c r="D48" s="20">
        <x:f t="array" ref="D48:D48">INDEX($B$4:$O$23,MATCH($A48,$W$4:$W$23,0),COLUMN(C$1))</x:f>
        <x:v>176</x:v>
      </x:c>
      <x:c r="E48" s="20">
        <x:f t="array" ref="E48:E48">INDEX($B$4:$O$23,MATCH($A48,$W$4:$W$23,0),COLUMN(D$1))</x:f>
        <x:v>233</x:v>
      </x:c>
      <x:c r="F48" s="20">
        <x:f t="array" ref="F48:F48">INDEX($B$4:$O$23,MATCH($A48,$W$4:$W$23,0),COLUMN(E$1))</x:f>
        <x:v>181</x:v>
      </x:c>
      <x:c r="G48" s="21">
        <x:f t="shared" si="11"/>
        <x:v>790</x:v>
      </x:c>
      <x:c r="H48" s="22">
        <x:f t="shared" si="12"/>
        <x:v>197.5</x:v>
      </x:c>
      <x:c r="I48" s="23">
        <x:f>IF(B48="","",IFERROR(INDEX('회원명단 및 기준에버'!D:G,MATCH(B48,'회원명단 및 기준에버'!$C:$C,0),CHOOSE(INT((MONTH($N$2)-1)/3)+1,1,2,3,4)),""))</x:f>
        <x:v>187</x:v>
      </x:c>
      <x:c r="J48" s="5">
        <x:f t="shared" si="15"/>
        <x:v>13</x:v>
      </x:c>
      <x:c r="K48" s="5">
        <x:f t="shared" si="16"/>
        <x:v>-11</x:v>
      </x:c>
      <x:c r="L48" s="5">
        <x:f t="shared" si="17"/>
        <x:v>46</x:v>
      </x:c>
      <x:c r="M48" s="5">
        <x:f t="shared" si="13"/>
        <x:v>-6</x:v>
      </x:c>
      <x:c r="N48" s="6">
        <x:f t="shared" si="14"/>
        <x:v>42</x:v>
      </x:c>
      <x:c r="O48" s="24">
        <x:f t="shared" si="18"/>
        <x:v>10.5</x:v>
      </x:c>
    </x:row>
    <x:row r="49" spans="1:15" ht="24.949999999999999" customHeight="1">
      <x:c r="A49" s="18">
        <x:v>5</x:v>
      </x:c>
      <x:c r="B49" s="19" t="str">
        <x:f t="array" ref="B49:B49">INDEX($B$4:$O$23,MATCH($A49,$W$4:$W$23,0),COLUMN(A$1))</x:f>
        <x:v>변 상 필</x:v>
      </x:c>
      <x:c r="C49" s="20">
        <x:f t="array" ref="C49:C49">INDEX($B$4:$O$23,MATCH($A49,$W$4:$W$23,0),COLUMN(B$1))</x:f>
        <x:v>216</x:v>
      </x:c>
      <x:c r="D49" s="20">
        <x:f t="array" ref="D49:D49">INDEX($B$4:$O$23,MATCH($A49,$W$4:$W$23,0),COLUMN(C$1))</x:f>
        <x:v>177</x:v>
      </x:c>
      <x:c r="E49" s="20">
        <x:f t="array" ref="E49:E49">INDEX($B$4:$O$23,MATCH($A49,$W$4:$W$23,0),COLUMN(D$1))</x:f>
        <x:v>233</x:v>
      </x:c>
      <x:c r="F49" s="20">
        <x:f t="array" ref="F49:F49">INDEX($B$4:$O$23,MATCH($A49,$W$4:$W$23,0),COLUMN(E$1))</x:f>
        <x:v>202</x:v>
      </x:c>
      <x:c r="G49" s="21">
        <x:f t="shared" si="11"/>
        <x:v>828</x:v>
      </x:c>
      <x:c r="H49" s="22">
        <x:f t="shared" si="12"/>
        <x:v>207</x:v>
      </x:c>
      <x:c r="I49" s="23">
        <x:f>IF(B49="","",IFERROR(INDEX('회원명단 및 기준에버'!D:G,MATCH(B49,'회원명단 및 기준에버'!$C:$C,0),CHOOSE(INT((MONTH($N$2)-1)/3)+1,1,2,3,4)),""))</x:f>
        <x:v>200</x:v>
      </x:c>
      <x:c r="J49" s="5">
        <x:f t="shared" si="15"/>
        <x:v>16</x:v>
      </x:c>
      <x:c r="K49" s="5">
        <x:f t="shared" si="16"/>
        <x:v>-23</x:v>
      </x:c>
      <x:c r="L49" s="5">
        <x:f t="shared" si="17"/>
        <x:v>33</x:v>
      </x:c>
      <x:c r="M49" s="5">
        <x:f t="shared" si="13"/>
        <x:v>2</x:v>
      </x:c>
      <x:c r="N49" s="6">
        <x:f t="shared" si="14"/>
        <x:v>28</x:v>
      </x:c>
      <x:c r="O49" s="24">
        <x:f t="shared" si="18"/>
        <x:v>7</x:v>
      </x:c>
    </x:row>
    <x:row r="50" spans="1:15" ht="24.949999999999999" customHeight="1">
      <x:c r="A50" s="18">
        <x:v>6</x:v>
      </x:c>
      <x:c r="B50" s="19" t="str">
        <x:f t="array" ref="B50:B50">INDEX($B$4:$O$23,MATCH($A50,$W$4:$W$23,0),COLUMN(A$1))</x:f>
        <x:v>이 승 미</x:v>
      </x:c>
      <x:c r="C50" s="20">
        <x:f t="array" ref="C50:C50">INDEX($B$4:$O$23,MATCH($A50,$W$4:$W$23,0),COLUMN(B$1))</x:f>
        <x:v>160</x:v>
      </x:c>
      <x:c r="D50" s="20">
        <x:f t="array" ref="D50:D50">INDEX($B$4:$O$23,MATCH($A50,$W$4:$W$23,0),COLUMN(C$1))</x:f>
        <x:v>179</x:v>
      </x:c>
      <x:c r="E50" s="20">
        <x:f t="array" ref="E50:E50">INDEX($B$4:$O$23,MATCH($A50,$W$4:$W$23,0),COLUMN(D$1))</x:f>
        <x:v>164</x:v>
      </x:c>
      <x:c r="F50" s="20">
        <x:f t="array" ref="F50:F50">INDEX($B$4:$O$23,MATCH($A50,$W$4:$W$23,0),COLUMN(E$1))</x:f>
        <x:v>178</x:v>
      </x:c>
      <x:c r="G50" s="21">
        <x:f t="shared" si="11"/>
        <x:v>681</x:v>
      </x:c>
      <x:c r="H50" s="22">
        <x:f t="shared" si="12"/>
        <x:v>170.25</x:v>
      </x:c>
      <x:c r="I50" s="23">
        <x:f>IF(B50="","",IFERROR(INDEX('회원명단 및 기준에버'!D:G,MATCH(B50,'회원명단 및 기준에버'!$C:$C,0),CHOOSE(INT((MONTH($N$2)-1)/3)+1,1,2,3,4)),""))</x:f>
        <x:v>165</x:v>
      </x:c>
      <x:c r="J50" s="5">
        <x:f t="shared" si="15"/>
        <x:v>-5</x:v>
      </x:c>
      <x:c r="K50" s="5">
        <x:f t="shared" si="16"/>
        <x:v>14</x:v>
      </x:c>
      <x:c r="L50" s="5">
        <x:f t="shared" si="17"/>
        <x:v>-1</x:v>
      </x:c>
      <x:c r="M50" s="5">
        <x:f t="shared" si="13"/>
        <x:v>13</x:v>
      </x:c>
      <x:c r="N50" s="6">
        <x:f t="shared" si="14"/>
        <x:v>21</x:v>
      </x:c>
      <x:c r="O50" s="24">
        <x:f t="shared" si="18"/>
        <x:v>5.25</x:v>
      </x:c>
    </x:row>
    <x:row r="51" spans="1:15" ht="24.949999999999999" customHeight="1">
      <x:c r="A51" s="18">
        <x:v>7</x:v>
      </x:c>
      <x:c r="B51" s="19" t="str">
        <x:f t="array" ref="B51:B51">INDEX($B$4:$O$23,MATCH($A51,$W$4:$W$23,0),COLUMN(A$1))</x:f>
        <x:v>나 경 주</x:v>
      </x:c>
      <x:c r="C51" s="20">
        <x:f t="array" ref="C51:C51">INDEX($B$4:$O$23,MATCH($A51,$W$4:$W$23,0),COLUMN(B$1))</x:f>
        <x:v>179</x:v>
      </x:c>
      <x:c r="D51" s="20">
        <x:f t="array" ref="D51:D51">INDEX($B$4:$O$23,MATCH($A51,$W$4:$W$23,0),COLUMN(C$1))</x:f>
        <x:v>194</x:v>
      </x:c>
      <x:c r="E51" s="20">
        <x:f t="array" ref="E51:E51">INDEX($B$4:$O$23,MATCH($A51,$W$4:$W$23,0),COLUMN(D$1))</x:f>
        <x:v>189</x:v>
      </x:c>
      <x:c r="F51" s="20">
        <x:f t="array" ref="F51:F51">INDEX($B$4:$O$23,MATCH($A51,$W$4:$W$23,0),COLUMN(E$1))</x:f>
        <x:v>224</x:v>
      </x:c>
      <x:c r="G51" s="21">
        <x:f t="shared" si="11"/>
        <x:v>786</x:v>
      </x:c>
      <x:c r="H51" s="22">
        <x:f t="shared" si="12"/>
        <x:v>196.5</x:v>
      </x:c>
      <x:c r="I51" s="23">
        <x:f>IF(B51="","",IFERROR(INDEX('회원명단 및 기준에버'!D:G,MATCH(B51,'회원명단 및 기준에버'!$C:$C,0),CHOOSE(INT((MONTH($N$2)-1)/3)+1,1,2,3,4)),""))</x:f>
        <x:v>192</x:v>
      </x:c>
      <x:c r="J51" s="5">
        <x:f t="shared" si="15"/>
        <x:v>-13</x:v>
      </x:c>
      <x:c r="K51" s="5">
        <x:f t="shared" si="16"/>
        <x:v>2</x:v>
      </x:c>
      <x:c r="L51" s="5">
        <x:f t="shared" si="17"/>
        <x:v>-3</x:v>
      </x:c>
      <x:c r="M51" s="5">
        <x:f t="shared" si="13"/>
        <x:v>32</x:v>
      </x:c>
      <x:c r="N51" s="6">
        <x:f t="shared" si="14"/>
        <x:v>18</x:v>
      </x:c>
      <x:c r="O51" s="24">
        <x:f t="shared" si="18"/>
        <x:v>4.5</x:v>
      </x:c>
    </x:row>
    <x:row r="52" spans="1:15" ht="24.949999999999999" customHeight="1">
      <x:c r="A52" s="18">
        <x:v>8</x:v>
      </x:c>
      <x:c r="B52" s="19" t="str">
        <x:f t="array" ref="B52:B52">INDEX($B$4:$O$23,MATCH($A52,$W$4:$W$23,0),COLUMN(A$1))</x:f>
        <x:v>김 태 환</x:v>
      </x:c>
      <x:c r="C52" s="20">
        <x:f t="array" ref="C52:C52">INDEX($B$4:$O$23,MATCH($A52,$W$4:$W$23,0),COLUMN(B$1))</x:f>
        <x:v>197</x:v>
      </x:c>
      <x:c r="D52" s="20">
        <x:f t="array" ref="D52:D52">INDEX($B$4:$O$23,MATCH($A52,$W$4:$W$23,0),COLUMN(C$1))</x:f>
        <x:v>167</x:v>
      </x:c>
      <x:c r="E52" s="20">
        <x:f t="array" ref="E52:E52">INDEX($B$4:$O$23,MATCH($A52,$W$4:$W$23,0),COLUMN(D$1))</x:f>
        <x:v>176</x:v>
      </x:c>
      <x:c r="F52" s="20">
        <x:f t="array" ref="F52:F52">INDEX($B$4:$O$23,MATCH($A52,$W$4:$W$23,0),COLUMN(E$1))</x:f>
        <x:v>224</x:v>
      </x:c>
      <x:c r="G52" s="21">
        <x:f t="shared" si="11"/>
        <x:v>764</x:v>
      </x:c>
      <x:c r="H52" s="22">
        <x:f t="shared" si="12"/>
        <x:v>191</x:v>
      </x:c>
      <x:c r="I52" s="23">
        <x:f>IF(B52="","",IFERROR(INDEX('회원명단 및 기준에버'!D:G,MATCH(B52,'회원명단 및 기준에버'!$C:$C,0),CHOOSE(INT((MONTH($N$2)-1)/3)+1,1,2,3,4)),""))</x:f>
        <x:v>198</x:v>
      </x:c>
      <x:c r="J52" s="5">
        <x:v>0</x:v>
      </x:c>
      <x:c r="K52" s="5">
        <x:v>0</x:v>
      </x:c>
      <x:c r="L52" s="5">
        <x:v>0</x:v>
      </x:c>
      <x:c r="M52" s="5">
        <x:v>0</x:v>
      </x:c>
      <x:c r="N52" s="6">
        <x:f t="shared" si="14"/>
        <x:v>0</x:v>
      </x:c>
      <x:c r="O52" s="24">
        <x:v>0</x:v>
      </x:c>
    </x:row>
    <x:row r="53" spans="1:15" ht="24.949999999999999" customHeight="1">
      <x:c r="A53" s="18">
        <x:v>9</x:v>
      </x:c>
      <x:c r="B53" s="19" t="str">
        <x:f t="array" ref="B53:B53">INDEX($B$4:$O$23,MATCH($A53,$W$4:$W$23,0),COLUMN(A$1))</x:f>
        <x:v>김 정 희</x:v>
      </x:c>
      <x:c r="C53" s="20">
        <x:f t="array" ref="C53:C53">INDEX($B$4:$O$23,MATCH($A53,$W$4:$W$23,0),COLUMN(B$1))</x:f>
        <x:v>214</x:v>
      </x:c>
      <x:c r="D53" s="20">
        <x:f t="array" ref="D53:D53">INDEX($B$4:$O$23,MATCH($A53,$W$4:$W$23,0),COLUMN(C$1))</x:f>
        <x:v>195</x:v>
      </x:c>
      <x:c r="E53" s="20">
        <x:f t="array" ref="E53:E53">INDEX($B$4:$O$23,MATCH($A53,$W$4:$W$23,0),COLUMN(D$1))</x:f>
        <x:v>200</x:v>
      </x:c>
      <x:c r="F53" s="20">
        <x:f t="array" ref="F53:F53">INDEX($B$4:$O$23,MATCH($A53,$W$4:$W$23,0),COLUMN(E$1))</x:f>
        <x:v>212</x:v>
      </x:c>
      <x:c r="G53" s="21">
        <x:f t="shared" si="11"/>
        <x:v>821</x:v>
      </x:c>
      <x:c r="H53" s="22">
        <x:f t="shared" si="12"/>
        <x:v>205.25</x:v>
      </x:c>
      <x:c r="I53" s="23">
        <x:f>IF(B53="","",IFERROR(INDEX('회원명단 및 기준에버'!D:G,MATCH(B53,'회원명단 및 기준에버'!$C:$C,0),CHOOSE(INT((MONTH($N$2)-1)/3)+1,1,2,3,4)),""))</x:f>
        <x:v>200</x:v>
      </x:c>
      <x:c r="J53" s="5">
        <x:v>0</x:v>
      </x:c>
      <x:c r="K53" s="5">
        <x:v>0</x:v>
      </x:c>
      <x:c r="L53" s="5">
        <x:v>0</x:v>
      </x:c>
      <x:c r="M53" s="5">
        <x:v>0</x:v>
      </x:c>
      <x:c r="N53" s="6">
        <x:v>0</x:v>
      </x:c>
      <x:c r="O53" s="24">
        <x:v>0</x:v>
      </x:c>
    </x:row>
    <x:row r="54" spans="1:15" ht="24.949999999999999" customHeight="1">
      <x:c r="A54" s="18">
        <x:v>10</x:v>
      </x:c>
      <x:c r="B54" s="19" t="str">
        <x:f t="array" ref="B54:B54">INDEX($B$4:$O$23,MATCH($A54,$W$4:$W$23,0),COLUMN(A$1))</x:f>
        <x:v>고 경 훈</x:v>
      </x:c>
      <x:c r="C54" s="20">
        <x:f t="array" ref="C54:C54">INDEX($B$4:$O$23,MATCH($A54,$W$4:$W$23,0),COLUMN(B$1))</x:f>
        <x:v>184</x:v>
      </x:c>
      <x:c r="D54" s="20">
        <x:f t="array" ref="D54:D54">INDEX($B$4:$O$23,MATCH($A54,$W$4:$W$23,0),COLUMN(C$1))</x:f>
        <x:v>191</x:v>
      </x:c>
      <x:c r="E54" s="20">
        <x:f t="array" ref="E54:E54">INDEX($B$4:$O$23,MATCH($A54,$W$4:$W$23,0),COLUMN(D$1))</x:f>
        <x:v>203</x:v>
      </x:c>
      <x:c r="F54" s="20">
        <x:f t="array" ref="F54:F54">INDEX($B$4:$O$23,MATCH($A54,$W$4:$W$23,0),COLUMN(E$1))</x:f>
        <x:v>189</x:v>
      </x:c>
      <x:c r="G54" s="21">
        <x:f t="shared" si="11"/>
        <x:v>767</x:v>
      </x:c>
      <x:c r="H54" s="22">
        <x:f t="shared" si="12"/>
        <x:v>191.75</x:v>
      </x:c>
      <x:c r="I54" s="23">
        <x:f>IF(B54="","",IFERROR(INDEX('회원명단 및 기준에버'!D:G,MATCH(B54,'회원명단 및 기준에버'!$C:$C,0),CHOOSE(INT((MONTH($N$2)-1)/3)+1,1,2,3,4)),""))</x:f>
        <x:v>195</x:v>
      </x:c>
      <x:c r="J54" s="5">
        <x:f t="shared" si="15"/>
        <x:v>-11</x:v>
      </x:c>
      <x:c r="K54" s="5">
        <x:f t="shared" si="16"/>
        <x:v>-4</x:v>
      </x:c>
      <x:c r="L54" s="5">
        <x:f t="shared" si="17"/>
        <x:v>8</x:v>
      </x:c>
      <x:c r="M54" s="5">
        <x:f t="shared" si="13"/>
        <x:v>-6</x:v>
      </x:c>
      <x:c r="N54" s="6">
        <x:f t="shared" si="14"/>
        <x:v>-13</x:v>
      </x:c>
      <x:c r="O54" s="24">
        <x:f t="shared" si="18"/>
        <x:v>-3.25</x:v>
      </x:c>
    </x:row>
    <x:row r="55" spans="1:15" ht="24.949999999999999" customHeight="1">
      <x:c r="A55" s="18">
        <x:v>11</x:v>
      </x:c>
      <x:c r="B55" s="19" t="str">
        <x:f t="array" ref="B55:B55">INDEX($B$4:$O$23,MATCH($A55,$W$4:$W$23,0),COLUMN(A$1))</x:f>
        <x:v>이 정 석</x:v>
      </x:c>
      <x:c r="C55" s="20">
        <x:f t="array" ref="C55:C55">INDEX($B$4:$O$23,MATCH($A55,$W$4:$W$23,0),COLUMN(B$1))</x:f>
        <x:v>206</x:v>
      </x:c>
      <x:c r="D55" s="20">
        <x:f t="array" ref="D55:D55">INDEX($B$4:$O$23,MATCH($A55,$W$4:$W$23,0),COLUMN(C$1))</x:f>
        <x:v>183</x:v>
      </x:c>
      <x:c r="E55" s="20">
        <x:f t="array" ref="E55:E55">INDEX($B$4:$O$23,MATCH($A55,$W$4:$W$23,0),COLUMN(D$1))</x:f>
        <x:v>172</x:v>
      </x:c>
      <x:c r="F55" s="20">
        <x:f t="array" ref="F55:F55">INDEX($B$4:$O$23,MATCH($A55,$W$4:$W$23,0),COLUMN(E$1))</x:f>
        <x:v>206</x:v>
      </x:c>
      <x:c r="G55" s="21">
        <x:f t="shared" si="11"/>
        <x:v>767</x:v>
      </x:c>
      <x:c r="H55" s="22">
        <x:f t="shared" si="12"/>
        <x:v>191.75</x:v>
      </x:c>
      <x:c r="I55" s="23">
        <x:f>IF(B55="","",IFERROR(INDEX('회원명단 및 기준에버'!D:G,MATCH(B55,'회원명단 및 기준에버'!$C:$C,0),CHOOSE(INT((MONTH($N$2)-1)/3)+1,1,2,3,4)),""))</x:f>
        <x:v>196</x:v>
      </x:c>
      <x:c r="J55" s="5">
        <x:f t="shared" si="15"/>
        <x:v>10</x:v>
      </x:c>
      <x:c r="K55" s="5">
        <x:f t="shared" si="16"/>
        <x:v>-13</x:v>
      </x:c>
      <x:c r="L55" s="5">
        <x:f t="shared" si="17"/>
        <x:v>-24</x:v>
      </x:c>
      <x:c r="M55" s="5">
        <x:f t="shared" si="13"/>
        <x:v>10</x:v>
      </x:c>
      <x:c r="N55" s="6">
        <x:f t="shared" si="14"/>
        <x:v>-17</x:v>
      </x:c>
      <x:c r="O55" s="24">
        <x:f t="shared" si="18"/>
        <x:v>-4.25</x:v>
      </x:c>
    </x:row>
    <x:row r="56" spans="1:15" ht="24.949999999999999" customHeight="1">
      <x:c r="A56" s="18">
        <x:v>12</x:v>
      </x:c>
      <x:c r="B56" s="19" t="str">
        <x:f t="array" ref="B56:B56">INDEX($B$4:$O$23,MATCH($A56,$W$4:$W$23,0),COLUMN(A$1))</x:f>
        <x:v>이 우 석</x:v>
      </x:c>
      <x:c r="C56" s="20">
        <x:f t="array" ref="C56:C56">INDEX($B$4:$O$23,MATCH($A56,$W$4:$W$23,0),COLUMN(B$1))</x:f>
        <x:v>196</x:v>
      </x:c>
      <x:c r="D56" s="20">
        <x:f t="array" ref="D56:D56">INDEX($B$4:$O$23,MATCH($A56,$W$4:$W$23,0),COLUMN(C$1))</x:f>
        <x:v>169</x:v>
      </x:c>
      <x:c r="E56" s="20">
        <x:f t="array" ref="E56:E56">INDEX($B$4:$O$23,MATCH($A56,$W$4:$W$23,0),COLUMN(D$1))</x:f>
        <x:v>258</x:v>
      </x:c>
      <x:c r="F56" s="20">
        <x:f t="array" ref="F56:F56">INDEX($B$4:$O$23,MATCH($A56,$W$4:$W$23,0),COLUMN(E$1))</x:f>
        <x:v>157</x:v>
      </x:c>
      <x:c r="G56" s="21">
        <x:f t="shared" si="11"/>
        <x:v>780</x:v>
      </x:c>
      <x:c r="H56" s="22">
        <x:f t="shared" si="12"/>
        <x:v>195</x:v>
      </x:c>
      <x:c r="I56" s="23">
        <x:f>IF(B56="","",IFERROR(INDEX('회원명단 및 기준에버'!D:G,MATCH(B56,'회원명단 및 기준에버'!$C:$C,0),CHOOSE(INT((MONTH($N$2)-1)/3)+1,1,2,3,4)),""))</x:f>
        <x:v>200</x:v>
      </x:c>
      <x:c r="J56" s="5">
        <x:f t="shared" si="15"/>
        <x:v>-4</x:v>
      </x:c>
      <x:c r="K56" s="5">
        <x:f t="shared" si="16"/>
        <x:v>-31</x:v>
      </x:c>
      <x:c r="L56" s="5">
        <x:f t="shared" si="17"/>
        <x:v>58</x:v>
      </x:c>
      <x:c r="M56" s="5">
        <x:f t="shared" si="13"/>
        <x:v>-43</x:v>
      </x:c>
      <x:c r="N56" s="6">
        <x:f t="shared" si="14"/>
        <x:v>-20</x:v>
      </x:c>
      <x:c r="O56" s="24">
        <x:f t="shared" si="18"/>
        <x:v>-5</x:v>
      </x:c>
    </x:row>
    <x:row r="57" spans="1:15" ht="24.949999999999999" customHeight="1">
      <x:c r="A57" s="18">
        <x:v>13</x:v>
      </x:c>
      <x:c r="B57" s="19" t="str">
        <x:f t="array" ref="B57:B57">INDEX($B$4:$O$23,MATCH($A57,$W$4:$W$23,0),COLUMN(A$1))</x:f>
        <x:v>김 선 미</x:v>
      </x:c>
      <x:c r="C57" s="20">
        <x:f t="array" ref="C57:C57">INDEX($B$4:$O$23,MATCH($A57,$W$4:$W$23,0),COLUMN(B$1))</x:f>
        <x:v>146</x:v>
      </x:c>
      <x:c r="D57" s="20">
        <x:f t="array" ref="D57:D57">INDEX($B$4:$O$23,MATCH($A57,$W$4:$W$23,0),COLUMN(C$1))</x:f>
        <x:v>181</x:v>
      </x:c>
      <x:c r="E57" s="20">
        <x:f t="array" ref="E57:E57">INDEX($B$4:$O$23,MATCH($A57,$W$4:$W$23,0),COLUMN(D$1))</x:f>
        <x:v>146</x:v>
      </x:c>
      <x:c r="F57" s="20">
        <x:f t="array" ref="F57:F57">INDEX($B$4:$O$23,MATCH($A57,$W$4:$W$23,0),COLUMN(E$1))</x:f>
        <x:v>149</x:v>
      </x:c>
      <x:c r="G57" s="21">
        <x:f t="shared" si="11"/>
        <x:v>622</x:v>
      </x:c>
      <x:c r="H57" s="22">
        <x:f t="shared" si="12"/>
        <x:v>155.5</x:v>
      </x:c>
      <x:c r="I57" s="23">
        <x:f>IF(B57="","",IFERROR(INDEX('회원명단 및 기준에버'!D:G,MATCH(B57,'회원명단 및 기준에버'!$C:$C,0),CHOOSE(INT((MONTH($N$2)-1)/3)+1,1,2,3,4)),""))</x:f>
        <x:v>161</x:v>
      </x:c>
      <x:c r="J57" s="5">
        <x:f t="shared" si="15"/>
        <x:v>-15</x:v>
      </x:c>
      <x:c r="K57" s="5">
        <x:f t="shared" si="16"/>
        <x:v>20</x:v>
      </x:c>
      <x:c r="L57" s="5">
        <x:f t="shared" si="17"/>
        <x:v>-15</x:v>
      </x:c>
      <x:c r="M57" s="5">
        <x:f t="shared" si="13"/>
        <x:v>-12</x:v>
      </x:c>
      <x:c r="N57" s="6">
        <x:f t="shared" si="14"/>
        <x:v>-22</x:v>
      </x:c>
      <x:c r="O57" s="24">
        <x:f t="shared" si="18"/>
        <x:v>-5.5</x:v>
      </x:c>
    </x:row>
    <x:row r="58" spans="1:15" ht="24.949999999999999" customHeight="1">
      <x:c r="A58" s="18">
        <x:v>14</x:v>
      </x:c>
      <x:c r="B58" s="19" t="str">
        <x:f t="array" ref="B58:B58">INDEX($B$4:$O$23,MATCH($A58,$W$4:$W$23,0),COLUMN(A$1))</x:f>
        <x:v>지 옥 명</x:v>
      </x:c>
      <x:c r="C58" s="20">
        <x:f t="array" ref="C58:C58">INDEX($B$4:$O$23,MATCH($A58,$W$4:$W$23,0),COLUMN(B$1))</x:f>
        <x:v>159</x:v>
      </x:c>
      <x:c r="D58" s="20">
        <x:f t="array" ref="D58:D58">INDEX($B$4:$O$23,MATCH($A58,$W$4:$W$23,0),COLUMN(C$1))</x:f>
        <x:v>215</x:v>
      </x:c>
      <x:c r="E58" s="20">
        <x:f t="array" ref="E58:E58">INDEX($B$4:$O$23,MATCH($A58,$W$4:$W$23,0),COLUMN(D$1))</x:f>
        <x:v>149</x:v>
      </x:c>
      <x:c r="F58" s="20">
        <x:f t="array" ref="F58:F58">INDEX($B$4:$O$23,MATCH($A58,$W$4:$W$23,0),COLUMN(E$1))</x:f>
        <x:v>186</x:v>
      </x:c>
      <x:c r="G58" s="21">
        <x:f t="shared" si="11"/>
        <x:v>709</x:v>
      </x:c>
      <x:c r="H58" s="22">
        <x:f t="shared" si="12"/>
        <x:v>177.25</x:v>
      </x:c>
      <x:c r="I58" s="23">
        <x:f>IF(B58="","",IFERROR(INDEX('회원명단 및 기준에버'!D:G,MATCH(B58,'회원명단 및 기준에버'!$C:$C,0),CHOOSE(INT((MONTH($N$2)-1)/3)+1,1,2,3,4)),""))</x:f>
        <x:v>183</x:v>
      </x:c>
      <x:c r="J58" s="5">
        <x:f t="shared" si="15"/>
        <x:v>-24</x:v>
      </x:c>
      <x:c r="K58" s="5">
        <x:f t="shared" si="16"/>
        <x:v>32</x:v>
      </x:c>
      <x:c r="L58" s="5">
        <x:f t="shared" si="17"/>
        <x:v>-34</x:v>
      </x:c>
      <x:c r="M58" s="5">
        <x:f t="shared" si="13"/>
        <x:v>3</x:v>
      </x:c>
      <x:c r="N58" s="6">
        <x:f t="shared" si="14"/>
        <x:v>-23</x:v>
      </x:c>
      <x:c r="O58" s="24">
        <x:f t="shared" si="18"/>
        <x:v>-5.75</x:v>
      </x:c>
    </x:row>
    <x:row r="59" spans="1:15" ht="24.949999999999999" customHeight="1">
      <x:c r="A59" s="18">
        <x:v>15</x:v>
      </x:c>
      <x:c r="B59" s="19" t="str">
        <x:f t="array" ref="B59:B59">INDEX($B$4:$O$23,MATCH($A59,$W$4:$W$23,0),COLUMN(A$1))</x:f>
        <x:v>천 성 일</x:v>
      </x:c>
      <x:c r="C59" s="20">
        <x:f t="array" ref="C59:C59">INDEX($B$4:$O$23,MATCH($A59,$W$4:$W$23,0),COLUMN(B$1))</x:f>
        <x:v>216</x:v>
      </x:c>
      <x:c r="D59" s="20">
        <x:f t="array" ref="D59:D59">INDEX($B$4:$O$23,MATCH($A59,$W$4:$W$23,0),COLUMN(C$1))</x:f>
        <x:v>158</x:v>
      </x:c>
      <x:c r="E59" s="20">
        <x:f t="array" ref="E59:E59">INDEX($B$4:$O$23,MATCH($A59,$W$4:$W$23,0),COLUMN(D$1))</x:f>
        <x:v>182</x:v>
      </x:c>
      <x:c r="F59" s="20">
        <x:f t="array" ref="F59:F59">INDEX($B$4:$O$23,MATCH($A59,$W$4:$W$23,0),COLUMN(E$1))</x:f>
        <x:v>185</x:v>
      </x:c>
      <x:c r="G59" s="21">
        <x:f t="shared" si="11"/>
        <x:v>741</x:v>
      </x:c>
      <x:c r="H59" s="22">
        <x:f t="shared" si="12"/>
        <x:v>185.25</x:v>
      </x:c>
      <x:c r="I59" s="23">
        <x:f>IF(B59="","",IFERROR(INDEX('회원명단 및 기준에버'!D:G,MATCH(B59,'회원명단 및 기준에버'!$C:$C,0),CHOOSE(INT((MONTH($N$2)-1)/3)+1,1,2,3,4)),""))</x:f>
        <x:v>191</x:v>
      </x:c>
      <x:c r="J59" s="5">
        <x:f t="shared" si="15"/>
        <x:v>25</x:v>
      </x:c>
      <x:c r="K59" s="5">
        <x:f t="shared" si="16"/>
        <x:v>-33</x:v>
      </x:c>
      <x:c r="L59" s="5">
        <x:f t="shared" si="17"/>
        <x:v>-9</x:v>
      </x:c>
      <x:c r="M59" s="5">
        <x:f t="shared" si="13"/>
        <x:v>-6</x:v>
      </x:c>
      <x:c r="N59" s="6">
        <x:f t="shared" si="14"/>
        <x:v>-23</x:v>
      </x:c>
      <x:c r="O59" s="24">
        <x:f t="shared" si="18"/>
        <x:v>-5.75</x:v>
      </x:c>
    </x:row>
    <x:row r="60" spans="1:15" ht="24.949999999999999" customHeight="1">
      <x:c r="A60" s="18">
        <x:v>16</x:v>
      </x:c>
      <x:c r="B60" s="19" t="str">
        <x:f t="array" ref="B60:B60">INDEX($B$4:$O$23,MATCH($A60,$W$4:$W$23,0),COLUMN(A$1))</x:f>
        <x:v>이 대 용</x:v>
      </x:c>
      <x:c r="C60" s="20">
        <x:f t="array" ref="C60:C60">INDEX($B$4:$O$23,MATCH($A60,$W$4:$W$23,0),COLUMN(B$1))</x:f>
        <x:v>224</x:v>
      </x:c>
      <x:c r="D60" s="20">
        <x:f t="array" ref="D60:D60">INDEX($B$4:$O$23,MATCH($A60,$W$4:$W$23,0),COLUMN(C$1))</x:f>
        <x:v>159</x:v>
      </x:c>
      <x:c r="E60" s="20">
        <x:f t="array" ref="E60:E60">INDEX($B$4:$O$23,MATCH($A60,$W$4:$W$23,0),COLUMN(D$1))</x:f>
        <x:v>191</x:v>
      </x:c>
      <x:c r="F60" s="20">
        <x:f t="array" ref="F60:F60">INDEX($B$4:$O$23,MATCH($A60,$W$4:$W$23,0),COLUMN(E$1))</x:f>
        <x:v>196</x:v>
      </x:c>
      <x:c r="G60" s="21">
        <x:f t="shared" si="11"/>
        <x:v>770</x:v>
      </x:c>
      <x:c r="H60" s="22">
        <x:f t="shared" si="12"/>
        <x:v>192.5</x:v>
      </x:c>
      <x:c r="I60" s="23">
        <x:f>IF(B60="","",IFERROR(INDEX('회원명단 및 기준에버'!D:G,MATCH(B60,'회원명단 및 기준에버'!$C:$C,0),CHOOSE(INT((MONTH($N$2)-1)/3)+1,1,2,3,4)),""))</x:f>
        <x:v>200</x:v>
      </x:c>
      <x:c r="J60" s="5">
        <x:f t="shared" si="15"/>
        <x:v>24</x:v>
      </x:c>
      <x:c r="K60" s="5">
        <x:f t="shared" si="16"/>
        <x:v>-41</x:v>
      </x:c>
      <x:c r="L60" s="5">
        <x:f t="shared" si="17"/>
        <x:v>-9</x:v>
      </x:c>
      <x:c r="M60" s="5">
        <x:f t="shared" si="13"/>
        <x:v>-4</x:v>
      </x:c>
      <x:c r="N60" s="6">
        <x:f t="shared" si="14"/>
        <x:v>-30</x:v>
      </x:c>
      <x:c r="O60" s="24">
        <x:f t="shared" si="18"/>
        <x:v>-7.5</x:v>
      </x:c>
    </x:row>
    <x:row r="61" spans="1:15" ht="24.949999999999999" customHeight="1">
      <x:c r="A61" s="18">
        <x:v>17</x:v>
      </x:c>
      <x:c r="B61" s="19" t="str">
        <x:f t="array" ref="B61:B61">INDEX($B$4:$O$23,MATCH($A61,$W$4:$W$23,0),COLUMN(A$1))</x:f>
        <x:v>손 은 주</x:v>
      </x:c>
      <x:c r="C61" s="20">
        <x:f t="array" ref="C61:C61">INDEX($B$4:$O$23,MATCH($A61,$W$4:$W$23,0),COLUMN(B$1))</x:f>
        <x:v>139</x:v>
      </x:c>
      <x:c r="D61" s="20">
        <x:f t="array" ref="D61:D61">INDEX($B$4:$O$23,MATCH($A61,$W$4:$W$23,0),COLUMN(C$1))</x:f>
        <x:v>132</x:v>
      </x:c>
      <x:c r="E61" s="20">
        <x:f t="array" ref="E61:E61">INDEX($B$4:$O$23,MATCH($A61,$W$4:$W$23,0),COLUMN(D$1))</x:f>
        <x:v>149</x:v>
      </x:c>
      <x:c r="F61" s="20">
        <x:f t="array" ref="F61:F61">INDEX($B$4:$O$23,MATCH($A61,$W$4:$W$23,0),COLUMN(E$1))</x:f>
        <x:v>139</x:v>
      </x:c>
      <x:c r="G61" s="21">
        <x:f t="shared" si="11"/>
        <x:v>559</x:v>
      </x:c>
      <x:c r="H61" s="22">
        <x:f t="shared" si="12"/>
        <x:v>139.75</x:v>
      </x:c>
      <x:c r="I61" s="23">
        <x:f>IF(B61="","",IFERROR(INDEX('회원명단 및 기준에버'!D:G,MATCH(B61,'회원명단 및 기준에버'!$C:$C,0),CHOOSE(INT((MONTH($N$2)-1)/3)+1,1,2,3,4)),""))</x:f>
        <x:v>151</x:v>
      </x:c>
      <x:c r="J61" s="5">
        <x:f t="shared" si="15"/>
        <x:v>-12</x:v>
      </x:c>
      <x:c r="K61" s="5">
        <x:f t="shared" si="16"/>
        <x:v>-19</x:v>
      </x:c>
      <x:c r="L61" s="5">
        <x:f t="shared" si="17"/>
        <x:v>-2</x:v>
      </x:c>
      <x:c r="M61" s="5">
        <x:f t="shared" si="13"/>
        <x:v>-12</x:v>
      </x:c>
      <x:c r="N61" s="6">
        <x:f t="shared" si="14"/>
        <x:v>-45</x:v>
      </x:c>
      <x:c r="O61" s="24">
        <x:f t="shared" si="18"/>
        <x:v>-11.25</x:v>
      </x:c>
    </x:row>
    <x:row r="62" spans="1:15" ht="24.949999999999999" customHeight="1">
      <x:c r="A62" s="18">
        <x:v>18</x:v>
      </x:c>
      <x:c r="B62" s="19" t="str">
        <x:f t="array" ref="B62:B62">INDEX($B$4:$O$23,MATCH($A62,$W$4:$W$23,0),COLUMN(A$1))</x:f>
        <x:v>황 인 교</x:v>
      </x:c>
      <x:c r="C62" s="20">
        <x:f t="array" ref="C62:C62">INDEX($B$4:$O$23,MATCH($A62,$W$4:$W$23,0),COLUMN(B$1))</x:f>
        <x:v>165</x:v>
      </x:c>
      <x:c r="D62" s="20">
        <x:f t="array" ref="D62:D62">INDEX($B$4:$O$23,MATCH($A62,$W$4:$W$23,0),COLUMN(C$1))</x:f>
        <x:v>172</x:v>
      </x:c>
      <x:c r="E62" s="20">
        <x:f t="array" ref="E62:E62">INDEX($B$4:$O$23,MATCH($A62,$W$4:$W$23,0),COLUMN(D$1))</x:f>
        <x:v>199</x:v>
      </x:c>
      <x:c r="F62" s="20">
        <x:f t="array" ref="F62:F62">INDEX($B$4:$O$23,MATCH($A62,$W$4:$W$23,0),COLUMN(E$1))</x:f>
        <x:v>151</x:v>
      </x:c>
      <x:c r="G62" s="21">
        <x:f t="shared" si="11"/>
        <x:v>687</x:v>
      </x:c>
      <x:c r="H62" s="22">
        <x:f t="shared" si="12"/>
        <x:v>171.75</x:v>
      </x:c>
      <x:c r="I62" s="23">
        <x:f>IF(B62="","",IFERROR(INDEX('회원명단 및 기준에버'!D:G,MATCH(B62,'회원명단 및 기준에버'!$C:$C,0),CHOOSE(INT((MONTH($N$2)-1)/3)+1,1,2,3,4)),""))</x:f>
        <x:v>184</x:v>
      </x:c>
      <x:c r="J62" s="5">
        <x:f t="shared" si="15"/>
        <x:v>-19</x:v>
      </x:c>
      <x:c r="K62" s="5">
        <x:f t="shared" si="16"/>
        <x:v>-12</x:v>
      </x:c>
      <x:c r="L62" s="5">
        <x:f t="shared" si="17"/>
        <x:v>15</x:v>
      </x:c>
      <x:c r="M62" s="5">
        <x:f t="shared" si="13"/>
        <x:v>-33</x:v>
      </x:c>
      <x:c r="N62" s="6">
        <x:f t="shared" si="14"/>
        <x:v>-49</x:v>
      </x:c>
      <x:c r="O62" s="24">
        <x:f t="shared" si="18"/>
        <x:v>-12.25</x:v>
      </x:c>
    </x:row>
    <x:row r="63" spans="1:15" ht="24.949999999999999" customHeight="1">
      <x:c r="A63" s="18">
        <x:v>19</x:v>
      </x:c>
      <x:c r="B63" s="19" t="str">
        <x:f t="array" ref="B63:B63">INDEX($B$4:$O$23,MATCH($A63,$W$4:$W$23,0),COLUMN(A$1))</x:f>
        <x:v>엄 정 도</x:v>
      </x:c>
      <x:c r="C63" s="20">
        <x:f t="array" ref="C63:C63">INDEX($B$4:$O$23,MATCH($A63,$W$4:$W$23,0),COLUMN(B$1))</x:f>
        <x:v>159</x:v>
      </x:c>
      <x:c r="D63" s="20">
        <x:f t="array" ref="D63:D63">INDEX($B$4:$O$23,MATCH($A63,$W$4:$W$23,0),COLUMN(C$1))</x:f>
        <x:v>156</x:v>
      </x:c>
      <x:c r="E63" s="20">
        <x:f t="array" ref="E63:E63">INDEX($B$4:$O$23,MATCH($A63,$W$4:$W$23,0),COLUMN(D$1))</x:f>
        <x:v>180</x:v>
      </x:c>
      <x:c r="F63" s="20">
        <x:f t="array" ref="F63:F63">INDEX($B$4:$O$23,MATCH($A63,$W$4:$W$23,0),COLUMN(E$1))</x:f>
        <x:v>170</x:v>
      </x:c>
      <x:c r="G63" s="21">
        <x:f t="shared" si="11"/>
        <x:v>665</x:v>
      </x:c>
      <x:c r="H63" s="22">
        <x:f t="shared" si="12"/>
        <x:v>166.25</x:v>
      </x:c>
      <x:c r="I63" s="23">
        <x:f>IF(B63="","",IFERROR(INDEX('회원명단 및 기준에버'!D:G,MATCH(B63,'회원명단 및 기준에버'!$C:$C,0),CHOOSE(INT((MONTH($N$2)-1)/3)+1,1,2,3,4)),""))</x:f>
        <x:v>184</x:v>
      </x:c>
      <x:c r="J63" s="5">
        <x:f t="shared" si="15"/>
        <x:v>-25</x:v>
      </x:c>
      <x:c r="K63" s="5">
        <x:f t="shared" si="16"/>
        <x:v>-28</x:v>
      </x:c>
      <x:c r="L63" s="5">
        <x:f t="shared" si="17"/>
        <x:v>-4</x:v>
      </x:c>
      <x:c r="M63" s="5">
        <x:f t="shared" si="13"/>
        <x:v>-14</x:v>
      </x:c>
      <x:c r="N63" s="6">
        <x:f t="shared" si="14"/>
        <x:v>-71</x:v>
      </x:c>
      <x:c r="O63" s="24">
        <x:f t="shared" si="18"/>
        <x:v>-17.75</x:v>
      </x:c>
    </x:row>
    <x:row r="64" spans="1:15" ht="24.949999999999999" customHeight="1">
      <x:c r="A64" s="18">
        <x:v>20</x:v>
      </x:c>
      <x:c r="B64" s="19" t="str">
        <x:f t="array" ref="B64:B64">INDEX($B$4:$O$23,MATCH($A64,$W$4:$W$23,0),COLUMN(A$1))</x:f>
        <x:v>강 완 규</x:v>
      </x:c>
      <x:c r="C64" s="20">
        <x:f t="array" ref="C64:C64">INDEX($B$4:$O$23,MATCH($A64,$W$4:$W$23,0),COLUMN(B$1))</x:f>
        <x:v>143</x:v>
      </x:c>
      <x:c r="D64" s="20">
        <x:f t="array" ref="D64:D64">INDEX($B$4:$O$23,MATCH($A64,$W$4:$W$23,0),COLUMN(C$1))</x:f>
        <x:v>166</x:v>
      </x:c>
      <x:c r="E64" s="20">
        <x:f t="array" ref="E64:E64">INDEX($B$4:$O$23,MATCH($A64,$W$4:$W$23,0),COLUMN(D$1))</x:f>
        <x:v>200</x:v>
      </x:c>
      <x:c r="F64" s="20">
        <x:f t="array" ref="F64:F64">INDEX($B$4:$O$23,MATCH($A64,$W$4:$W$23,0),COLUMN(E$1))</x:f>
        <x:v>184</x:v>
      </x:c>
      <x:c r="G64" s="21">
        <x:f t="shared" si="11"/>
        <x:v>693</x:v>
      </x:c>
      <x:c r="H64" s="22">
        <x:f t="shared" si="12"/>
        <x:v>173.25</x:v>
      </x:c>
      <x:c r="I64" s="23">
        <x:f>IF(B64="","",IFERROR(INDEX('회원명단 및 기준에버'!D:G,MATCH(B64,'회원명단 및 기준에버'!$C:$C,0),CHOOSE(INT((MONTH($N$2)-1)/3)+1,1,2,3,4)),""))</x:f>
        <x:v>194</x:v>
      </x:c>
      <x:c r="J64" s="5">
        <x:f t="shared" si="15"/>
        <x:v>-51</x:v>
      </x:c>
      <x:c r="K64" s="5">
        <x:f t="shared" si="16"/>
        <x:v>-28</x:v>
      </x:c>
      <x:c r="L64" s="5">
        <x:f t="shared" si="17"/>
        <x:v>6</x:v>
      </x:c>
      <x:c r="M64" s="5">
        <x:f t="shared" si="13"/>
        <x:v>-10</x:v>
      </x:c>
      <x:c r="N64" s="6">
        <x:f t="shared" si="14"/>
        <x:v>-83</x:v>
      </x:c>
      <x:c r="O64" s="24">
        <x:f t="shared" si="18"/>
        <x:v>-20.75</x:v>
      </x:c>
    </x:row>
    <x:row r="65" spans="2:15" ht="24.949999999999999" customHeight="1">
      <x:c r="B65" s="120" t="s">
        <x:v>21</x:v>
      </x:c>
      <x:c r="C65" s="121"/>
      <x:c r="D65" s="121"/>
      <x:c r="E65" s="121"/>
      <x:c r="F65" s="120"/>
      <x:c r="G65" s="121"/>
      <x:c r="H65" s="121"/>
      <x:c r="I65" s="121"/>
      <x:c r="J65" s="121"/>
      <x:c r="K65" s="121"/>
      <x:c r="L65" s="121"/>
      <x:c r="M65" s="120"/>
      <x:c r="N65" s="121"/>
      <x:c r="O65" s="122"/>
    </x:row>
    <x:row r="66" spans="2:15" ht="24.949999999999999" customHeight="1">
      <x:c r="B66" s="13" t="str">
        <x:f t="shared" ref="B66:G70" si="19">IF(B25="","",B25)</x:f>
        <x:v>이 우 석</x:v>
      </x:c>
      <x:c r="C66" s="49">
        <x:f t="shared" si="19"/>
        <x:v>-4</x:v>
      </x:c>
      <x:c r="D66" s="49">
        <x:f t="shared" si="19"/>
        <x:v>-31</x:v>
      </x:c>
      <x:c r="E66" s="49">
        <x:f t="shared" si="19"/>
        <x:v>58</x:v>
      </x:c>
      <x:c r="F66" s="49">
        <x:f t="shared" si="19"/>
        <x:v>-43</x:v>
      </x:c>
      <x:c r="G66" s="123">
        <x:f t="shared" si="19"/>
        <x:v>44</x:v>
      </x:c>
      <x:c r="H66" s="115"/>
      <x:c r="I66" s="50" t="str">
        <x:f t="shared" ref="I66:N70" si="20">IF(I25="","",I25)</x:f>
        <x:v>변 상 필</x:v>
      </x:c>
      <x:c r="J66" s="49">
        <x:f t="shared" si="20"/>
        <x:v>16</x:v>
      </x:c>
      <x:c r="K66" s="49">
        <x:f t="shared" si="20"/>
        <x:v>-23</x:v>
      </x:c>
      <x:c r="L66" s="49">
        <x:f t="shared" si="20"/>
        <x:v>33</x:v>
      </x:c>
      <x:c r="M66" s="49">
        <x:f t="shared" si="20"/>
        <x:v>2</x:v>
      </x:c>
      <x:c r="N66" s="129">
        <x:f t="shared" si="20"/>
        <x:v>1</x:v>
      </x:c>
      <x:c r="O66" s="126"/>
    </x:row>
    <x:row r="67" spans="2:15" ht="24.949999999999999" customHeight="1">
      <x:c r="B67" s="18" t="str">
        <x:f t="shared" si="19"/>
        <x:v>천 성 일</x:v>
      </x:c>
      <x:c r="C67" s="5">
        <x:f t="shared" si="19"/>
        <x:v>25</x:v>
      </x:c>
      <x:c r="D67" s="5">
        <x:f t="shared" si="19"/>
        <x:v>-33</x:v>
      </x:c>
      <x:c r="E67" s="5">
        <x:f t="shared" si="19"/>
        <x:v>-9</x:v>
      </x:c>
      <x:c r="F67" s="5">
        <x:f t="shared" si="19"/>
        <x:v>-6</x:v>
      </x:c>
      <x:c r="G67" s="124" t="str">
        <x:f t="shared" si="19"/>
        <x:v/>
      </x:c>
      <x:c r="H67" s="116"/>
      <x:c r="I67" s="18" t="str">
        <x:f t="shared" si="20"/>
        <x:v>나 경 주</x:v>
      </x:c>
      <x:c r="J67" s="5">
        <x:f t="shared" si="20"/>
        <x:v>-13</x:v>
      </x:c>
      <x:c r="K67" s="5">
        <x:f t="shared" si="20"/>
        <x:v>2</x:v>
      </x:c>
      <x:c r="L67" s="5">
        <x:f t="shared" si="20"/>
        <x:v>-3</x:v>
      </x:c>
      <x:c r="M67" s="5">
        <x:f t="shared" si="20"/>
        <x:v>32</x:v>
      </x:c>
      <x:c r="N67" s="130" t="str">
        <x:f t="shared" si="20"/>
        <x:v/>
      </x:c>
      <x:c r="O67" s="127"/>
    </x:row>
    <x:row r="68" spans="2:15" ht="24.949999999999999" customHeight="1">
      <x:c r="B68" s="18" t="str">
        <x:f t="shared" si="19"/>
        <x:v>김 종 훈</x:v>
      </x:c>
      <x:c r="C68" s="5">
        <x:f t="shared" si="19"/>
        <x:v>57</x:v>
      </x:c>
      <x:c r="D68" s="5">
        <x:f t="shared" si="19"/>
        <x:v>34</x:v>
      </x:c>
      <x:c r="E68" s="5">
        <x:f t="shared" si="19"/>
        <x:v>-8</x:v>
      </x:c>
      <x:c r="F68" s="5">
        <x:f t="shared" si="19"/>
        <x:v>-1</x:v>
      </x:c>
      <x:c r="G68" s="124" t="str">
        <x:f t="shared" si="19"/>
        <x:v/>
      </x:c>
      <x:c r="H68" s="116"/>
      <x:c r="I68" s="18" t="str">
        <x:f t="shared" si="20"/>
        <x:v>김 태 환</x:v>
      </x:c>
      <x:c r="J68" s="5">
        <x:f t="shared" si="20"/>
        <x:v>0</x:v>
      </x:c>
      <x:c r="K68" s="5">
        <x:f t="shared" si="20"/>
        <x:v>0</x:v>
      </x:c>
      <x:c r="L68" s="5">
        <x:f t="shared" si="20"/>
        <x:v>0</x:v>
      </x:c>
      <x:c r="M68" s="5">
        <x:f t="shared" si="20"/>
        <x:v>0</x:v>
      </x:c>
      <x:c r="N68" s="130" t="str">
        <x:f t="shared" si="20"/>
        <x:v/>
      </x:c>
      <x:c r="O68" s="127"/>
    </x:row>
    <x:row r="69" spans="2:15" ht="24.949999999999999" customHeight="1">
      <x:c r="B69" s="18" t="str">
        <x:f t="shared" si="19"/>
        <x:v>진 명 옥</x:v>
      </x:c>
      <x:c r="C69" s="5">
        <x:f t="shared" si="19"/>
        <x:v>-2</x:v>
      </x:c>
      <x:c r="D69" s="5">
        <x:f t="shared" si="19"/>
        <x:v>52</x:v>
      </x:c>
      <x:c r="E69" s="5">
        <x:f t="shared" si="19"/>
        <x:v>9</x:v>
      </x:c>
      <x:c r="F69" s="5">
        <x:f t="shared" si="19"/>
        <x:v>-5</x:v>
      </x:c>
      <x:c r="G69" s="124" t="str">
        <x:f t="shared" si="19"/>
        <x:v/>
      </x:c>
      <x:c r="H69" s="116"/>
      <x:c r="I69" s="18" t="str">
        <x:f t="shared" si="20"/>
        <x:v>김 선 미</x:v>
      </x:c>
      <x:c r="J69" s="5">
        <x:f t="shared" si="20"/>
        <x:v>-15</x:v>
      </x:c>
      <x:c r="K69" s="5">
        <x:f t="shared" si="20"/>
        <x:v>20</x:v>
      </x:c>
      <x:c r="L69" s="5">
        <x:f t="shared" si="20"/>
        <x:v>-15</x:v>
      </x:c>
      <x:c r="M69" s="5">
        <x:f t="shared" si="20"/>
        <x:v>-12</x:v>
      </x:c>
      <x:c r="N69" s="130" t="str">
        <x:f t="shared" si="20"/>
        <x:v/>
      </x:c>
      <x:c r="O69" s="127"/>
    </x:row>
    <x:row r="70" spans="2:15" ht="24.949999999999999" customHeight="1">
      <x:c r="B70" s="18" t="str">
        <x:f t="shared" si="19"/>
        <x:v>황 인 교</x:v>
      </x:c>
      <x:c r="C70" s="5">
        <x:f t="shared" si="19"/>
        <x:v>-19</x:v>
      </x:c>
      <x:c r="D70" s="5">
        <x:f t="shared" si="19"/>
        <x:v>-12</x:v>
      </x:c>
      <x:c r="E70" s="5">
        <x:f t="shared" si="19"/>
        <x:v>15</x:v>
      </x:c>
      <x:c r="F70" s="5">
        <x:f t="shared" si="19"/>
        <x:v>-33</x:v>
      </x:c>
      <x:c r="G70" s="124" t="str">
        <x:f t="shared" si="19"/>
        <x:v/>
      </x:c>
      <x:c r="H70" s="116"/>
      <x:c r="I70" s="18" t="str">
        <x:f t="shared" si="20"/>
        <x:v>지 옥 명</x:v>
      </x:c>
      <x:c r="J70" s="5">
        <x:f t="shared" si="20"/>
        <x:v>-24</x:v>
      </x:c>
      <x:c r="K70" s="5">
        <x:f t="shared" si="20"/>
        <x:v>32</x:v>
      </x:c>
      <x:c r="L70" s="5">
        <x:f t="shared" si="20"/>
        <x:v>-34</x:v>
      </x:c>
      <x:c r="M70" s="5">
        <x:f t="shared" si="20"/>
        <x:v>3</x:v>
      </x:c>
      <x:c r="N70" s="130" t="str">
        <x:f t="shared" si="20"/>
        <x:v/>
      </x:c>
      <x:c r="O70" s="127"/>
    </x:row>
    <x:row r="71" spans="2:15" ht="24.949999999999999" customHeight="1">
      <x:c r="B71" s="30" t="str">
        <x:f t="shared" ref="B71:G71" si="21">IF(B30="","",B30)</x:f>
        <x:v/>
      </x:c>
      <x:c r="C71" s="51">
        <x:f t="shared" si="21"/>
        <x:v>57</x:v>
      </x:c>
      <x:c r="D71" s="51">
        <x:f t="shared" si="21"/>
        <x:v>10</x:v>
      </x:c>
      <x:c r="E71" s="51">
        <x:f t="shared" si="21"/>
        <x:v>65</x:v>
      </x:c>
      <x:c r="F71" s="51">
        <x:f t="shared" si="21"/>
        <x:v>-88</x:v>
      </x:c>
      <x:c r="G71" s="125" t="str">
        <x:f t="shared" si="21"/>
        <x:v/>
      </x:c>
      <x:c r="H71" s="117"/>
      <x:c r="I71" s="30" t="str">
        <x:f t="shared" ref="I71:N71" si="22">IF(I30="","",I30)</x:f>
        <x:v/>
      </x:c>
      <x:c r="J71" s="51">
        <x:f t="shared" si="22"/>
        <x:v>-36</x:v>
      </x:c>
      <x:c r="K71" s="51">
        <x:f t="shared" si="22"/>
        <x:v>31</x:v>
      </x:c>
      <x:c r="L71" s="51">
        <x:f t="shared" si="22"/>
        <x:v>-19</x:v>
      </x:c>
      <x:c r="M71" s="51">
        <x:f t="shared" si="22"/>
        <x:v>25</x:v>
      </x:c>
      <x:c r="N71" s="131" t="str">
        <x:f t="shared" si="22"/>
        <x:v/>
      </x:c>
      <x:c r="O71" s="128"/>
    </x:row>
    <x:row r="72" spans="2:15" ht="9.9499999999999993" customHeight="1"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</x:row>
    <x:row r="73" spans="2:15" ht="24.949999999999999" customHeight="1">
      <x:c r="B73" s="13" t="str">
        <x:f t="shared" ref="B73:O77" si="23">IF(B32="","",B32)</x:f>
        <x:v>이 대 용</x:v>
      </x:c>
      <x:c r="C73" s="49">
        <x:f t="shared" si="23"/>
        <x:v>24</x:v>
      </x:c>
      <x:c r="D73" s="49">
        <x:f t="shared" si="23"/>
        <x:v>-41</x:v>
      </x:c>
      <x:c r="E73" s="49">
        <x:f t="shared" si="23"/>
        <x:v>-9</x:v>
      </x:c>
      <x:c r="F73" s="49">
        <x:f t="shared" si="23"/>
        <x:v>-4</x:v>
      </x:c>
      <x:c r="G73" s="129">
        <x:f t="shared" si="23"/>
        <x:v>-110</x:v>
      </x:c>
      <x:c r="H73" s="126" t="str">
        <x:f t="shared" si="23"/>
        <x:v/>
      </x:c>
      <x:c r="I73" s="50" t="str">
        <x:f t="shared" si="23"/>
        <x:v>강 완 규</x:v>
      </x:c>
      <x:c r="J73" s="49">
        <x:f t="shared" si="23"/>
        <x:v>-51</x:v>
      </x:c>
      <x:c r="K73" s="49">
        <x:f t="shared" si="23"/>
        <x:v>-28</x:v>
      </x:c>
      <x:c r="L73" s="49">
        <x:f t="shared" si="23"/>
        <x:v>6</x:v>
      </x:c>
      <x:c r="M73" s="49">
        <x:f t="shared" si="23"/>
        <x:v>-10</x:v>
      </x:c>
      <x:c r="N73" s="129">
        <x:f t="shared" si="23"/>
        <x:v>9</x:v>
      </x:c>
      <x:c r="O73" s="126" t="str">
        <x:f t="shared" si="23"/>
        <x:v/>
      </x:c>
    </x:row>
    <x:row r="74" spans="2:15" ht="24.949999999999999" customHeight="1">
      <x:c r="B74" s="18" t="str">
        <x:f t="shared" si="23"/>
        <x:v>이 정 석</x:v>
      </x:c>
      <x:c r="C74" s="5">
        <x:f t="shared" si="23"/>
        <x:v>10</x:v>
      </x:c>
      <x:c r="D74" s="5">
        <x:f t="shared" si="23"/>
        <x:v>-13</x:v>
      </x:c>
      <x:c r="E74" s="5">
        <x:f t="shared" si="23"/>
        <x:v>-24</x:v>
      </x:c>
      <x:c r="F74" s="5">
        <x:f t="shared" si="23"/>
        <x:v>10</x:v>
      </x:c>
      <x:c r="G74" s="130" t="str">
        <x:f t="shared" si="23"/>
        <x:v/>
      </x:c>
      <x:c r="H74" s="127" t="str">
        <x:f t="shared" si="23"/>
        <x:v/>
      </x:c>
      <x:c r="I74" s="18" t="str">
        <x:f t="shared" si="23"/>
        <x:v>정 영 우</x:v>
      </x:c>
      <x:c r="J74" s="5">
        <x:f t="shared" si="23"/>
        <x:v>1</x:v>
      </x:c>
      <x:c r="K74" s="5">
        <x:f t="shared" si="23"/>
        <x:v>51</x:v>
      </x:c>
      <x:c r="L74" s="5">
        <x:f t="shared" si="23"/>
        <x:v>29</x:v>
      </x:c>
      <x:c r="M74" s="5">
        <x:f t="shared" si="23"/>
        <x:v>14</x:v>
      </x:c>
      <x:c r="N74" s="130" t="str">
        <x:f t="shared" si="23"/>
        <x:v/>
      </x:c>
      <x:c r="O74" s="127" t="str">
        <x:f t="shared" si="23"/>
        <x:v/>
      </x:c>
    </x:row>
    <x:row r="75" spans="2:15" ht="24.949999999999999" customHeight="1">
      <x:c r="B75" s="18" t="str">
        <x:f t="shared" si="23"/>
        <x:v>고 경 훈</x:v>
      </x:c>
      <x:c r="C75" s="5">
        <x:f t="shared" si="23"/>
        <x:v>-11</x:v>
      </x:c>
      <x:c r="D75" s="5">
        <x:f t="shared" si="23"/>
        <x:v>-4</x:v>
      </x:c>
      <x:c r="E75" s="5">
        <x:f t="shared" si="23"/>
        <x:v>8</x:v>
      </x:c>
      <x:c r="F75" s="5">
        <x:f t="shared" si="23"/>
        <x:v>-6</x:v>
      </x:c>
      <x:c r="G75" s="130" t="str">
        <x:f t="shared" si="23"/>
        <x:v/>
      </x:c>
      <x:c r="H75" s="127" t="str">
        <x:f t="shared" si="23"/>
        <x:v/>
      </x:c>
      <x:c r="I75" s="18" t="str">
        <x:f t="shared" si="23"/>
        <x:v>송 정 현</x:v>
      </x:c>
      <x:c r="J75" s="5">
        <x:f t="shared" si="23"/>
        <x:v>13</x:v>
      </x:c>
      <x:c r="K75" s="5">
        <x:f t="shared" si="23"/>
        <x:v>-11</x:v>
      </x:c>
      <x:c r="L75" s="5">
        <x:f t="shared" si="23"/>
        <x:v>46</x:v>
      </x:c>
      <x:c r="M75" s="5">
        <x:f t="shared" si="23"/>
        <x:v>-6</x:v>
      </x:c>
      <x:c r="N75" s="130" t="str">
        <x:f t="shared" si="23"/>
        <x:v/>
      </x:c>
      <x:c r="O75" s="127" t="str">
        <x:f t="shared" si="23"/>
        <x:v/>
      </x:c>
    </x:row>
    <x:row r="76" spans="2:15" ht="24.949999999999999" customHeight="1">
      <x:c r="B76" s="18" t="str">
        <x:f t="shared" si="23"/>
        <x:v>이 승 미</x:v>
      </x:c>
      <x:c r="C76" s="5">
        <x:f t="shared" si="23"/>
        <x:v>-5</x:v>
      </x:c>
      <x:c r="D76" s="5">
        <x:f t="shared" si="23"/>
        <x:v>14</x:v>
      </x:c>
      <x:c r="E76" s="5">
        <x:f t="shared" si="23"/>
        <x:v>-1</x:v>
      </x:c>
      <x:c r="F76" s="5">
        <x:f t="shared" si="23"/>
        <x:v>13</x:v>
      </x:c>
      <x:c r="G76" s="130" t="str">
        <x:f t="shared" si="23"/>
        <x:v/>
      </x:c>
      <x:c r="H76" s="127" t="str">
        <x:f t="shared" si="23"/>
        <x:v/>
      </x:c>
      <x:c r="I76" s="18" t="str">
        <x:f t="shared" si="23"/>
        <x:v>손 은 주</x:v>
      </x:c>
      <x:c r="J76" s="5">
        <x:f t="shared" si="23"/>
        <x:v>-12</x:v>
      </x:c>
      <x:c r="K76" s="5">
        <x:f t="shared" si="23"/>
        <x:v>-19</x:v>
      </x:c>
      <x:c r="L76" s="5">
        <x:f t="shared" si="23"/>
        <x:v>-2</x:v>
      </x:c>
      <x:c r="M76" s="5">
        <x:f t="shared" si="23"/>
        <x:v>-12</x:v>
      </x:c>
      <x:c r="N76" s="130" t="str">
        <x:f t="shared" si="23"/>
        <x:v/>
      </x:c>
      <x:c r="O76" s="127" t="str">
        <x:f t="shared" si="23"/>
        <x:v/>
      </x:c>
    </x:row>
    <x:row r="77" spans="2:15" ht="24.949999999999999" customHeight="1">
      <x:c r="B77" s="18" t="str">
        <x:f t="shared" si="23"/>
        <x:v>엄 정 도</x:v>
      </x:c>
      <x:c r="C77" s="5">
        <x:f t="shared" si="23"/>
        <x:v>-25</x:v>
      </x:c>
      <x:c r="D77" s="5">
        <x:f t="shared" si="23"/>
        <x:v>-28</x:v>
      </x:c>
      <x:c r="E77" s="5">
        <x:f t="shared" si="23"/>
        <x:v>-4</x:v>
      </x:c>
      <x:c r="F77" s="5">
        <x:f t="shared" si="23"/>
        <x:v>-14</x:v>
      </x:c>
      <x:c r="G77" s="130" t="str">
        <x:f t="shared" si="23"/>
        <x:v/>
      </x:c>
      <x:c r="H77" s="127" t="str">
        <x:f t="shared" si="23"/>
        <x:v/>
      </x:c>
      <x:c r="I77" s="18" t="str">
        <x:f t="shared" si="23"/>
        <x:v>김 정 희</x:v>
      </x:c>
      <x:c r="J77" s="5">
        <x:f t="shared" si="23"/>
        <x:v>0</x:v>
      </x:c>
      <x:c r="K77" s="5">
        <x:f t="shared" si="23"/>
        <x:v>0</x:v>
      </x:c>
      <x:c r="L77" s="5">
        <x:f t="shared" si="23"/>
        <x:v>0</x:v>
      </x:c>
      <x:c r="M77" s="5">
        <x:f t="shared" si="23"/>
        <x:v>0</x:v>
      </x:c>
      <x:c r="N77" s="130" t="str">
        <x:f t="shared" si="23"/>
        <x:v/>
      </x:c>
      <x:c r="O77" s="127" t="str">
        <x:f t="shared" si="23"/>
        <x:v/>
      </x:c>
    </x:row>
    <x:row r="78" spans="2:15" ht="24.949999999999999" customHeight="1">
      <x:c r="B78" s="30" t="str">
        <x:f t="shared" ref="B78:O78" si="24">IF(B37="","",B37)</x:f>
        <x:v/>
      </x:c>
      <x:c r="C78" s="51">
        <x:f t="shared" si="24"/>
        <x:v>-7</x:v>
      </x:c>
      <x:c r="D78" s="51">
        <x:f t="shared" si="24"/>
        <x:v>-72</x:v>
      </x:c>
      <x:c r="E78" s="51">
        <x:f t="shared" si="24"/>
        <x:v>-30</x:v>
      </x:c>
      <x:c r="F78" s="51">
        <x:f t="shared" si="24"/>
        <x:v>-1</x:v>
      </x:c>
      <x:c r="G78" s="131" t="str">
        <x:f t="shared" si="24"/>
        <x:v/>
      </x:c>
      <x:c r="H78" s="128" t="str">
        <x:f t="shared" si="24"/>
        <x:v/>
      </x:c>
      <x:c r="I78" s="30" t="str">
        <x:f t="shared" si="24"/>
        <x:v/>
      </x:c>
      <x:c r="J78" s="51">
        <x:f t="shared" si="24"/>
        <x:v>-49</x:v>
      </x:c>
      <x:c r="K78" s="51">
        <x:f t="shared" si="24"/>
        <x:v>-7</x:v>
      </x:c>
      <x:c r="L78" s="51">
        <x:f t="shared" si="24"/>
        <x:v>79</x:v>
      </x:c>
      <x:c r="M78" s="51">
        <x:f t="shared" si="24"/>
        <x:v>-14</x:v>
      </x:c>
      <x:c r="N78" s="131" t="str">
        <x:f t="shared" si="24"/>
        <x:v/>
      </x:c>
      <x:c r="O78" s="128" t="str">
        <x:f t="shared" si="24"/>
        <x:v/>
      </x:c>
    </x:row>
    <x:row r="79" spans="10:13" ht="9.9499999999999993" customHeight="1">
      <x:c r="J79" s="52"/>
      <x:c r="K79" s="52"/>
      <x:c r="L79" s="52"/>
      <x:c r="M79" s="52"/>
    </x:row>
    <x:row r="80" ht="24.949999999999999" customHeight="1"/>
  </x:sheetData>
  <x:mergeCells count="22">
    <x:mergeCell ref="G66:G71"/>
    <x:mergeCell ref="H66:H71"/>
    <x:mergeCell ref="N66:N71"/>
    <x:mergeCell ref="O66:O71"/>
    <x:mergeCell ref="G73:G78"/>
    <x:mergeCell ref="H73:H78"/>
    <x:mergeCell ref="N73:N78"/>
    <x:mergeCell ref="O73:O78"/>
    <x:mergeCell ref="A42:O42"/>
    <x:mergeCell ref="N43:O43"/>
    <x:mergeCell ref="B65:O65"/>
    <x:mergeCell ref="A1:O1"/>
    <x:mergeCell ref="N2:O2"/>
    <x:mergeCell ref="B24:O24"/>
    <x:mergeCell ref="H32:H37"/>
    <x:mergeCell ref="O32:O37"/>
    <x:mergeCell ref="G25:G30"/>
    <x:mergeCell ref="H25:H30"/>
    <x:mergeCell ref="N25:N30"/>
    <x:mergeCell ref="O25:O30"/>
    <x:mergeCell ref="G32:G37"/>
    <x:mergeCell ref="N32:N37"/>
  </x:mergeCells>
  <x:conditionalFormatting sqref="C4:E23">
    <x:cfRule type="cellIs" dxfId="61" priority="20" operator="between">
      <x:formula>200</x:formula>
      <x:formula>200</x:formula>
    </x:cfRule>
  </x:conditionalFormatting>
  <x:conditionalFormatting sqref="C4:F23">
    <x:cfRule type="cellIs" dxfId="60" priority="4" operator="between">
      <x:formula>200</x:formula>
      <x:formula>300</x:formula>
    </x:cfRule>
  </x:conditionalFormatting>
  <x:conditionalFormatting sqref="C45:F64">
    <x:cfRule type="cellIs" dxfId="58" priority="6" operator="between">
      <x:formula>200</x:formula>
      <x:formula>200</x:formula>
    </x:cfRule>
    <x:cfRule type="cellIs" dxfId="59" priority="5" operator="between">
      <x:formula>200</x:formula>
      <x:formula>300</x:formula>
    </x:cfRule>
  </x:conditionalFormatting>
  <x:conditionalFormatting sqref="G45:G64">
    <x:cfRule type="cellIs" dxfId="56" priority="16" operator="greaterThan">
      <x:formula>599</x:formula>
    </x:cfRule>
    <x:cfRule type="cellIs" dxfId="57" priority="11" operator="between">
      <x:formula>600</x:formula>
      <x:formula>900</x:formula>
    </x:cfRule>
  </x:conditionalFormatting>
  <x:conditionalFormatting sqref="H4:H23">
    <x:cfRule type="cellIs" dxfId="55" priority="26" operator="greaterThan">
      <x:formula>199.9</x:formula>
    </x:cfRule>
  </x:conditionalFormatting>
  <x:conditionalFormatting sqref="H45:H64">
    <x:cfRule type="cellIs" dxfId="54" priority="14" operator="greaterThan">
      <x:formula>199.9</x:formula>
    </x:cfRule>
  </x:conditionalFormatting>
  <x:conditionalFormatting sqref="H4:I23">
    <x:cfRule type="cellIs" dxfId="53" priority="17" operator="between">
      <x:formula>200</x:formula>
      <x:formula>300</x:formula>
    </x:cfRule>
  </x:conditionalFormatting>
  <x:conditionalFormatting sqref="H45:I64">
    <x:cfRule type="cellIs" dxfId="52" priority="10" operator="between">
      <x:formula>200</x:formula>
      <x:formula>300</x:formula>
    </x:cfRule>
  </x:conditionalFormatting>
  <x:conditionalFormatting sqref="I4:I23">
    <x:cfRule type="cellIs" dxfId="51" priority="27" operator="greaterThan">
      <x:formula>199</x:formula>
    </x:cfRule>
  </x:conditionalFormatting>
  <x:conditionalFormatting sqref="I45:I64">
    <x:cfRule type="cellIs" dxfId="50" priority="15" operator="greaterThan">
      <x:formula>199</x:formula>
    </x:cfRule>
  </x:conditionalFormatting>
  <x:conditionalFormatting sqref="G4:G23">
    <x:cfRule type="cellIs" dxfId="49" priority="1" operator="between">
      <x:formula>800</x:formula>
      <x:formula>1600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X101"/>
  <x:sheetViews>
    <x:sheetView topLeftCell="A63" zoomScale="85" zoomScaleNormal="85" zoomScaleSheetLayoutView="110" workbookViewId="0">
      <x:selection activeCell="G56" activeCellId="0" sqref="G56:G80"/>
    </x:sheetView>
  </x:sheetViews>
  <x:sheetFormatPr defaultColWidth="9" defaultRowHeight="16.5"/>
  <x:cols>
    <x:col min="1" max="1" width="4.625" style="3" customWidth="1"/>
    <x:col min="2" max="2" width="10.625" style="3" customWidth="1"/>
    <x:col min="3" max="13" width="9.625" style="3" customWidth="1"/>
    <x:col min="14" max="14" width="9" style="3" customWidth="1"/>
    <x:col min="15" max="15" width="9" style="3" bestFit="1" customWidth="1"/>
    <x:col min="16" max="16" width="9.875" style="3" bestFit="1" customWidth="1"/>
    <x:col min="17" max="17" width="9.375" style="3" customWidth="1"/>
    <x:col min="19" max="19" width="10.625" style="3" customWidth="1"/>
    <x:col min="21" max="21" width="13.125" style="3" customWidth="1"/>
    <x:col min="22" max="22" width="11" style="3" bestFit="1" customWidth="1"/>
    <x:col min="23" max="23" width="15" style="3" customWidth="1"/>
    <x:col min="24" max="24" width="9" style="3" bestFit="1" customWidth="1"/>
  </x:cols>
  <x:sheetData>
    <x:row r="1" spans="1:15" ht="60" customHeight="1">
      <x:c r="A1" s="112" t="s">
        <x:v>61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</x:row>
    <x:row r="2" spans="1:24" ht="22.5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4" t="s">
        <x:v>48</x:v>
      </x:c>
      <x:c r="M2" s="34"/>
      <x:c r="N2" s="113">
        <x:v>46051</x:v>
      </x:c>
      <x:c r="O2" s="114"/>
      <x:c r="U2" s="66" t="s">
        <x:v>18</x:v>
      </x:c>
      <x:c r="V2" s="35">
        <x:v>1</x:v>
      </x:c>
      <x:c r="W2" s="66" t="s">
        <x:v>0</x:v>
      </x:c>
      <x:c r="X2" s="35">
        <x:v>1</x:v>
      </x:c>
    </x:row>
    <x:row r="3" spans="1:24" ht="24.949999999999999" customHeight="1">
      <x:c r="A3" s="13"/>
      <x:c r="B3" s="14" t="s">
        <x:v>14</x:v>
      </x:c>
      <x:c r="C3" s="14" t="s">
        <x:v>44</x:v>
      </x:c>
      <x:c r="D3" s="14" t="s">
        <x:v>55</x:v>
      </x:c>
      <x:c r="E3" s="14" t="s">
        <x:v>54</x:v>
      </x:c>
      <x:c r="F3" s="14" t="s">
        <x:v>53</x:v>
      </x:c>
      <x:c r="G3" s="14" t="s">
        <x:v>52</x:v>
      </x:c>
      <x:c r="H3" s="14" t="s">
        <x:v>47</x:v>
      </x:c>
      <x:c r="I3" s="15" t="s">
        <x:v>41</x:v>
      </x:c>
      <x:c r="J3" s="14" t="s">
        <x:v>44</x:v>
      </x:c>
      <x:c r="K3" s="14" t="s">
        <x:v>55</x:v>
      </x:c>
      <x:c r="L3" s="14" t="s">
        <x:v>54</x:v>
      </x:c>
      <x:c r="M3" s="14" t="s">
        <x:v>53</x:v>
      </x:c>
      <x:c r="N3" s="16" t="s">
        <x:v>52</x:v>
      </x:c>
      <x:c r="O3" s="17" t="s">
        <x:v>56</x:v>
      </x:c>
      <x:c r="U3" s="36" t="s">
        <x:v>58</x:v>
      </x:c>
      <x:c r="V3" s="36"/>
      <x:c r="W3" s="36"/>
      <x:c r="X3" s="36"/>
    </x:row>
    <x:row r="4" spans="1:24" ht="24.949999999999999" customHeight="1">
      <x:c r="A4" s="18">
        <x:v>1</x:v>
      </x:c>
      <x:c r="B4" s="19" t="s">
        <x:v>29</x:v>
      </x:c>
      <x:c r="C4" s="20">
        <x:v>204</x:v>
      </x:c>
      <x:c r="D4" s="20">
        <x:v>187</x:v>
      </x:c>
      <x:c r="E4" s="20">
        <x:v>216</x:v>
      </x:c>
      <x:c r="F4" s="20">
        <x:v>189</x:v>
      </x:c>
      <x:c r="G4" s="32">
        <x:f>F4+E4+D4+C4</x:f>
        <x:v>796</x:v>
      </x:c>
      <x:c r="H4" s="22">
        <x:f>G4/4</x:f>
        <x:v>199</x:v>
      </x:c>
      <x:c r="I4" s="23">
        <x:f>IF(B4="","",IFERROR(INDEX('회원명단 및 기준에버'!D:G,MATCH(B4,'회원명단 및 기준에버'!$C:$C,0),CHOOSE(INT((MONTH($N$2)-1)/3)+1,1,2,3,4)),""))</x:f>
        <x:v>200</x:v>
      </x:c>
      <x:c r="J4" s="5">
        <x:f>IFERROR(C4+-I4,0)</x:f>
        <x:v>4</x:v>
      </x:c>
      <x:c r="K4" s="5">
        <x:f>IFERROR(D4+-I4,0)</x:f>
        <x:v>-13</x:v>
      </x:c>
      <x:c r="L4" s="5">
        <x:f>IFERROR(E4+-I4,0)</x:f>
        <x:v>16</x:v>
      </x:c>
      <x:c r="M4" s="5">
        <x:f>IFERROR(F4+-I4,0)</x:f>
        <x:v>-11</x:v>
      </x:c>
      <x:c r="N4" s="6">
        <x:f>SUM(J4:M4)</x:f>
        <x:v>-4</x:v>
      </x:c>
      <x:c r="O4" s="24">
        <x:f>IFERROR(H4+-I4,0)</x:f>
        <x:v>-1</x:v>
      </x:c>
      <x:c r="P4" s="25"/>
      <x:c r="U4" s="59">
        <x:f t="shared" ref="U4:U28" si="0">MAX(C4:F4)-MIN(C4:F4)</x:f>
        <x:v>29</x:v>
      </x:c>
      <x:c r="V4" s="60">
        <x:f>IF($X$2=0,(G4*1000000+U4*1000+A4),(O4*1000000+U4*1000+A4))</x:f>
        <x:v>-970999</x:v>
      </x:c>
      <x:c r="W4" s="60">
        <x:f t="shared" ref="W4:W28" si="1">_xlfn.RANK.EQ(V4,$V$4:$V$28,0)</x:f>
        <x:v>17</x:v>
      </x:c>
      <x:c r="X4" s="61"/>
    </x:row>
    <x:row r="5" spans="1:24" ht="24.949999999999999" customHeight="1">
      <x:c r="A5" s="18">
        <x:v>2</x:v>
      </x:c>
      <x:c r="B5" s="19" t="s">
        <x:v>25</x:v>
      </x:c>
      <x:c r="C5" s="20">
        <x:v>208</x:v>
      </x:c>
      <x:c r="D5" s="20">
        <x:v>246</x:v>
      </x:c>
      <x:c r="E5" s="20">
        <x:v>154</x:v>
      </x:c>
      <x:c r="F5" s="20">
        <x:v>226</x:v>
      </x:c>
      <x:c r="G5" s="21">
        <x:f t="shared" ref="G5:G28" si="2">F5+E5+D5+C5</x:f>
        <x:v>834</x:v>
      </x:c>
      <x:c r="H5" s="22">
        <x:f t="shared" ref="H5:H28" si="3">G5/4</x:f>
        <x:v>208.5</x:v>
      </x:c>
      <x:c r="I5" s="23">
        <x:f>IF(B5="","",IFERROR(INDEX('회원명단 및 기준에버'!D:G,MATCH(B5,'회원명단 및 기준에버'!$C:$C,0),CHOOSE(INT((MONTH($N$2)-1)/3)+1,1,2,3,4)),""))</x:f>
        <x:v>194</x:v>
      </x:c>
      <x:c r="J5" s="5">
        <x:f>IFERROR(C5+-I5,0)</x:f>
        <x:v>14</x:v>
      </x:c>
      <x:c r="K5" s="5">
        <x:f>IFERROR(D5+-I5,0)</x:f>
        <x:v>52</x:v>
      </x:c>
      <x:c r="L5" s="5">
        <x:f>IFERROR(E5+-I5,0)</x:f>
        <x:v>-40</x:v>
      </x:c>
      <x:c r="M5" s="5">
        <x:f t="shared" ref="M5:M28" si="4">IFERROR(F5+-I5,0)</x:f>
        <x:v>32</x:v>
      </x:c>
      <x:c r="N5" s="6">
        <x:f t="shared" ref="N5:N28" si="5">SUM(J5:M5)</x:f>
        <x:v>58</x:v>
      </x:c>
      <x:c r="O5" s="24">
        <x:f>IFERROR(H5+-I5,0)</x:f>
        <x:v>14.5</x:v>
      </x:c>
      <x:c r="P5" s="25"/>
      <x:c r="U5" s="62">
        <x:f t="shared" si="0"/>
        <x:v>92</x:v>
      </x:c>
      <x:c r="V5" s="57">
        <x:f t="shared" ref="V5:V28" si="6">IF($X$2=0,(G5*1000000+U5*1000+A5),(O5*1000000+U5*1000+A5))</x:f>
        <x:v>14592002</x:v>
      </x:c>
      <x:c r="W5" s="57">
        <x:f t="shared" si="1"/>
        <x:v>3</x:v>
      </x:c>
      <x:c r="X5" s="63"/>
    </x:row>
    <x:row r="6" spans="1:24" ht="24.949999999999999" customHeight="1">
      <x:c r="A6" s="18">
        <x:v>3</x:v>
      </x:c>
      <x:c r="B6" s="19" t="s">
        <x:v>13</x:v>
      </x:c>
      <x:c r="C6" s="20">
        <x:v>174</x:v>
      </x:c>
      <x:c r="D6" s="20">
        <x:v>148</x:v>
      </x:c>
      <x:c r="E6" s="20">
        <x:v>158</x:v>
      </x:c>
      <x:c r="F6" s="20">
        <x:v>190</x:v>
      </x:c>
      <x:c r="G6" s="21">
        <x:f t="shared" si="2"/>
        <x:v>670</x:v>
      </x:c>
      <x:c r="H6" s="22">
        <x:f t="shared" si="3"/>
        <x:v>167.5</x:v>
      </x:c>
      <x:c r="I6" s="23">
        <x:f>IF(B6="","",IFERROR(INDEX('회원명단 및 기준에버'!D:G,MATCH(B6,'회원명단 및 기준에버'!$C:$C,0),CHOOSE(INT((MONTH($N$2)-1)/3)+1,1,2,3,4)),""))</x:f>
        <x:v>165</x:v>
      </x:c>
      <x:c r="J6" s="5">
        <x:f t="shared" ref="J6:J27" si="7">IFERROR(C6+-I6,0)</x:f>
        <x:v>9</x:v>
      </x:c>
      <x:c r="K6" s="5">
        <x:f t="shared" ref="K6:K27" si="8">IFERROR(D6+-I6,0)</x:f>
        <x:v>-17</x:v>
      </x:c>
      <x:c r="L6" s="5">
        <x:f t="shared" ref="L6:L27" si="9">IFERROR(E6+-I6,0)</x:f>
        <x:v>-7</x:v>
      </x:c>
      <x:c r="M6" s="5">
        <x:f t="shared" si="4"/>
        <x:v>25</x:v>
      </x:c>
      <x:c r="N6" s="6">
        <x:f t="shared" si="5"/>
        <x:v>10</x:v>
      </x:c>
      <x:c r="O6" s="24">
        <x:f t="shared" ref="O6:O27" si="10">IFERROR(H6+-I6,0)</x:f>
        <x:v>2.5</x:v>
      </x:c>
      <x:c r="U6" s="62">
        <x:f t="shared" si="0"/>
        <x:v>42</x:v>
      </x:c>
      <x:c r="V6" s="57">
        <x:f t="shared" si="6"/>
        <x:v>2542003</x:v>
      </x:c>
      <x:c r="W6" s="57">
        <x:f t="shared" si="1"/>
        <x:v>9</x:v>
      </x:c>
      <x:c r="X6" s="63"/>
    </x:row>
    <x:row r="7" spans="1:24" ht="24.949999999999999" customHeight="1">
      <x:c r="A7" s="18">
        <x:v>4</x:v>
      </x:c>
      <x:c r="B7" s="19" t="s">
        <x:v>2</x:v>
      </x:c>
      <x:c r="C7" s="20">
        <x:v>215</x:v>
      </x:c>
      <x:c r="D7" s="20">
        <x:v>192</x:v>
      </x:c>
      <x:c r="E7" s="20">
        <x:v>169</x:v>
      </x:c>
      <x:c r="F7" s="20">
        <x:v>198</x:v>
      </x:c>
      <x:c r="G7" s="21">
        <x:f t="shared" si="2"/>
        <x:v>774</x:v>
      </x:c>
      <x:c r="H7" s="22">
        <x:f t="shared" si="3"/>
        <x:v>193.5</x:v>
      </x:c>
      <x:c r="I7" s="23">
        <x:f>IF(B7="","",IFERROR(INDEX('회원명단 및 기준에버'!D:G,MATCH(B7,'회원명단 및 기준에버'!$C:$C,0),CHOOSE(INT((MONTH($N$2)-1)/3)+1,1,2,3,4)),""))</x:f>
        <x:v>190</x:v>
      </x:c>
      <x:c r="J7" s="5">
        <x:f t="shared" si="7"/>
        <x:v>25</x:v>
      </x:c>
      <x:c r="K7" s="5">
        <x:f t="shared" si="8"/>
        <x:v>2</x:v>
      </x:c>
      <x:c r="L7" s="5">
        <x:f t="shared" si="9"/>
        <x:v>-21</x:v>
      </x:c>
      <x:c r="M7" s="5">
        <x:f t="shared" si="4"/>
        <x:v>8</x:v>
      </x:c>
      <x:c r="N7" s="6">
        <x:f t="shared" si="5"/>
        <x:v>14</x:v>
      </x:c>
      <x:c r="O7" s="24">
        <x:f t="shared" si="10"/>
        <x:v>3.5</x:v>
      </x:c>
      <x:c r="U7" s="62">
        <x:f t="shared" si="0"/>
        <x:v>46</x:v>
      </x:c>
      <x:c r="V7" s="57">
        <x:f t="shared" si="6"/>
        <x:v>3546004</x:v>
      </x:c>
      <x:c r="W7" s="57">
        <x:f t="shared" si="1"/>
        <x:v>8</x:v>
      </x:c>
      <x:c r="X7" s="63"/>
    </x:row>
    <x:row r="8" spans="1:24" ht="24.949999999999999" customHeight="1">
      <x:c r="A8" s="18">
        <x:v>5</x:v>
      </x:c>
      <x:c r="B8" s="19"/>
      <x:c r="C8" s="20"/>
      <x:c r="D8" s="20"/>
      <x:c r="E8" s="20"/>
      <x:c r="F8" s="20"/>
      <x:c r="G8" s="21">
        <x:f t="shared" si="2"/>
        <x:v>0</x:v>
      </x:c>
      <x:c r="H8" s="22">
        <x:f t="shared" si="3"/>
        <x:v>0</x:v>
      </x:c>
      <x:c r="I8" s="23" t="str">
        <x:f>IF(B8="","",IFERROR(INDEX('회원명단 및 기준에버'!D:G,MATCH(B8,'회원명단 및 기준에버'!$C:$C,0),CHOOSE(INT((MONTH($N$2)-1)/3)+1,1,2,3,4)),""))</x:f>
        <x:v/>
      </x:c>
      <x:c r="J8" s="5">
        <x:f t="shared" si="7"/>
        <x:v>0</x:v>
      </x:c>
      <x:c r="K8" s="5">
        <x:f t="shared" si="8"/>
        <x:v>0</x:v>
      </x:c>
      <x:c r="L8" s="5">
        <x:f t="shared" si="9"/>
        <x:v>0</x:v>
      </x:c>
      <x:c r="M8" s="5">
        <x:f t="shared" si="4"/>
        <x:v>0</x:v>
      </x:c>
      <x:c r="N8" s="6">
        <x:f t="shared" si="5"/>
        <x:v>0</x:v>
      </x:c>
      <x:c r="O8" s="24">
        <x:f t="shared" si="10"/>
        <x:v>0</x:v>
      </x:c>
      <x:c r="U8" s="62">
        <x:f t="shared" si="0"/>
        <x:v>0</x:v>
      </x:c>
      <x:c r="V8" s="57">
        <x:f t="shared" si="6"/>
        <x:v>5</x:v>
      </x:c>
      <x:c r="W8" s="57">
        <x:f t="shared" si="1"/>
        <x:v>15</x:v>
      </x:c>
      <x:c r="X8" s="63"/>
    </x:row>
    <x:row r="9" spans="1:24" ht="24.949999999999999" customHeight="1">
      <x:c r="A9" s="18">
        <x:v>6</x:v>
      </x:c>
      <x:c r="B9" s="19" t="s">
        <x:v>7</x:v>
      </x:c>
      <x:c r="C9" s="20">
        <x:v>200</x:v>
      </x:c>
      <x:c r="D9" s="20">
        <x:v>226</x:v>
      </x:c>
      <x:c r="E9" s="20">
        <x:v>235</x:v>
      </x:c>
      <x:c r="F9" s="20">
        <x:v>177</x:v>
      </x:c>
      <x:c r="G9" s="21">
        <x:f t="shared" si="2"/>
        <x:v>838</x:v>
      </x:c>
      <x:c r="H9" s="22">
        <x:f t="shared" si="3"/>
        <x:v>209.5</x:v>
      </x:c>
      <x:c r="I9" s="23">
        <x:f>IF(B9="","",IFERROR(INDEX('회원명단 및 기준에버'!D:G,MATCH(B9,'회원명단 및 기준에버'!$C:$C,0),CHOOSE(INT((MONTH($N$2)-1)/3)+1,1,2,3,4)),""))</x:f>
        <x:v>200</x:v>
      </x:c>
      <x:c r="J9" s="5">
        <x:f t="shared" si="7"/>
        <x:v>0</x:v>
      </x:c>
      <x:c r="K9" s="5">
        <x:f t="shared" si="8"/>
        <x:v>26</x:v>
      </x:c>
      <x:c r="L9" s="5">
        <x:f t="shared" si="9"/>
        <x:v>35</x:v>
      </x:c>
      <x:c r="M9" s="5">
        <x:f t="shared" si="4"/>
        <x:v>-23</x:v>
      </x:c>
      <x:c r="N9" s="6">
        <x:f t="shared" si="5"/>
        <x:v>38</x:v>
      </x:c>
      <x:c r="O9" s="24">
        <x:f t="shared" si="10"/>
        <x:v>9.5</x:v>
      </x:c>
      <x:c r="U9" s="62">
        <x:f t="shared" si="0"/>
        <x:v>58</x:v>
      </x:c>
      <x:c r="V9" s="57">
        <x:f t="shared" si="6"/>
        <x:v>9558006</x:v>
      </x:c>
      <x:c r="W9" s="57">
        <x:f t="shared" si="1"/>
        <x:v>5</x:v>
      </x:c>
      <x:c r="X9" s="63"/>
    </x:row>
    <x:row r="10" spans="1:24" ht="24.949999999999999" customHeight="1">
      <x:c r="A10" s="18">
        <x:v>7</x:v>
      </x:c>
      <x:c r="B10" s="19" t="s">
        <x:v>28</x:v>
      </x:c>
      <x:c r="C10" s="20">
        <x:v>159</x:v>
      </x:c>
      <x:c r="D10" s="20">
        <x:v>158</x:v>
      </x:c>
      <x:c r="E10" s="20">
        <x:v>166</x:v>
      </x:c>
      <x:c r="F10" s="20">
        <x:v>170</x:v>
      </x:c>
      <x:c r="G10" s="21">
        <x:f t="shared" si="2"/>
        <x:v>653</x:v>
      </x:c>
      <x:c r="H10" s="22">
        <x:f t="shared" si="3"/>
        <x:v>163.25</x:v>
      </x:c>
      <x:c r="I10" s="23"/>
      <x:c r="J10" s="5">
        <x:v>0</x:v>
      </x:c>
      <x:c r="K10" s="5">
        <x:v>0</x:v>
      </x:c>
      <x:c r="L10" s="5">
        <x:v>0</x:v>
      </x:c>
      <x:c r="M10" s="5">
        <x:v>0</x:v>
      </x:c>
      <x:c r="N10" s="6">
        <x:f t="shared" si="5"/>
        <x:v>0</x:v>
      </x:c>
      <x:c r="O10" s="24">
        <x:v>0</x:v>
      </x:c>
      <x:c r="U10" s="62">
        <x:f t="shared" si="0"/>
        <x:v>12</x:v>
      </x:c>
      <x:c r="V10" s="57">
        <x:f t="shared" si="6"/>
        <x:v>12007</x:v>
      </x:c>
      <x:c r="W10" s="57">
        <x:f t="shared" si="1"/>
        <x:v>13</x:v>
      </x:c>
      <x:c r="X10" s="63"/>
    </x:row>
    <x:row r="11" spans="1:24" ht="24.949999999999999" customHeight="1">
      <x:c r="A11" s="18">
        <x:v>8</x:v>
      </x:c>
      <x:c r="B11" s="19" t="s">
        <x:v>17</x:v>
      </x:c>
      <x:c r="C11" s="20">
        <x:v>165</x:v>
      </x:c>
      <x:c r="D11" s="20">
        <x:v>185</x:v>
      </x:c>
      <x:c r="E11" s="20">
        <x:v>182</x:v>
      </x:c>
      <x:c r="F11" s="20">
        <x:v>155</x:v>
      </x:c>
      <x:c r="G11" s="21">
        <x:f t="shared" si="2"/>
        <x:v>687</x:v>
      </x:c>
      <x:c r="H11" s="22">
        <x:f t="shared" si="3"/>
        <x:v>171.75</x:v>
      </x:c>
      <x:c r="I11" s="23">
        <x:f>IF(B11="","",IFERROR(INDEX('회원명단 및 기준에버'!D:G,MATCH(B11,'회원명단 및 기준에버'!$C:$C,0),CHOOSE(INT((MONTH($N$2)-1)/3)+1,1,2,3,4)),""))</x:f>
        <x:v>184</x:v>
      </x:c>
      <x:c r="J11" s="5">
        <x:f t="shared" si="7"/>
        <x:v>-19</x:v>
      </x:c>
      <x:c r="K11" s="5">
        <x:f t="shared" si="8"/>
        <x:v>1</x:v>
      </x:c>
      <x:c r="L11" s="5">
        <x:f t="shared" si="9"/>
        <x:v>-2</x:v>
      </x:c>
      <x:c r="M11" s="5">
        <x:f t="shared" si="4"/>
        <x:v>-29</x:v>
      </x:c>
      <x:c r="N11" s="6">
        <x:f t="shared" si="5"/>
        <x:v>-49</x:v>
      </x:c>
      <x:c r="O11" s="24">
        <x:f t="shared" si="10"/>
        <x:v>-12.25</x:v>
      </x:c>
      <x:c r="U11" s="62">
        <x:f t="shared" si="0"/>
        <x:v>30</x:v>
      </x:c>
      <x:c r="V11" s="57">
        <x:f t="shared" si="6"/>
        <x:v>-12219992</x:v>
      </x:c>
      <x:c r="W11" s="57">
        <x:f t="shared" si="1"/>
        <x:v>22</x:v>
      </x:c>
      <x:c r="X11" s="63"/>
    </x:row>
    <x:row r="12" spans="1:24" ht="24.949999999999999" customHeight="1">
      <x:c r="A12" s="18">
        <x:v>9</x:v>
      </x:c>
      <x:c r="B12" s="19" t="s">
        <x:v>38</x:v>
      </x:c>
      <x:c r="C12" s="20">
        <x:v>170</x:v>
      </x:c>
      <x:c r="D12" s="20">
        <x:v>149</x:v>
      </x:c>
      <x:c r="E12" s="20">
        <x:v>228</x:v>
      </x:c>
      <x:c r="F12" s="20">
        <x:v>169</x:v>
      </x:c>
      <x:c r="G12" s="21">
        <x:f t="shared" si="2"/>
        <x:v>716</x:v>
      </x:c>
      <x:c r="H12" s="22">
        <x:f t="shared" si="3"/>
        <x:v>179</x:v>
      </x:c>
      <x:c r="I12" s="23">
        <x:f>IF(B12="","",IFERROR(INDEX('회원명단 및 기준에버'!D:G,MATCH(B12,'회원명단 및 기준에버'!$C:$C,0),CHOOSE(INT((MONTH($N$2)-1)/3)+1,1,2,3,4)),""))</x:f>
        <x:v>195</x:v>
      </x:c>
      <x:c r="J12" s="5">
        <x:f t="shared" si="7"/>
        <x:v>-25</x:v>
      </x:c>
      <x:c r="K12" s="5">
        <x:f t="shared" si="8"/>
        <x:v>-46</x:v>
      </x:c>
      <x:c r="L12" s="5">
        <x:f t="shared" si="9"/>
        <x:v>33</x:v>
      </x:c>
      <x:c r="M12" s="5">
        <x:f t="shared" si="4"/>
        <x:v>-26</x:v>
      </x:c>
      <x:c r="N12" s="6">
        <x:f t="shared" si="5"/>
        <x:v>-64</x:v>
      </x:c>
      <x:c r="O12" s="24">
        <x:f t="shared" si="10"/>
        <x:v>-16</x:v>
      </x:c>
      <x:c r="U12" s="62">
        <x:f t="shared" si="0"/>
        <x:v>79</x:v>
      </x:c>
      <x:c r="V12" s="57">
        <x:f t="shared" si="6"/>
        <x:v>-15920991</x:v>
      </x:c>
      <x:c r="W12" s="57">
        <x:f t="shared" si="1"/>
        <x:v>24</x:v>
      </x:c>
      <x:c r="X12" s="63"/>
    </x:row>
    <x:row r="13" spans="1:24" ht="24.949999999999999" customHeight="1">
      <x:c r="A13" s="18">
        <x:v>10</x:v>
      </x:c>
      <x:c r="B13" s="19" t="s">
        <x:v>11</x:v>
      </x:c>
      <x:c r="C13" s="20">
        <x:v>140</x:v>
      </x:c>
      <x:c r="D13" s="20">
        <x:v>222</x:v>
      </x:c>
      <x:c r="E13" s="20">
        <x:v>200</x:v>
      </x:c>
      <x:c r="F13" s="20">
        <x:v>206</x:v>
      </x:c>
      <x:c r="G13" s="21">
        <x:f t="shared" si="2"/>
        <x:v>768</x:v>
      </x:c>
      <x:c r="H13" s="22">
        <x:f t="shared" si="3"/>
        <x:v>192</x:v>
      </x:c>
      <x:c r="I13" s="23">
        <x:f>IF(B13="","",IFERROR(INDEX('회원명단 및 기준에버'!D:G,MATCH(B13,'회원명단 및 기준에버'!$C:$C,0),CHOOSE(INT((MONTH($N$2)-1)/3)+1,1,2,3,4)),""))</x:f>
        <x:v>188</x:v>
      </x:c>
      <x:c r="J13" s="5">
        <x:f t="shared" si="7"/>
        <x:v>-48</x:v>
      </x:c>
      <x:c r="K13" s="5">
        <x:f t="shared" si="8"/>
        <x:v>34</x:v>
      </x:c>
      <x:c r="L13" s="5">
        <x:f t="shared" si="9"/>
        <x:v>12</x:v>
      </x:c>
      <x:c r="M13" s="5">
        <x:f t="shared" si="4"/>
        <x:v>18</x:v>
      </x:c>
      <x:c r="N13" s="6">
        <x:f t="shared" si="5"/>
        <x:v>16</x:v>
      </x:c>
      <x:c r="O13" s="24">
        <x:f t="shared" si="10"/>
        <x:v>4</x:v>
      </x:c>
      <x:c r="U13" s="62">
        <x:f t="shared" si="0"/>
        <x:v>82</x:v>
      </x:c>
      <x:c r="V13" s="57">
        <x:f t="shared" si="6"/>
        <x:v>4082010</x:v>
      </x:c>
      <x:c r="W13" s="57">
        <x:f t="shared" si="1"/>
        <x:v>7</x:v>
      </x:c>
      <x:c r="X13" s="63"/>
    </x:row>
    <x:row r="14" spans="1:24" ht="24.949999999999999" customHeight="1">
      <x:c r="A14" s="18">
        <x:v>11</x:v>
      </x:c>
      <x:c r="B14" s="19" t="s">
        <x:v>33</x:v>
      </x:c>
      <x:c r="C14" s="20">
        <x:v>212</x:v>
      </x:c>
      <x:c r="D14" s="20">
        <x:v>211</x:v>
      </x:c>
      <x:c r="E14" s="20">
        <x:v>177</x:v>
      </x:c>
      <x:c r="F14" s="20">
        <x:v>245</x:v>
      </x:c>
      <x:c r="G14" s="21">
        <x:f t="shared" si="2"/>
        <x:v>845</x:v>
      </x:c>
      <x:c r="H14" s="22">
        <x:f t="shared" si="3"/>
        <x:v>211.25</x:v>
      </x:c>
      <x:c r="I14" s="23">
        <x:f>IF(B14="","",IFERROR(INDEX('회원명단 및 기준에버'!D:G,MATCH(B14,'회원명단 및 기준에버'!$C:$C,0),CHOOSE(INT((MONTH($N$2)-1)/3)+1,1,2,3,4)),""))</x:f>
        <x:v>200</x:v>
      </x:c>
      <x:c r="J14" s="5">
        <x:f t="shared" si="7"/>
        <x:v>12</x:v>
      </x:c>
      <x:c r="K14" s="5">
        <x:f t="shared" si="8"/>
        <x:v>11</x:v>
      </x:c>
      <x:c r="L14" s="5">
        <x:f t="shared" si="9"/>
        <x:v>-23</x:v>
      </x:c>
      <x:c r="M14" s="5">
        <x:f t="shared" si="4"/>
        <x:v>45</x:v>
      </x:c>
      <x:c r="N14" s="6">
        <x:f t="shared" si="5"/>
        <x:v>45</x:v>
      </x:c>
      <x:c r="O14" s="24">
        <x:f t="shared" si="10"/>
        <x:v>11.25</x:v>
      </x:c>
      <x:c r="U14" s="62">
        <x:f t="shared" si="0"/>
        <x:v>68</x:v>
      </x:c>
      <x:c r="V14" s="57">
        <x:f t="shared" si="6"/>
        <x:v>11318011</x:v>
      </x:c>
      <x:c r="W14" s="57">
        <x:f t="shared" si="1"/>
        <x:v>4</x:v>
      </x:c>
      <x:c r="X14" s="63"/>
    </x:row>
    <x:row r="15" spans="1:24" ht="24.949999999999999" customHeight="1">
      <x:c r="A15" s="18">
        <x:v>12</x:v>
      </x:c>
      <x:c r="B15" s="19" t="s">
        <x:v>34</x:v>
      </x:c>
      <x:c r="C15" s="20">
        <x:v>172</x:v>
      </x:c>
      <x:c r="D15" s="20">
        <x:v>180</x:v>
      </x:c>
      <x:c r="E15" s="20">
        <x:v>176</x:v>
      </x:c>
      <x:c r="F15" s="20">
        <x:v>195</x:v>
      </x:c>
      <x:c r="G15" s="21">
        <x:f t="shared" si="2"/>
        <x:v>723</x:v>
      </x:c>
      <x:c r="H15" s="22">
        <x:f t="shared" si="3"/>
        <x:v>180.75</x:v>
      </x:c>
      <x:c r="I15" s="23">
        <x:f>IF(B15="","",IFERROR(INDEX('회원명단 및 기준에버'!D:G,MATCH(B15,'회원명단 및 기준에버'!$C:$C,0),CHOOSE(INT((MONTH($N$2)-1)/3)+1,1,2,3,4)),""))</x:f>
        <x:v>182</x:v>
      </x:c>
      <x:c r="J15" s="5">
        <x:f t="shared" si="7"/>
        <x:v>-10</x:v>
      </x:c>
      <x:c r="K15" s="5">
        <x:f t="shared" si="8"/>
        <x:v>-2</x:v>
      </x:c>
      <x:c r="L15" s="5">
        <x:f t="shared" si="9"/>
        <x:v>-6</x:v>
      </x:c>
      <x:c r="M15" s="5">
        <x:f t="shared" si="4"/>
        <x:v>13</x:v>
      </x:c>
      <x:c r="N15" s="6">
        <x:f t="shared" si="5"/>
        <x:v>-5</x:v>
      </x:c>
      <x:c r="O15" s="24">
        <x:f t="shared" si="10"/>
        <x:v>-1.25</x:v>
      </x:c>
      <x:c r="U15" s="62">
        <x:f t="shared" si="0"/>
        <x:v>23</x:v>
      </x:c>
      <x:c r="V15" s="57">
        <x:f t="shared" si="6"/>
        <x:v>-1226988</x:v>
      </x:c>
      <x:c r="W15" s="57">
        <x:f t="shared" si="1"/>
        <x:v>18</x:v>
      </x:c>
      <x:c r="X15" s="63"/>
    </x:row>
    <x:row r="16" spans="1:24" ht="24.949999999999999" customHeight="1">
      <x:c r="A16" s="18">
        <x:v>13</x:v>
      </x:c>
      <x:c r="B16" s="19" t="s">
        <x:v>3</x:v>
      </x:c>
      <x:c r="C16" s="20">
        <x:v>175</x:v>
      </x:c>
      <x:c r="D16" s="20">
        <x:v>194</x:v>
      </x:c>
      <x:c r="E16" s="20">
        <x:v>190</x:v>
      </x:c>
      <x:c r="F16" s="20">
        <x:v>157</x:v>
      </x:c>
      <x:c r="G16" s="21">
        <x:f t="shared" si="2"/>
        <x:v>716</x:v>
      </x:c>
      <x:c r="H16" s="22">
        <x:f t="shared" si="3"/>
        <x:v>179</x:v>
      </x:c>
      <x:c r="I16" s="23">
        <x:f>IF(B16="","",IFERROR(INDEX('회원명단 및 기준에버'!D:G,MATCH(B16,'회원명단 및 기준에버'!$C:$C,0),CHOOSE(INT((MONTH($N$2)-1)/3)+1,1,2,3,4)),""))</x:f>
        <x:v>192</x:v>
      </x:c>
      <x:c r="J16" s="5">
        <x:f t="shared" si="7"/>
        <x:v>-17</x:v>
      </x:c>
      <x:c r="K16" s="5">
        <x:f t="shared" si="8"/>
        <x:v>2</x:v>
      </x:c>
      <x:c r="L16" s="5">
        <x:f t="shared" si="9"/>
        <x:v>-2</x:v>
      </x:c>
      <x:c r="M16" s="5">
        <x:f t="shared" si="4"/>
        <x:v>-35</x:v>
      </x:c>
      <x:c r="N16" s="6">
        <x:f t="shared" si="5"/>
        <x:v>-52</x:v>
      </x:c>
      <x:c r="O16" s="24">
        <x:f t="shared" si="10"/>
        <x:v>-13</x:v>
      </x:c>
      <x:c r="U16" s="62">
        <x:f t="shared" si="0"/>
        <x:v>37</x:v>
      </x:c>
      <x:c r="V16" s="57">
        <x:f t="shared" si="6"/>
        <x:v>-12962987</x:v>
      </x:c>
      <x:c r="W16" s="57">
        <x:f t="shared" si="1"/>
        <x:v>23</x:v>
      </x:c>
      <x:c r="X16" s="63"/>
    </x:row>
    <x:row r="17" spans="1:24" ht="24.949999999999999" customHeight="1">
      <x:c r="A17" s="18">
        <x:v>14</x:v>
      </x:c>
      <x:c r="B17" s="19" t="s">
        <x:v>9</x:v>
      </x:c>
      <x:c r="C17" s="20">
        <x:v>187</x:v>
      </x:c>
      <x:c r="D17" s="20">
        <x:v>145</x:v>
      </x:c>
      <x:c r="E17" s="20">
        <x:v>192</x:v>
      </x:c>
      <x:c r="F17" s="20">
        <x:v>143</x:v>
      </x:c>
      <x:c r="G17" s="21">
        <x:f t="shared" si="2"/>
        <x:v>667</x:v>
      </x:c>
      <x:c r="H17" s="22">
        <x:f t="shared" si="3"/>
        <x:v>166.75</x:v>
      </x:c>
      <x:c r="I17" s="23">
        <x:f>IF(B17="","",IFERROR(INDEX('회원명단 및 기준에버'!D:G,MATCH(B17,'회원명단 및 기준에버'!$C:$C,0),CHOOSE(INT((MONTH($N$2)-1)/3)+1,1,2,3,4)),""))</x:f>
        <x:v>191</x:v>
      </x:c>
      <x:c r="J17" s="5">
        <x:f t="shared" si="7"/>
        <x:v>-4</x:v>
      </x:c>
      <x:c r="K17" s="5">
        <x:f t="shared" si="8"/>
        <x:v>-46</x:v>
      </x:c>
      <x:c r="L17" s="5">
        <x:f t="shared" si="9"/>
        <x:v>1</x:v>
      </x:c>
      <x:c r="M17" s="5">
        <x:f t="shared" si="4"/>
        <x:v>-48</x:v>
      </x:c>
      <x:c r="N17" s="6">
        <x:f t="shared" si="5"/>
        <x:v>-97</x:v>
      </x:c>
      <x:c r="O17" s="24">
        <x:f t="shared" si="10"/>
        <x:v>-24.25</x:v>
      </x:c>
      <x:c r="U17" s="62">
        <x:f t="shared" si="0"/>
        <x:v>49</x:v>
      </x:c>
      <x:c r="V17" s="57">
        <x:f t="shared" si="6"/>
        <x:v>-24200986</x:v>
      </x:c>
      <x:c r="W17" s="57">
        <x:f t="shared" si="1"/>
        <x:v>25</x:v>
      </x:c>
      <x:c r="X17" s="63"/>
    </x:row>
    <x:row r="18" spans="1:24" ht="24.949999999999999" customHeight="1">
      <x:c r="A18" s="18">
        <x:v>15</x:v>
      </x:c>
      <x:c r="B18" s="19" t="s">
        <x:v>6</x:v>
      </x:c>
      <x:c r="C18" s="20">
        <x:v>177</x:v>
      </x:c>
      <x:c r="D18" s="20">
        <x:v>211</x:v>
      </x:c>
      <x:c r="E18" s="20">
        <x:v>159</x:v>
      </x:c>
      <x:c r="F18" s="20">
        <x:v>190</x:v>
      </x:c>
      <x:c r="G18" s="21">
        <x:f t="shared" si="2"/>
        <x:v>737</x:v>
      </x:c>
      <x:c r="H18" s="22">
        <x:f t="shared" si="3"/>
        <x:v>184.25</x:v>
      </x:c>
      <x:c r="I18" s="23"/>
      <x:c r="J18" s="5">
        <x:v>0</x:v>
      </x:c>
      <x:c r="K18" s="5">
        <x:v>0</x:v>
      </x:c>
      <x:c r="L18" s="5">
        <x:v>0</x:v>
      </x:c>
      <x:c r="M18" s="5">
        <x:v>0</x:v>
      </x:c>
      <x:c r="N18" s="6">
        <x:v>0</x:v>
      </x:c>
      <x:c r="O18" s="24">
        <x:v>0</x:v>
      </x:c>
      <x:c r="U18" s="62">
        <x:f t="shared" si="0"/>
        <x:v>52</x:v>
      </x:c>
      <x:c r="V18" s="57">
        <x:f t="shared" si="6"/>
        <x:v>52015</x:v>
      </x:c>
      <x:c r="W18" s="57">
        <x:f t="shared" si="1"/>
        <x:v>11</x:v>
      </x:c>
      <x:c r="X18" s="63"/>
    </x:row>
    <x:row r="19" spans="1:24" ht="24.949999999999999" customHeight="1">
      <x:c r="A19" s="18">
        <x:v>16</x:v>
      </x:c>
      <x:c r="B19" s="19" t="s">
        <x:v>16</x:v>
      </x:c>
      <x:c r="C19" s="20">
        <x:v>180</x:v>
      </x:c>
      <x:c r="D19" s="20">
        <x:v>150</x:v>
      </x:c>
      <x:c r="E19" s="20">
        <x:v>195</x:v>
      </x:c>
      <x:c r="F19" s="20">
        <x:v>246</x:v>
      </x:c>
      <x:c r="G19" s="21">
        <x:f t="shared" si="2"/>
        <x:v>771</x:v>
      </x:c>
      <x:c r="H19" s="22">
        <x:f t="shared" si="3"/>
        <x:v>192.75</x:v>
      </x:c>
      <x:c r="I19" s="23">
        <x:f>IF(B19="","",IFERROR(INDEX('회원명단 및 기준에버'!D:G,MATCH(B19,'회원명단 및 기준에버'!$C:$C,0),CHOOSE(INT((MONTH($N$2)-1)/3)+1,1,2,3,4)),""))</x:f>
        <x:v>200</x:v>
      </x:c>
      <x:c r="J19" s="5">
        <x:f t="shared" si="7"/>
        <x:v>-20</x:v>
      </x:c>
      <x:c r="K19" s="5">
        <x:f t="shared" si="8"/>
        <x:v>-50</x:v>
      </x:c>
      <x:c r="L19" s="5">
        <x:f t="shared" si="9"/>
        <x:v>-5</x:v>
      </x:c>
      <x:c r="M19" s="5">
        <x:f t="shared" si="4"/>
        <x:v>46</x:v>
      </x:c>
      <x:c r="N19" s="6">
        <x:f t="shared" si="5"/>
        <x:v>-29</x:v>
      </x:c>
      <x:c r="O19" s="24">
        <x:f t="shared" si="10"/>
        <x:v>-7.25</x:v>
      </x:c>
      <x:c r="U19" s="62">
        <x:f t="shared" si="0"/>
        <x:v>96</x:v>
      </x:c>
      <x:c r="V19" s="57">
        <x:f t="shared" si="6"/>
        <x:v>-7153984</x:v>
      </x:c>
      <x:c r="W19" s="57">
        <x:f t="shared" si="1"/>
        <x:v>21</x:v>
      </x:c>
      <x:c r="X19" s="63"/>
    </x:row>
    <x:row r="20" spans="1:24" ht="24.949999999999999" customHeight="1">
      <x:c r="A20" s="18">
        <x:v>17</x:v>
      </x:c>
      <x:c r="B20" s="19" t="s">
        <x:v>23</x:v>
      </x:c>
      <x:c r="C20" s="20">
        <x:v>169</x:v>
      </x:c>
      <x:c r="D20" s="20">
        <x:v>203</x:v>
      </x:c>
      <x:c r="E20" s="20">
        <x:v>212</x:v>
      </x:c>
      <x:c r="F20" s="20">
        <x:v>178</x:v>
      </x:c>
      <x:c r="G20" s="21">
        <x:f t="shared" si="2"/>
        <x:v>762</x:v>
      </x:c>
      <x:c r="H20" s="22">
        <x:f t="shared" si="3"/>
        <x:v>190.5</x:v>
      </x:c>
      <x:c r="I20" s="23">
        <x:f>IF(B20="","",IFERROR(INDEX('회원명단 및 기준에버'!D:G,MATCH(B20,'회원명단 및 기준에버'!$C:$C,0),CHOOSE(INT((MONTH($N$2)-1)/3)+1,1,2,3,4)),""))</x:f>
        <x:v>184</x:v>
      </x:c>
      <x:c r="J20" s="5">
        <x:f t="shared" si="7"/>
        <x:v>-15</x:v>
      </x:c>
      <x:c r="K20" s="5">
        <x:f t="shared" si="8"/>
        <x:v>19</x:v>
      </x:c>
      <x:c r="L20" s="5">
        <x:f t="shared" si="9"/>
        <x:v>28</x:v>
      </x:c>
      <x:c r="M20" s="5">
        <x:f t="shared" si="4"/>
        <x:v>-6</x:v>
      </x:c>
      <x:c r="N20" s="6">
        <x:f t="shared" si="5"/>
        <x:v>26</x:v>
      </x:c>
      <x:c r="O20" s="24">
        <x:f t="shared" si="10"/>
        <x:v>6.5</x:v>
      </x:c>
      <x:c r="U20" s="62">
        <x:f t="shared" si="0"/>
        <x:v>43</x:v>
      </x:c>
      <x:c r="V20" s="57">
        <x:f t="shared" si="6"/>
        <x:v>6543017</x:v>
      </x:c>
      <x:c r="W20" s="57">
        <x:f t="shared" si="1"/>
        <x:v>6</x:v>
      </x:c>
      <x:c r="X20" s="63"/>
    </x:row>
    <x:row r="21" spans="1:24" ht="24.949999999999999" customHeight="1">
      <x:c r="A21" s="18">
        <x:v>18</x:v>
      </x:c>
      <x:c r="B21" s="19" t="s">
        <x:v>36</x:v>
      </x:c>
      <x:c r="C21" s="20">
        <x:v>173</x:v>
      </x:c>
      <x:c r="D21" s="20">
        <x:v>193</x:v>
      </x:c>
      <x:c r="E21" s="20">
        <x:v>244</x:v>
      </x:c>
      <x:c r="F21" s="20">
        <x:v>183</x:v>
      </x:c>
      <x:c r="G21" s="21">
        <x:f t="shared" si="2"/>
        <x:v>793</x:v>
      </x:c>
      <x:c r="H21" s="22">
        <x:f t="shared" si="3"/>
        <x:v>198.25</x:v>
      </x:c>
      <x:c r="I21" s="23">
        <x:f>IF(B21="","",IFERROR(INDEX('회원명단 및 기준에버'!D:G,MATCH(B21,'회원명단 및 기준에버'!$C:$C,0),CHOOSE(INT((MONTH($N$2)-1)/3)+1,1,2,3,4)),""))</x:f>
        <x:v>171</x:v>
      </x:c>
      <x:c r="J21" s="5">
        <x:f t="shared" si="7"/>
        <x:v>2</x:v>
      </x:c>
      <x:c r="K21" s="5">
        <x:f t="shared" si="8"/>
        <x:v>22</x:v>
      </x:c>
      <x:c r="L21" s="5">
        <x:f t="shared" si="9"/>
        <x:v>73</x:v>
      </x:c>
      <x:c r="M21" s="5">
        <x:f t="shared" si="4"/>
        <x:v>12</x:v>
      </x:c>
      <x:c r="N21" s="6">
        <x:f t="shared" si="5"/>
        <x:v>109</x:v>
      </x:c>
      <x:c r="O21" s="24">
        <x:f t="shared" si="10"/>
        <x:v>27.25</x:v>
      </x:c>
      <x:c r="U21" s="62">
        <x:f t="shared" si="0"/>
        <x:v>71</x:v>
      </x:c>
      <x:c r="V21" s="57">
        <x:f t="shared" si="6"/>
        <x:v>27321018</x:v>
      </x:c>
      <x:c r="W21" s="57">
        <x:f t="shared" si="1"/>
        <x:v>1</x:v>
      </x:c>
      <x:c r="X21" s="63"/>
    </x:row>
    <x:row r="22" spans="1:24" ht="24.949999999999999" customHeight="1">
      <x:c r="A22" s="18">
        <x:v>19</x:v>
      </x:c>
      <x:c r="B22" s="19" t="s">
        <x:v>8</x:v>
      </x:c>
      <x:c r="C22" s="20">
        <x:v>167</x:v>
      </x:c>
      <x:c r="D22" s="20">
        <x:v>179</x:v>
      </x:c>
      <x:c r="E22" s="20">
        <x:v>170</x:v>
      </x:c>
      <x:c r="F22" s="20">
        <x:v>218</x:v>
      </x:c>
      <x:c r="G22" s="21">
        <x:f t="shared" si="2"/>
        <x:v>734</x:v>
      </x:c>
      <x:c r="H22" s="22">
        <x:f t="shared" si="3"/>
        <x:v>183.5</x:v>
      </x:c>
      <x:c r="I22" s="23">
        <x:f>IF(B22="","",IFERROR(INDEX('회원명단 및 기준에버'!D:G,MATCH(B22,'회원명단 및 기준에버'!$C:$C,0),CHOOSE(INT((MONTH($N$2)-1)/3)+1,1,2,3,4)),""))</x:f>
        <x:v>184</x:v>
      </x:c>
      <x:c r="J22" s="5">
        <x:f t="shared" si="7"/>
        <x:v>-17</x:v>
      </x:c>
      <x:c r="K22" s="5">
        <x:f t="shared" si="8"/>
        <x:v>-5</x:v>
      </x:c>
      <x:c r="L22" s="5">
        <x:f t="shared" si="9"/>
        <x:v>-14</x:v>
      </x:c>
      <x:c r="M22" s="5">
        <x:f t="shared" si="4"/>
        <x:v>34</x:v>
      </x:c>
      <x:c r="N22" s="6">
        <x:f t="shared" si="5"/>
        <x:v>-2</x:v>
      </x:c>
      <x:c r="O22" s="24">
        <x:f t="shared" si="10"/>
        <x:v>-0.5</x:v>
      </x:c>
      <x:c r="U22" s="62">
        <x:f t="shared" si="0"/>
        <x:v>51</x:v>
      </x:c>
      <x:c r="V22" s="57">
        <x:f t="shared" si="6"/>
        <x:v>-448981</x:v>
      </x:c>
      <x:c r="W22" s="57">
        <x:f t="shared" si="1"/>
        <x:v>16</x:v>
      </x:c>
      <x:c r="X22" s="63"/>
    </x:row>
    <x:row r="23" spans="1:24" ht="24.949999999999999" customHeight="1">
      <x:c r="A23" s="18">
        <x:v>20</x:v>
      </x:c>
      <x:c r="B23" s="19" t="s">
        <x:v>31</x:v>
      </x:c>
      <x:c r="C23" s="20">
        <x:v>202</x:v>
      </x:c>
      <x:c r="D23" s="20">
        <x:v>167</x:v>
      </x:c>
      <x:c r="E23" s="20">
        <x:v>191</x:v>
      </x:c>
      <x:c r="F23" s="20">
        <x:v>180</x:v>
      </x:c>
      <x:c r="G23" s="21">
        <x:f t="shared" si="2"/>
        <x:v>740</x:v>
      </x:c>
      <x:c r="H23" s="22">
        <x:f t="shared" si="3"/>
        <x:v>185</x:v>
      </x:c>
      <x:c r="I23" s="23"/>
      <x:c r="J23" s="5">
        <x:v>0</x:v>
      </x:c>
      <x:c r="K23" s="5">
        <x:v>0</x:v>
      </x:c>
      <x:c r="L23" s="5">
        <x:v>0</x:v>
      </x:c>
      <x:c r="M23" s="5">
        <x:v>0</x:v>
      </x:c>
      <x:c r="N23" s="6">
        <x:f t="shared" si="5"/>
        <x:v>0</x:v>
      </x:c>
      <x:c r="O23" s="24">
        <x:v>0</x:v>
      </x:c>
      <x:c r="U23" s="62">
        <x:f t="shared" si="0"/>
        <x:v>35</x:v>
      </x:c>
      <x:c r="V23" s="57">
        <x:f t="shared" si="6"/>
        <x:v>35020</x:v>
      </x:c>
      <x:c r="W23" s="57">
        <x:f t="shared" si="1"/>
        <x:v>12</x:v>
      </x:c>
      <x:c r="X23" s="63"/>
    </x:row>
    <x:row r="24" spans="1:24" ht="24.949999999999999" customHeight="1">
      <x:c r="A24" s="18">
        <x:v>21</x:v>
      </x:c>
      <x:c r="B24" s="19" t="s">
        <x:v>22</x:v>
      </x:c>
      <x:c r="C24" s="20">
        <x:v>209</x:v>
      </x:c>
      <x:c r="D24" s="20">
        <x:v>162</x:v>
      </x:c>
      <x:c r="E24" s="20">
        <x:v>245</x:v>
      </x:c>
      <x:c r="F24" s="20">
        <x:v>235</x:v>
      </x:c>
      <x:c r="G24" s="21">
        <x:f t="shared" si="2"/>
        <x:v>851</x:v>
      </x:c>
      <x:c r="H24" s="22">
        <x:f t="shared" si="3"/>
        <x:v>212.75</x:v>
      </x:c>
      <x:c r="I24" s="23">
        <x:f>IF(B24="","",IFERROR(INDEX('회원명단 및 기준에버'!D:G,MATCH(B24,'회원명단 및 기준에버'!$C:$C,0),CHOOSE(INT((MONTH($N$2)-1)/3)+1,1,2,3,4)),""))</x:f>
        <x:v>194</x:v>
      </x:c>
      <x:c r="J24" s="5">
        <x:f t="shared" si="7"/>
        <x:v>15</x:v>
      </x:c>
      <x:c r="K24" s="5">
        <x:f t="shared" si="8"/>
        <x:v>-32</x:v>
      </x:c>
      <x:c r="L24" s="5">
        <x:f t="shared" si="9"/>
        <x:v>51</x:v>
      </x:c>
      <x:c r="M24" s="5">
        <x:f t="shared" si="4"/>
        <x:v>41</x:v>
      </x:c>
      <x:c r="N24" s="6">
        <x:f t="shared" si="5"/>
        <x:v>75</x:v>
      </x:c>
      <x:c r="O24" s="24">
        <x:f t="shared" si="10"/>
        <x:v>18.75</x:v>
      </x:c>
      <x:c r="U24" s="62">
        <x:f t="shared" si="0"/>
        <x:v>83</x:v>
      </x:c>
      <x:c r="V24" s="57">
        <x:f t="shared" si="6"/>
        <x:v>18833021</x:v>
      </x:c>
      <x:c r="W24" s="57">
        <x:f t="shared" si="1"/>
        <x:v>2</x:v>
      </x:c>
      <x:c r="X24" s="63"/>
    </x:row>
    <x:row r="25" spans="1:24" ht="24.949999999999999" customHeight="1">
      <x:c r="A25" s="18">
        <x:v>22</x:v>
      </x:c>
      <x:c r="B25" s="19" t="s">
        <x:v>12</x:v>
      </x:c>
      <x:c r="C25" s="20">
        <x:v>200</x:v>
      </x:c>
      <x:c r="D25" s="20">
        <x:v>172</x:v>
      </x:c>
      <x:c r="E25" s="20">
        <x:v>204</x:v>
      </x:c>
      <x:c r="F25" s="20">
        <x:v>194</x:v>
      </x:c>
      <x:c r="G25" s="21">
        <x:f t="shared" si="2"/>
        <x:v>770</x:v>
      </x:c>
      <x:c r="H25" s="22">
        <x:f t="shared" si="3"/>
        <x:v>192.5</x:v>
      </x:c>
      <x:c r="I25" s="23">
        <x:f>IF(B25="","",IFERROR(INDEX('회원명단 및 기준에버'!D:G,MATCH(B25,'회원명단 및 기준에버'!$C:$C,0),CHOOSE(INT((MONTH($N$2)-1)/3)+1,1,2,3,4)),""))</x:f>
        <x:v>196</x:v>
      </x:c>
      <x:c r="J25" s="5">
        <x:f t="shared" si="7"/>
        <x:v>4</x:v>
      </x:c>
      <x:c r="K25" s="5">
        <x:f t="shared" si="8"/>
        <x:v>-24</x:v>
      </x:c>
      <x:c r="L25" s="5">
        <x:f t="shared" si="9"/>
        <x:v>8</x:v>
      </x:c>
      <x:c r="M25" s="5">
        <x:f t="shared" si="4"/>
        <x:v>-2</x:v>
      </x:c>
      <x:c r="N25" s="6">
        <x:f t="shared" si="5"/>
        <x:v>-14</x:v>
      </x:c>
      <x:c r="O25" s="24">
        <x:f t="shared" si="10"/>
        <x:v>-3.5</x:v>
      </x:c>
      <x:c r="U25" s="62">
        <x:f t="shared" si="0"/>
        <x:v>32</x:v>
      </x:c>
      <x:c r="V25" s="57">
        <x:f t="shared" si="6"/>
        <x:v>-3467978</x:v>
      </x:c>
      <x:c r="W25" s="57">
        <x:f t="shared" si="1"/>
        <x:v>20</x:v>
      </x:c>
      <x:c r="X25" s="63"/>
    </x:row>
    <x:row r="26" spans="1:24" ht="24.949999999999999" customHeight="1">
      <x:c r="A26" s="18">
        <x:v>23</x:v>
      </x:c>
      <x:c r="B26" s="19" t="s">
        <x:v>20</x:v>
      </x:c>
      <x:c r="C26" s="20">
        <x:v>148</x:v>
      </x:c>
      <x:c r="D26" s="20">
        <x:v>177</x:v>
      </x:c>
      <x:c r="E26" s="20">
        <x:v>151</x:v>
      </x:c>
      <x:c r="F26" s="20">
        <x:v>246</x:v>
      </x:c>
      <x:c r="G26" s="21">
        <x:f t="shared" si="2"/>
        <x:v>722</x:v>
      </x:c>
      <x:c r="H26" s="22">
        <x:f t="shared" si="3"/>
        <x:v>180.5</x:v>
      </x:c>
      <x:c r="I26" s="23">
        <x:f>IF(B26="","",IFERROR(INDEX('회원명단 및 기준에버'!D:G,MATCH(B26,'회원명단 및 기준에버'!$C:$C,0),CHOOSE(INT((MONTH($N$2)-1)/3)+1,1,2,3,4)),""))</x:f>
        <x:v>183</x:v>
      </x:c>
      <x:c r="J26" s="5">
        <x:f t="shared" si="7"/>
        <x:v>-35</x:v>
      </x:c>
      <x:c r="K26" s="5">
        <x:f t="shared" si="8"/>
        <x:v>-6</x:v>
      </x:c>
      <x:c r="L26" s="5">
        <x:f t="shared" si="9"/>
        <x:v>-32</x:v>
      </x:c>
      <x:c r="M26" s="5">
        <x:f t="shared" si="4"/>
        <x:v>63</x:v>
      </x:c>
      <x:c r="N26" s="6">
        <x:f t="shared" si="5"/>
        <x:v>-10</x:v>
      </x:c>
      <x:c r="O26" s="24">
        <x:f t="shared" si="10"/>
        <x:v>-2.5</x:v>
      </x:c>
      <x:c r="U26" s="62">
        <x:f t="shared" si="0"/>
        <x:v>98</x:v>
      </x:c>
      <x:c r="V26" s="57">
        <x:f t="shared" si="6"/>
        <x:v>-2401977</x:v>
      </x:c>
      <x:c r="W26" s="57">
        <x:f t="shared" si="1"/>
        <x:v>19</x:v>
      </x:c>
      <x:c r="X26" s="63"/>
    </x:row>
    <x:row r="27" spans="1:24" ht="24.949999999999999" customHeight="1">
      <x:c r="A27" s="18">
        <x:v>24</x:v>
      </x:c>
      <x:c r="B27" s="19" t="s">
        <x:v>1</x:v>
      </x:c>
      <x:c r="C27" s="20">
        <x:v>160</x:v>
      </x:c>
      <x:c r="D27" s="20">
        <x:v>214</x:v>
      </x:c>
      <x:c r="E27" s="20">
        <x:v>149</x:v>
      </x:c>
      <x:c r="F27" s="20">
        <x:v>188</x:v>
      </x:c>
      <x:c r="G27" s="21">
        <x:f t="shared" si="2"/>
        <x:v>711</x:v>
      </x:c>
      <x:c r="H27" s="22">
        <x:f t="shared" si="3"/>
        <x:v>177.75</x:v>
      </x:c>
      <x:c r="I27" s="23" t="str">
        <x:f>IF(B27="","",IFERROR(INDEX('회원명단 및 기준에버'!D:G,MATCH(B27,'회원명단 및 기준에버'!$C:$C,0),CHOOSE(INT((MONTH($N$2)-1)/3)+1,1,2,3,4)),""))</x:f>
        <x:v/>
      </x:c>
      <x:c r="J27" s="5">
        <x:f t="shared" si="7"/>
        <x:v>0</x:v>
      </x:c>
      <x:c r="K27" s="5">
        <x:f t="shared" si="8"/>
        <x:v>0</x:v>
      </x:c>
      <x:c r="L27" s="5">
        <x:f t="shared" si="9"/>
        <x:v>0</x:v>
      </x:c>
      <x:c r="M27" s="5">
        <x:f t="shared" si="4"/>
        <x:v>0</x:v>
      </x:c>
      <x:c r="N27" s="6">
        <x:f t="shared" si="5"/>
        <x:v>0</x:v>
      </x:c>
      <x:c r="O27" s="24">
        <x:f t="shared" si="10"/>
        <x:v>0</x:v>
      </x:c>
      <x:c r="U27" s="62">
        <x:f t="shared" si="0"/>
        <x:v>65</x:v>
      </x:c>
      <x:c r="V27" s="57">
        <x:f t="shared" si="6"/>
        <x:v>65024</x:v>
      </x:c>
      <x:c r="W27" s="57">
        <x:f t="shared" si="1"/>
        <x:v>10</x:v>
      </x:c>
      <x:c r="X27" s="63"/>
    </x:row>
    <x:row r="28" spans="1:24" ht="24.949999999999999" customHeight="1">
      <x:c r="A28" s="18">
        <x:v>25</x:v>
      </x:c>
      <x:c r="B28" s="19"/>
      <x:c r="C28" s="20"/>
      <x:c r="D28" s="20"/>
      <x:c r="E28" s="20"/>
      <x:c r="F28" s="20"/>
      <x:c r="G28" s="21">
        <x:f t="shared" si="2"/>
        <x:v>0</x:v>
      </x:c>
      <x:c r="H28" s="22">
        <x:f t="shared" si="3"/>
        <x:v>0</x:v>
      </x:c>
      <x:c r="I28" s="23" t="str">
        <x:f>IF(B28="","",IFERROR(INDEX('회원명단 및 기준에버'!D:G,MATCH(B28,'회원명단 및 기준에버'!$C:$C,0),CHOOSE(INT((MONTH($N$2)-1)/3)+1,1,2,3,4)),""))</x:f>
        <x:v/>
      </x:c>
      <x:c r="J28" s="5">
        <x:f>IFERROR(C28+-I28,0)</x:f>
        <x:v>0</x:v>
      </x:c>
      <x:c r="K28" s="5">
        <x:f>IFERROR(D28+-I28,0)</x:f>
        <x:v>0</x:v>
      </x:c>
      <x:c r="L28" s="5">
        <x:f>IFERROR(E28+-I28,0)</x:f>
        <x:v>0</x:v>
      </x:c>
      <x:c r="M28" s="5">
        <x:f t="shared" si="4"/>
        <x:v>0</x:v>
      </x:c>
      <x:c r="N28" s="6">
        <x:f t="shared" si="5"/>
        <x:v>0</x:v>
      </x:c>
      <x:c r="O28" s="24">
        <x:f>IFERROR(H28+-I28,0)</x:f>
        <x:v>0</x:v>
      </x:c>
      <x:c r="U28" s="62">
        <x:f t="shared" si="0"/>
        <x:v>0</x:v>
      </x:c>
      <x:c r="V28" s="57">
        <x:f t="shared" si="6"/>
        <x:v>25</x:v>
      </x:c>
      <x:c r="W28" s="57">
        <x:f t="shared" si="1"/>
        <x:v>14</x:v>
      </x:c>
      <x:c r="X28" s="63"/>
    </x:row>
    <x:row r="29" spans="1:15" s="11" customFormat="1" ht="24.949999999999999" customHeight="1">
      <x:c r="A29" s="12"/>
      <x:c r="B29" s="120" t="s">
        <x:v>21</x:v>
      </x:c>
      <x:c r="C29" s="121"/>
      <x:c r="D29" s="121"/>
      <x:c r="E29" s="121"/>
      <x:c r="F29" s="120"/>
      <x:c r="G29" s="121"/>
      <x:c r="H29" s="121"/>
      <x:c r="I29" s="121"/>
      <x:c r="J29" s="121"/>
      <x:c r="K29" s="121"/>
      <x:c r="L29" s="121"/>
      <x:c r="M29" s="120"/>
      <x:c r="N29" s="121"/>
      <x:c r="O29" s="122"/>
    </x:row>
    <x:row r="30" spans="2:15" s="11" customFormat="1" ht="24.949999999999999" customHeight="1">
      <x:c r="B30" s="26" t="str">
        <x:f>$B4</x:f>
        <x:v>이 대 용</x:v>
      </x:c>
      <x:c r="C30" s="27">
        <x:f>IF($V$2=0,$C4,$J4)</x:f>
        <x:v>4</x:v>
      </x:c>
      <x:c r="D30" s="27">
        <x:f>IF($V$2=0,$D4,$K4)</x:f>
        <x:v>-13</x:v>
      </x:c>
      <x:c r="E30" s="27">
        <x:f>IF($V$2=0,$E4,$L4)</x:f>
        <x:v>16</x:v>
      </x:c>
      <x:c r="F30" s="27">
        <x:f>IF($V$2=0,$F4,$M4)</x:f>
        <x:v>-11</x:v>
      </x:c>
      <x:c r="G30" s="123">
        <x:f>E35+D35+C35+F35</x:f>
        <x:v>78</x:v>
      </x:c>
      <x:c r="H30" s="115"/>
      <x:c r="I30" s="28" t="str">
        <x:f>$B9</x:f>
        <x:v>장 영 민</x:v>
      </x:c>
      <x:c r="J30" s="27">
        <x:f>IF($V$2=0,$C9,$J9)</x:f>
        <x:v>0</x:v>
      </x:c>
      <x:c r="K30" s="27">
        <x:f>IF($V$2=0,$D9,$K9)</x:f>
        <x:v>26</x:v>
      </x:c>
      <x:c r="L30" s="27">
        <x:f>IF($V$2=0,$E9,$L9)</x:f>
        <x:v>35</x:v>
      </x:c>
      <x:c r="M30" s="47">
        <x:f>IF($V$2=0,$F9,$M9)</x:f>
        <x:v>-23</x:v>
      </x:c>
      <x:c r="N30" s="129">
        <x:f>L35+K35+J35+M35</x:f>
        <x:v>-59</x:v>
      </x:c>
      <x:c r="O30" s="126"/>
    </x:row>
    <x:row r="31" spans="2:15" s="11" customFormat="1" ht="24.949999999999999" customHeight="1">
      <x:c r="B31" s="29" t="str">
        <x:f>$B5</x:f>
        <x:v>임 연 진</x:v>
      </x:c>
      <x:c r="C31" s="4">
        <x:f>IF($V$2=0,$C5,$J5)</x:f>
        <x:v>14</x:v>
      </x:c>
      <x:c r="D31" s="4">
        <x:f>IF($V$2=0,$D5,$K5)</x:f>
        <x:v>52</x:v>
      </x:c>
      <x:c r="E31" s="4">
        <x:f>IF($V$2=0,$E5,$L5)</x:f>
        <x:v>-40</x:v>
      </x:c>
      <x:c r="F31" s="4">
        <x:f>IF($V$2=0,$F5,$M5)</x:f>
        <x:v>32</x:v>
      </x:c>
      <x:c r="G31" s="124"/>
      <x:c r="H31" s="116"/>
      <x:c r="I31" s="29" t="str">
        <x:f>$B10</x:f>
        <x:v>김 정 희</x:v>
      </x:c>
      <x:c r="J31" s="4">
        <x:f>IF($V$2=0,$C10,$J10)</x:f>
        <x:v>0</x:v>
      </x:c>
      <x:c r="K31" s="4">
        <x:f>IF($V$2=0,$D10,$K10)</x:f>
        <x:v>0</x:v>
      </x:c>
      <x:c r="L31" s="4">
        <x:f>IF($V$2=0,$E10,$L10)</x:f>
        <x:v>0</x:v>
      </x:c>
      <x:c r="M31" s="4">
        <x:f>IF($V$2=0,$F10,$M10)</x:f>
        <x:v>0</x:v>
      </x:c>
      <x:c r="N31" s="130"/>
      <x:c r="O31" s="127"/>
    </x:row>
    <x:row r="32" spans="2:15" s="11" customFormat="1" ht="24.949999999999999" customHeight="1">
      <x:c r="B32" s="29" t="str">
        <x:f>$B6</x:f>
        <x:v>이 승 미</x:v>
      </x:c>
      <x:c r="C32" s="4">
        <x:f>IF($V$2=0,$C6,$J6)</x:f>
        <x:v>9</x:v>
      </x:c>
      <x:c r="D32" s="4">
        <x:f>IF($V$2=0,$D6,$K6)</x:f>
        <x:v>-17</x:v>
      </x:c>
      <x:c r="E32" s="4">
        <x:f>IF($V$2=0,$E6,$L6)</x:f>
        <x:v>-7</x:v>
      </x:c>
      <x:c r="F32" s="4">
        <x:f>IF($V$2=0,$F6,$M6)</x:f>
        <x:v>25</x:v>
      </x:c>
      <x:c r="G32" s="124"/>
      <x:c r="H32" s="116"/>
      <x:c r="I32" s="29" t="str">
        <x:f>$B11</x:f>
        <x:v>황 인 교</x:v>
      </x:c>
      <x:c r="J32" s="4">
        <x:f>IF($V$2=0,$C11,$J11)</x:f>
        <x:v>-19</x:v>
      </x:c>
      <x:c r="K32" s="4">
        <x:f>IF($V$2=0,$D11,$K11)</x:f>
        <x:v>1</x:v>
      </x:c>
      <x:c r="L32" s="4">
        <x:f>IF($V$2=0,$E11,$L11)</x:f>
        <x:v>-2</x:v>
      </x:c>
      <x:c r="M32" s="4">
        <x:f>IF($V$2=0,$F11,$M11)</x:f>
        <x:v>-29</x:v>
      </x:c>
      <x:c r="N32" s="130"/>
      <x:c r="O32" s="127"/>
    </x:row>
    <x:row r="33" spans="2:15" s="11" customFormat="1" ht="24.949999999999999" customHeight="1">
      <x:c r="B33" s="29" t="str">
        <x:f>$B7</x:f>
        <x:v>박 성 현</x:v>
      </x:c>
      <x:c r="C33" s="4">
        <x:f>IF($V$2=0,$C7,$J7)</x:f>
        <x:v>25</x:v>
      </x:c>
      <x:c r="D33" s="4">
        <x:f>IF($V$2=0,$D7,$K7)</x:f>
        <x:v>2</x:v>
      </x:c>
      <x:c r="E33" s="4">
        <x:f>IF($V$2=0,$E7,$L7)</x:f>
        <x:v>-21</x:v>
      </x:c>
      <x:c r="F33" s="4">
        <x:f>IF($V$2=0,$F7,$M7)</x:f>
        <x:v>8</x:v>
      </x:c>
      <x:c r="G33" s="124"/>
      <x:c r="H33" s="116"/>
      <x:c r="I33" s="29" t="str">
        <x:f>$B12</x:f>
        <x:v>고 경 훈</x:v>
      </x:c>
      <x:c r="J33" s="4">
        <x:f>IF($V$2=0,$C12,$J12)</x:f>
        <x:v>-25</x:v>
      </x:c>
      <x:c r="K33" s="4">
        <x:f>IF($V$2=0,$D12,$K12)</x:f>
        <x:v>-46</x:v>
      </x:c>
      <x:c r="L33" s="4">
        <x:f>IF($V$2=0,$E12,$L12)</x:f>
        <x:v>33</x:v>
      </x:c>
      <x:c r="M33" s="4">
        <x:f>IF($V$2=0,$F12,$M12)</x:f>
        <x:v>-26</x:v>
      </x:c>
      <x:c r="N33" s="130"/>
      <x:c r="O33" s="127"/>
    </x:row>
    <x:row r="34" spans="2:15" s="11" customFormat="1" ht="24.949999999999999" customHeight="1">
      <x:c r="B34" s="29">
        <x:f>$B8</x:f>
        <x:v>0</x:v>
      </x:c>
      <x:c r="C34" s="4">
        <x:f>IF($V$2=0,$C8,$J8)</x:f>
        <x:v>0</x:v>
      </x:c>
      <x:c r="D34" s="4">
        <x:f>IF($V$2=0,$D8,$K8)</x:f>
        <x:v>0</x:v>
      </x:c>
      <x:c r="E34" s="4">
        <x:f>IF($V$2=0,$E8,$L8)</x:f>
        <x:v>0</x:v>
      </x:c>
      <x:c r="F34" s="4">
        <x:f>IF($V$2=0,$F8,$M8)</x:f>
        <x:v>0</x:v>
      </x:c>
      <x:c r="G34" s="124"/>
      <x:c r="H34" s="116"/>
      <x:c r="I34" s="29" t="str">
        <x:f>$B13</x:f>
        <x:v>이 상 현</x:v>
      </x:c>
      <x:c r="J34" s="4">
        <x:f>IF($V$2=0,$C13,$J13)</x:f>
        <x:v>-48</x:v>
      </x:c>
      <x:c r="K34" s="4">
        <x:f>IF($V$2=0,$D13,$K13)</x:f>
        <x:v>34</x:v>
      </x:c>
      <x:c r="L34" s="4">
        <x:f>IF($V$2=0,$E13,$L13)</x:f>
        <x:v>12</x:v>
      </x:c>
      <x:c r="M34" s="4">
        <x:f>IF($V$2=0,$F13,$M13)</x:f>
        <x:v>18</x:v>
      </x:c>
      <x:c r="N34" s="130"/>
      <x:c r="O34" s="127"/>
    </x:row>
    <x:row r="35" spans="2:15" s="11" customFormat="1" ht="24.949999999999999" customHeight="1">
      <x:c r="B35" s="30"/>
      <x:c r="C35" s="31">
        <x:f>SUM(C30:C34)</x:f>
        <x:v>52</x:v>
      </x:c>
      <x:c r="D35" s="31">
        <x:f>SUM(D30:D34)</x:f>
        <x:v>24</x:v>
      </x:c>
      <x:c r="E35" s="31">
        <x:f>SUM(E30:E34)</x:f>
        <x:v>-52</x:v>
      </x:c>
      <x:c r="F35" s="31">
        <x:f>SUM(F30:F34)</x:f>
        <x:v>54</x:v>
      </x:c>
      <x:c r="G35" s="125"/>
      <x:c r="H35" s="117"/>
      <x:c r="I35" s="30"/>
      <x:c r="J35" s="31">
        <x:f>SUM(J30:J34)</x:f>
        <x:v>-92</x:v>
      </x:c>
      <x:c r="K35" s="31">
        <x:f>SUM(K30:K34)</x:f>
        <x:v>15</x:v>
      </x:c>
      <x:c r="L35" s="31">
        <x:f>SUM(L30:L34)</x:f>
        <x:v>78</x:v>
      </x:c>
      <x:c r="M35" s="31">
        <x:f>SUM(M30:M34)</x:f>
        <x:v>-60</x:v>
      </x:c>
      <x:c r="N35" s="131"/>
      <x:c r="O35" s="128"/>
    </x:row>
    <x:row r="36" s="11" customFormat="1" ht="9.9499999999999993" customHeight="1"/>
    <x:row r="37" spans="2:15" s="11" customFormat="1" ht="24.949999999999999" customHeight="1">
      <x:c r="B37" s="26" t="str">
        <x:f>$B14</x:f>
        <x:v>이 우 석</x:v>
      </x:c>
      <x:c r="C37" s="27">
        <x:f>IF($V$2=0,$C14,$J14)</x:f>
        <x:v>12</x:v>
      </x:c>
      <x:c r="D37" s="27">
        <x:f>IF($V$2=0,$D14,$K14)</x:f>
        <x:v>11</x:v>
      </x:c>
      <x:c r="E37" s="27">
        <x:f>IF($V$2=0,$E14,$L14)</x:f>
        <x:v>-23</x:v>
      </x:c>
      <x:c r="F37" s="27">
        <x:f>IF($V$2=0,$F14,$M14)</x:f>
        <x:v>45</x:v>
      </x:c>
      <x:c r="G37" s="123">
        <x:f>E42+D42+C42+F42</x:f>
        <x:v>-109</x:v>
      </x:c>
      <x:c r="H37" s="115"/>
      <x:c r="I37" s="28" t="str">
        <x:f>$B19</x:f>
        <x:v>변 상 필</x:v>
      </x:c>
      <x:c r="J37" s="27">
        <x:f>IF($V$2=0,$C19,$J19)</x:f>
        <x:v>-20</x:v>
      </x:c>
      <x:c r="K37" s="27">
        <x:f>IF($V$2=0,$D19,$K19)</x:f>
        <x:v>-50</x:v>
      </x:c>
      <x:c r="L37" s="27">
        <x:f>IF($V$2=0,$E19,$L19)</x:f>
        <x:v>-5</x:v>
      </x:c>
      <x:c r="M37" s="47">
        <x:f>IF($V$2=0,$F19,$M19)</x:f>
        <x:v>46</x:v>
      </x:c>
      <x:c r="N37" s="129">
        <x:f>L42+K42+J42+M42</x:f>
        <x:v>104</x:v>
      </x:c>
      <x:c r="O37" s="126"/>
    </x:row>
    <x:row r="38" spans="2:15" s="12" customFormat="1" ht="24.949999999999999" customHeight="1">
      <x:c r="B38" s="29" t="str">
        <x:f>$B15</x:f>
        <x:v>김 미 란</x:v>
      </x:c>
      <x:c r="C38" s="4">
        <x:f>IF($V$2=0,$C15,$J15)</x:f>
        <x:v>-10</x:v>
      </x:c>
      <x:c r="D38" s="4">
        <x:f>IF($V$2=0,$D15,$K15)</x:f>
        <x:v>-2</x:v>
      </x:c>
      <x:c r="E38" s="4">
        <x:f>IF($V$2=0,$E15,$L15)</x:f>
        <x:v>-6</x:v>
      </x:c>
      <x:c r="F38" s="4">
        <x:f>IF($V$2=0,$F15,$M15)</x:f>
        <x:v>13</x:v>
      </x:c>
      <x:c r="G38" s="124"/>
      <x:c r="H38" s="116"/>
      <x:c r="I38" s="29" t="str">
        <x:f>$B20</x:f>
        <x:v>정 영 우</x:v>
      </x:c>
      <x:c r="J38" s="4">
        <x:f>IF($V$2=0,$C20,$J20)</x:f>
        <x:v>-15</x:v>
      </x:c>
      <x:c r="K38" s="4">
        <x:f>IF($V$2=0,$D20,$K20)</x:f>
        <x:v>19</x:v>
      </x:c>
      <x:c r="L38" s="4">
        <x:f>IF($V$2=0,$E20,$L20)</x:f>
        <x:v>28</x:v>
      </x:c>
      <x:c r="M38" s="4">
        <x:f>IF($V$2=0,$F20,$M20)</x:f>
        <x:v>-6</x:v>
      </x:c>
      <x:c r="N38" s="130"/>
      <x:c r="O38" s="127"/>
    </x:row>
    <x:row r="39" spans="2:15" s="12" customFormat="1" ht="24.949999999999999" customHeight="1">
      <x:c r="B39" s="29" t="str">
        <x:f>$B16</x:f>
        <x:v>나 경 주</x:v>
      </x:c>
      <x:c r="C39" s="4">
        <x:f>IF($V$2=0,$C16,$J16)</x:f>
        <x:v>-17</x:v>
      </x:c>
      <x:c r="D39" s="4">
        <x:f>IF($V$2=0,$D16,$K16)</x:f>
        <x:v>2</x:v>
      </x:c>
      <x:c r="E39" s="4">
        <x:f>IF($V$2=0,$E16,$L16)</x:f>
        <x:v>-2</x:v>
      </x:c>
      <x:c r="F39" s="4">
        <x:f>IF($V$2=0,$F16,$M16)</x:f>
        <x:v>-35</x:v>
      </x:c>
      <x:c r="G39" s="124"/>
      <x:c r="H39" s="116"/>
      <x:c r="I39" s="29" t="str">
        <x:f>$B21</x:f>
        <x:v>진 명 옥</x:v>
      </x:c>
      <x:c r="J39" s="4">
        <x:f>IF($V$2=0,$C21,$J21)</x:f>
        <x:v>2</x:v>
      </x:c>
      <x:c r="K39" s="4">
        <x:f>IF($V$2=0,$D21,$K21)</x:f>
        <x:v>22</x:v>
      </x:c>
      <x:c r="L39" s="4">
        <x:f>IF($V$2=0,$E21,$L21)</x:f>
        <x:v>73</x:v>
      </x:c>
      <x:c r="M39" s="4">
        <x:f>IF($V$2=0,$F21,$M21)</x:f>
        <x:v>12</x:v>
      </x:c>
      <x:c r="N39" s="130"/>
      <x:c r="O39" s="127"/>
    </x:row>
    <x:row r="40" spans="2:15" s="12" customFormat="1" ht="24.949999999999999" customHeight="1">
      <x:c r="B40" s="29" t="str">
        <x:f>$B17</x:f>
        <x:v>천 성 일</x:v>
      </x:c>
      <x:c r="C40" s="4">
        <x:f>IF($V$2=0,$C17,$J17)</x:f>
        <x:v>-4</x:v>
      </x:c>
      <x:c r="D40" s="4">
        <x:f>IF($V$2=0,$D17,$K17)</x:f>
        <x:v>-46</x:v>
      </x:c>
      <x:c r="E40" s="4">
        <x:f>IF($V$2=0,$E17,$L17)</x:f>
        <x:v>1</x:v>
      </x:c>
      <x:c r="F40" s="4">
        <x:f>IF($V$2=0,$F17,$M17)</x:f>
        <x:v>-48</x:v>
      </x:c>
      <x:c r="G40" s="124"/>
      <x:c r="H40" s="116"/>
      <x:c r="I40" s="29" t="str">
        <x:f>$B22</x:f>
        <x:v>엄 정 도</x:v>
      </x:c>
      <x:c r="J40" s="4">
        <x:f>IF($V$2=0,$C22,$J22)</x:f>
        <x:v>-17</x:v>
      </x:c>
      <x:c r="K40" s="4">
        <x:f>IF($V$2=0,$D22,$K22)</x:f>
        <x:v>-5</x:v>
      </x:c>
      <x:c r="L40" s="4">
        <x:f>IF($V$2=0,$E22,$L22)</x:f>
        <x:v>-14</x:v>
      </x:c>
      <x:c r="M40" s="4">
        <x:f>IF($V$2=0,$F22,$M22)</x:f>
        <x:v>34</x:v>
      </x:c>
      <x:c r="N40" s="130"/>
      <x:c r="O40" s="127"/>
    </x:row>
    <x:row r="41" spans="2:15" s="12" customFormat="1" ht="24.949999999999999" customHeight="1">
      <x:c r="B41" s="29" t="str">
        <x:f>$B18</x:f>
        <x:v>이 재 용</x:v>
      </x:c>
      <x:c r="C41" s="4">
        <x:f>IF($V$2=0,$C18,$J18)</x:f>
        <x:v>0</x:v>
      </x:c>
      <x:c r="D41" s="4">
        <x:f>IF($V$2=0,$D18,$K18)</x:f>
        <x:v>0</x:v>
      </x:c>
      <x:c r="E41" s="4">
        <x:f>IF($V$2=0,$E18,$L18)</x:f>
        <x:v>0</x:v>
      </x:c>
      <x:c r="F41" s="4">
        <x:f>IF($V$2=0,$F18,$M18)</x:f>
        <x:v>0</x:v>
      </x:c>
      <x:c r="G41" s="124"/>
      <x:c r="H41" s="116"/>
      <x:c r="I41" s="29" t="str">
        <x:f>$B23</x:f>
        <x:v>김 태 환</x:v>
      </x:c>
      <x:c r="J41" s="4">
        <x:f>IF($V$2=0,$C23,$J23)</x:f>
        <x:v>0</x:v>
      </x:c>
      <x:c r="K41" s="4">
        <x:f>IF($V$2=0,$D23,$K23)</x:f>
        <x:v>0</x:v>
      </x:c>
      <x:c r="L41" s="4">
        <x:f>IF($V$2=0,$E23,$L23)</x:f>
        <x:v>0</x:v>
      </x:c>
      <x:c r="M41" s="4">
        <x:f>IF($V$2=0,$F23,$M23)</x:f>
        <x:v>0</x:v>
      </x:c>
      <x:c r="N41" s="130"/>
      <x:c r="O41" s="127"/>
    </x:row>
    <x:row r="42" spans="2:15" s="12" customFormat="1" ht="24.949999999999999" customHeight="1">
      <x:c r="B42" s="30"/>
      <x:c r="C42" s="31">
        <x:f>SUM(C37:C41)</x:f>
        <x:v>-19</x:v>
      </x:c>
      <x:c r="D42" s="31">
        <x:f>SUM(D37:D41)</x:f>
        <x:v>-35</x:v>
      </x:c>
      <x:c r="E42" s="31">
        <x:f>SUM(E37:E41)</x:f>
        <x:v>-30</x:v>
      </x:c>
      <x:c r="F42" s="31">
        <x:f>SUM(F37:F41)</x:f>
        <x:v>-25</x:v>
      </x:c>
      <x:c r="G42" s="125"/>
      <x:c r="H42" s="117"/>
      <x:c r="I42" s="30"/>
      <x:c r="J42" s="31">
        <x:f>SUM(J37:J41)</x:f>
        <x:v>-50</x:v>
      </x:c>
      <x:c r="K42" s="31">
        <x:f>SUM(K37:K41)</x:f>
        <x:v>-14</x:v>
      </x:c>
      <x:c r="L42" s="31">
        <x:f>SUM(L37:L41)</x:f>
        <x:v>82</x:v>
      </x:c>
      <x:c r="M42" s="31">
        <x:f>SUM(M37:M41)</x:f>
        <x:v>86</x:v>
      </x:c>
      <x:c r="N42" s="131"/>
      <x:c r="O42" s="128"/>
    </x:row>
    <x:row r="43" ht="9.9499999999999993" customHeight="1"/>
    <x:row r="44" spans="2:15" ht="24.949999999999999" customHeight="1">
      <x:c r="B44" s="26" t="str">
        <x:f>$B24</x:f>
        <x:v>강 완 규</x:v>
      </x:c>
      <x:c r="C44" s="27">
        <x:f>IF($V$2=0,$C24,$J24)</x:f>
        <x:v>15</x:v>
      </x:c>
      <x:c r="D44" s="27">
        <x:f>IF($V$2=0,$D24,$K24)</x:f>
        <x:v>-32</x:v>
      </x:c>
      <x:c r="E44" s="27">
        <x:f>IF($V$2=0,$E24,$L24)</x:f>
        <x:v>51</x:v>
      </x:c>
      <x:c r="F44" s="27">
        <x:f>IF($V$2=0,$F24,$M24)</x:f>
        <x:v>41</x:v>
      </x:c>
      <x:c r="G44" s="123">
        <x:f>E49+D49+C49+F49</x:f>
        <x:v>51</x:v>
      </x:c>
      <x:c r="H44" s="115"/>
      <x:c r="I44" s="26"/>
      <x:c r="J44" s="27"/>
      <x:c r="K44" s="27"/>
      <x:c r="L44" s="27"/>
      <x:c r="M44" s="27"/>
      <x:c r="N44" s="129"/>
      <x:c r="O44" s="115"/>
    </x:row>
    <x:row r="45" spans="2:15" ht="24.949999999999999" customHeight="1">
      <x:c r="B45" s="29" t="str">
        <x:f>$B25</x:f>
        <x:v>이 정 석</x:v>
      </x:c>
      <x:c r="C45" s="4">
        <x:f>IF($V$2=0,$C25,$J25)</x:f>
        <x:v>4</x:v>
      </x:c>
      <x:c r="D45" s="4">
        <x:f>IF($V$2=0,$D25,$K25)</x:f>
        <x:v>-24</x:v>
      </x:c>
      <x:c r="E45" s="4">
        <x:f>IF($V$2=0,$E25,$L25)</x:f>
        <x:v>8</x:v>
      </x:c>
      <x:c r="F45" s="4">
        <x:f>IF($V$2=0,$F25,$M25)</x:f>
        <x:v>-2</x:v>
      </x:c>
      <x:c r="G45" s="124"/>
      <x:c r="H45" s="116"/>
      <x:c r="I45" s="29"/>
      <x:c r="J45" s="4"/>
      <x:c r="K45" s="4"/>
      <x:c r="L45" s="4"/>
      <x:c r="M45" s="4"/>
      <x:c r="N45" s="130"/>
      <x:c r="O45" s="116"/>
    </x:row>
    <x:row r="46" spans="2:15" ht="24.949999999999999" customHeight="1">
      <x:c r="B46" s="29" t="str">
        <x:f>$B26</x:f>
        <x:v>지 옥 명</x:v>
      </x:c>
      <x:c r="C46" s="4">
        <x:f>IF($V$2=0,$C26,$J26)</x:f>
        <x:v>-35</x:v>
      </x:c>
      <x:c r="D46" s="4">
        <x:f>IF($V$2=0,$D26,$K26)</x:f>
        <x:v>-6</x:v>
      </x:c>
      <x:c r="E46" s="4">
        <x:f>IF($V$2=0,$E26,$L26)</x:f>
        <x:v>-32</x:v>
      </x:c>
      <x:c r="F46" s="4">
        <x:f>IF($V$2=0,$F26,$M26)</x:f>
        <x:v>63</x:v>
      </x:c>
      <x:c r="G46" s="124"/>
      <x:c r="H46" s="116"/>
      <x:c r="I46" s="29"/>
      <x:c r="J46" s="4"/>
      <x:c r="K46" s="4"/>
      <x:c r="L46" s="4"/>
      <x:c r="M46" s="4"/>
      <x:c r="N46" s="130"/>
      <x:c r="O46" s="116"/>
    </x:row>
    <x:row r="47" spans="2:15" ht="24.949999999999999" customHeight="1">
      <x:c r="B47" s="29" t="str">
        <x:f>$B27</x:f>
        <x:v>최    진</x:v>
      </x:c>
      <x:c r="C47" s="4">
        <x:f>IF($V$2=0,$C27,$J27)</x:f>
        <x:v>0</x:v>
      </x:c>
      <x:c r="D47" s="4">
        <x:f>IF($V$2=0,$D27,$K27)</x:f>
        <x:v>0</x:v>
      </x:c>
      <x:c r="E47" s="4">
        <x:f>IF($V$2=0,$E27,$L27)</x:f>
        <x:v>0</x:v>
      </x:c>
      <x:c r="F47" s="4">
        <x:f>IF($V$2=0,$F27,$M27)</x:f>
        <x:v>0</x:v>
      </x:c>
      <x:c r="G47" s="124"/>
      <x:c r="H47" s="116"/>
      <x:c r="I47" s="29"/>
      <x:c r="J47" s="4"/>
      <x:c r="K47" s="4"/>
      <x:c r="L47" s="4"/>
      <x:c r="M47" s="4"/>
      <x:c r="N47" s="130"/>
      <x:c r="O47" s="116"/>
    </x:row>
    <x:row r="48" spans="2:15" ht="24.949999999999999" customHeight="1">
      <x:c r="B48" s="29">
        <x:f>$B28</x:f>
        <x:v>0</x:v>
      </x:c>
      <x:c r="C48" s="4">
        <x:f>IF($V$2=0,$C28,$J28)</x:f>
        <x:v>0</x:v>
      </x:c>
      <x:c r="D48" s="4">
        <x:f>IF($V$2=0,$D28,$K28)</x:f>
        <x:v>0</x:v>
      </x:c>
      <x:c r="E48" s="4">
        <x:f>IF($V$2=0,$E28,$L28)</x:f>
        <x:v>0</x:v>
      </x:c>
      <x:c r="F48" s="4">
        <x:f>IF($V$2=0,$F28,$M28)</x:f>
        <x:v>0</x:v>
      </x:c>
      <x:c r="G48" s="124"/>
      <x:c r="H48" s="116"/>
      <x:c r="I48" s="29"/>
      <x:c r="J48" s="4"/>
      <x:c r="K48" s="4"/>
      <x:c r="L48" s="4"/>
      <x:c r="M48" s="4"/>
      <x:c r="N48" s="130"/>
      <x:c r="O48" s="116"/>
    </x:row>
    <x:row r="49" spans="2:15" ht="24.949999999999999" customHeight="1">
      <x:c r="B49" s="30"/>
      <x:c r="C49" s="31">
        <x:f>SUM(C44:C48)</x:f>
        <x:v>-16</x:v>
      </x:c>
      <x:c r="D49" s="31">
        <x:f>SUM(D44:D48)</x:f>
        <x:v>-62</x:v>
      </x:c>
      <x:c r="E49" s="31">
        <x:f>SUM(E44:E48)</x:f>
        <x:v>27</x:v>
      </x:c>
      <x:c r="F49" s="31">
        <x:f>SUM(F44:F48)</x:f>
        <x:v>102</x:v>
      </x:c>
      <x:c r="G49" s="125"/>
      <x:c r="H49" s="117"/>
      <x:c r="I49" s="30"/>
      <x:c r="J49" s="31"/>
      <x:c r="K49" s="31"/>
      <x:c r="L49" s="31"/>
      <x:c r="M49" s="31"/>
      <x:c r="N49" s="131"/>
      <x:c r="O49" s="117"/>
    </x:row>
    <x:row r="50" ht="24.949999999999999" customHeight="1"/>
    <x:row r="51" ht="24.949999999999999" customHeight="1"/>
    <x:row r="52" ht="24.949999999999999" customHeight="1"/>
    <x:row r="53" spans="1:15" ht="60" customHeight="1">
      <x:c r="A53" s="112" t="str">
        <x:f>A1</x:f>
        <x:v>2026 아르케 존 02회 번개 모임 점수</x:v>
      </x:c>
      <x:c r="B53" s="112"/>
      <x:c r="C53" s="112"/>
      <x:c r="D53" s="112"/>
      <x:c r="E53" s="112"/>
      <x:c r="F53" s="112"/>
      <x:c r="G53" s="112"/>
      <x:c r="H53" s="112"/>
      <x:c r="I53" s="112"/>
      <x:c r="J53" s="112"/>
      <x:c r="K53" s="112"/>
      <x:c r="L53" s="112"/>
      <x:c r="M53" s="112"/>
      <x:c r="N53" s="112"/>
      <x:c r="O53" s="112"/>
    </x:row>
    <x:row r="54" spans="1:15" ht="24.949999999999999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4" t="s">
        <x:v>48</x:v>
      </x:c>
      <x:c r="M54" s="34"/>
      <x:c r="N54" s="113">
        <x:f>N2</x:f>
        <x:v>46051</x:v>
      </x:c>
      <x:c r="O54" s="114"/>
    </x:row>
    <x:row r="55" spans="1:15" ht="24.949999999999999" customHeight="1">
      <x:c r="A55" s="13"/>
      <x:c r="B55" s="14" t="s">
        <x:v>14</x:v>
      </x:c>
      <x:c r="C55" s="14" t="s">
        <x:v>44</x:v>
      </x:c>
      <x:c r="D55" s="14" t="s">
        <x:v>55</x:v>
      </x:c>
      <x:c r="E55" s="14" t="s">
        <x:v>54</x:v>
      </x:c>
      <x:c r="F55" s="14" t="s">
        <x:v>53</x:v>
      </x:c>
      <x:c r="G55" s="14" t="s">
        <x:v>52</x:v>
      </x:c>
      <x:c r="H55" s="14" t="s">
        <x:v>47</x:v>
      </x:c>
      <x:c r="I55" s="15" t="s">
        <x:v>41</x:v>
      </x:c>
      <x:c r="J55" s="14" t="s">
        <x:v>44</x:v>
      </x:c>
      <x:c r="K55" s="14" t="s">
        <x:v>55</x:v>
      </x:c>
      <x:c r="L55" s="14" t="s">
        <x:v>54</x:v>
      </x:c>
      <x:c r="M55" s="14" t="s">
        <x:v>53</x:v>
      </x:c>
      <x:c r="N55" s="16" t="s">
        <x:v>52</x:v>
      </x:c>
      <x:c r="O55" s="17" t="s">
        <x:v>56</x:v>
      </x:c>
    </x:row>
    <x:row r="56" spans="1:15" ht="24.949999999999999" customHeight="1">
      <x:c r="A56" s="18">
        <x:v>1</x:v>
      </x:c>
      <x:c r="B56" s="19" t="str">
        <x:f t="array" ref="B56:B56">INDEX($B$4:$O$28,MATCH($A56,$W$4:$W$28,0),COLUMN(A$1))</x:f>
        <x:v>진 명 옥</x:v>
      </x:c>
      <x:c r="C56" s="20">
        <x:f t="array" ref="C56:C56">INDEX($B$4:$O$28,MATCH($A56,$W$4:$W$28,0),COLUMN(B$1))</x:f>
        <x:v>173</x:v>
      </x:c>
      <x:c r="D56" s="20">
        <x:f t="array" ref="D56:D56">INDEX($B$4:$O$28,MATCH($A56,$W$4:$W$28,0),COLUMN(C$1))</x:f>
        <x:v>193</x:v>
      </x:c>
      <x:c r="E56" s="20">
        <x:f t="array" ref="E56:E56">INDEX($B$4:$O$28,MATCH($A56,$W$4:$W$28,0),COLUMN(D$1))</x:f>
        <x:v>244</x:v>
      </x:c>
      <x:c r="F56" s="20">
        <x:f t="array" ref="F56:F56">INDEX($B$4:$O$28,MATCH($A56,$W$4:$W$28,0),COLUMN(E$1))</x:f>
        <x:v>183</x:v>
      </x:c>
      <x:c r="G56" s="21">
        <x:f>SUM(C56:F56)</x:f>
        <x:v>793</x:v>
      </x:c>
      <x:c r="H56" s="22">
        <x:f>G56/4</x:f>
        <x:v>198.25</x:v>
      </x:c>
      <x:c r="I56" s="23">
        <x:f>IF(B56="","",IFERROR(INDEX('회원명단 및 기준에버'!D:G,MATCH(B56,'회원명단 및 기준에버'!$C:$C,0),CHOOSE(INT((MONTH($N$2)-1)/3)+1,1,2,3,4)),""))</x:f>
        <x:v>171</x:v>
      </x:c>
      <x:c r="J56" s="5">
        <x:f>IFERROR(C56+-I56,0)</x:f>
        <x:v>2</x:v>
      </x:c>
      <x:c r="K56" s="5">
        <x:f>IFERROR(D56+-I56,0)</x:f>
        <x:v>22</x:v>
      </x:c>
      <x:c r="L56" s="5">
        <x:f>IFERROR(E56+-I56,0)</x:f>
        <x:v>73</x:v>
      </x:c>
      <x:c r="M56" s="5">
        <x:f>IFERROR(F56+-I56,0)</x:f>
        <x:v>12</x:v>
      </x:c>
      <x:c r="N56" s="6">
        <x:f>SUM(J56:M56)</x:f>
        <x:v>109</x:v>
      </x:c>
      <x:c r="O56" s="24">
        <x:f>IFERROR(H56+-I56,0)</x:f>
        <x:v>27.25</x:v>
      </x:c>
    </x:row>
    <x:row r="57" spans="1:15" ht="24.949999999999999" customHeight="1">
      <x:c r="A57" s="18">
        <x:v>2</x:v>
      </x:c>
      <x:c r="B57" s="19" t="str">
        <x:f t="array" ref="B57:B57">INDEX($B$4:$O$28,MATCH($A57,$W$4:$W$28,0),COLUMN(A$1))</x:f>
        <x:v>강 완 규</x:v>
      </x:c>
      <x:c r="C57" s="20">
        <x:f t="array" ref="C57:C57">INDEX($B$4:$O$28,MATCH($A57,$W$4:$W$28,0),COLUMN(B$1))</x:f>
        <x:v>209</x:v>
      </x:c>
      <x:c r="D57" s="20">
        <x:f t="array" ref="D57:D57">INDEX($B$4:$O$28,MATCH($A57,$W$4:$W$28,0),COLUMN(C$1))</x:f>
        <x:v>162</x:v>
      </x:c>
      <x:c r="E57" s="20">
        <x:f t="array" ref="E57:E57">INDEX($B$4:$O$28,MATCH($A57,$W$4:$W$28,0),COLUMN(D$1))</x:f>
        <x:v>245</x:v>
      </x:c>
      <x:c r="F57" s="20">
        <x:f t="array" ref="F57:F57">INDEX($B$4:$O$28,MATCH($A57,$W$4:$W$28,0),COLUMN(E$1))</x:f>
        <x:v>235</x:v>
      </x:c>
      <x:c r="G57" s="21">
        <x:f t="shared" ref="G57:G80" si="11">SUM(C57:F57)</x:f>
        <x:v>851</x:v>
      </x:c>
      <x:c r="H57" s="22">
        <x:f t="shared" ref="H57:H80" si="12">G57/4</x:f>
        <x:v>212.75</x:v>
      </x:c>
      <x:c r="I57" s="23">
        <x:f>IF(B57="","",IFERROR(INDEX('회원명단 및 기준에버'!D:G,MATCH(B57,'회원명단 및 기준에버'!$C:$C,0),CHOOSE(INT((MONTH($N$2)-1)/3)+1,1,2,3,4)),""))</x:f>
        <x:v>194</x:v>
      </x:c>
      <x:c r="J57" s="5">
        <x:f>IFERROR(C57+-I57,0)</x:f>
        <x:v>15</x:v>
      </x:c>
      <x:c r="K57" s="5">
        <x:f>IFERROR(D57+-I57,0)</x:f>
        <x:v>-32</x:v>
      </x:c>
      <x:c r="L57" s="5">
        <x:f>IFERROR(E57+-I57,0)</x:f>
        <x:v>51</x:v>
      </x:c>
      <x:c r="M57" s="5">
        <x:f t="shared" ref="M57:M80" si="13">IFERROR(F57+-I57,0)</x:f>
        <x:v>41</x:v>
      </x:c>
      <x:c r="N57" s="6">
        <x:f t="shared" ref="N57:N80" si="14">SUM(J57:M57)</x:f>
        <x:v>75</x:v>
      </x:c>
      <x:c r="O57" s="24">
        <x:f>IFERROR(H57+-I57,0)</x:f>
        <x:v>18.75</x:v>
      </x:c>
    </x:row>
    <x:row r="58" spans="1:15" ht="24.949999999999999" customHeight="1">
      <x:c r="A58" s="18">
        <x:v>3</x:v>
      </x:c>
      <x:c r="B58" s="19" t="str">
        <x:f t="array" ref="B58:B58">INDEX($B$4:$O$28,MATCH($A58,$W$4:$W$28,0),COLUMN(A$1))</x:f>
        <x:v>임 연 진</x:v>
      </x:c>
      <x:c r="C58" s="20">
        <x:f t="array" ref="C58:C58">INDEX($B$4:$O$28,MATCH($A58,$W$4:$W$28,0),COLUMN(B$1))</x:f>
        <x:v>208</x:v>
      </x:c>
      <x:c r="D58" s="20">
        <x:f t="array" ref="D58:D58">INDEX($B$4:$O$28,MATCH($A58,$W$4:$W$28,0),COLUMN(C$1))</x:f>
        <x:v>246</x:v>
      </x:c>
      <x:c r="E58" s="20">
        <x:f t="array" ref="E58:E58">INDEX($B$4:$O$28,MATCH($A58,$W$4:$W$28,0),COLUMN(D$1))</x:f>
        <x:v>154</x:v>
      </x:c>
      <x:c r="F58" s="20">
        <x:f t="array" ref="F58:F58">INDEX($B$4:$O$28,MATCH($A58,$W$4:$W$28,0),COLUMN(E$1))</x:f>
        <x:v>226</x:v>
      </x:c>
      <x:c r="G58" s="21">
        <x:f t="shared" si="11"/>
        <x:v>834</x:v>
      </x:c>
      <x:c r="H58" s="22">
        <x:f t="shared" si="12"/>
        <x:v>208.5</x:v>
      </x:c>
      <x:c r="I58" s="23">
        <x:f>IF(B58="","",IFERROR(INDEX('회원명단 및 기준에버'!D:G,MATCH(B58,'회원명단 및 기준에버'!$C:$C,0),CHOOSE(INT((MONTH($N$2)-1)/3)+1,1,2,3,4)),""))</x:f>
        <x:v>194</x:v>
      </x:c>
      <x:c r="J58" s="5">
        <x:f t="shared" ref="J58:J80" si="15">IFERROR(C58+-I58,0)</x:f>
        <x:v>14</x:v>
      </x:c>
      <x:c r="K58" s="5">
        <x:f t="shared" ref="K58:K80" si="16">IFERROR(D58+-I58,0)</x:f>
        <x:v>52</x:v>
      </x:c>
      <x:c r="L58" s="5">
        <x:f t="shared" ref="L58:L80" si="17">IFERROR(E58+-I58,0)</x:f>
        <x:v>-40</x:v>
      </x:c>
      <x:c r="M58" s="5">
        <x:f t="shared" si="13"/>
        <x:v>32</x:v>
      </x:c>
      <x:c r="N58" s="6">
        <x:f t="shared" si="14"/>
        <x:v>58</x:v>
      </x:c>
      <x:c r="O58" s="24">
        <x:f t="shared" ref="O58:O80" si="18">IFERROR(H58+-I58,0)</x:f>
        <x:v>14.5</x:v>
      </x:c>
    </x:row>
    <x:row r="59" spans="1:15" ht="24.949999999999999" customHeight="1">
      <x:c r="A59" s="18">
        <x:v>4</x:v>
      </x:c>
      <x:c r="B59" s="19" t="str">
        <x:f t="array" ref="B59:B59">INDEX($B$4:$O$28,MATCH($A59,$W$4:$W$28,0),COLUMN(A$1))</x:f>
        <x:v>이 우 석</x:v>
      </x:c>
      <x:c r="C59" s="20">
        <x:f t="array" ref="C59:C59">INDEX($B$4:$O$28,MATCH($A59,$W$4:$W$28,0),COLUMN(B$1))</x:f>
        <x:v>212</x:v>
      </x:c>
      <x:c r="D59" s="20">
        <x:f t="array" ref="D59:D59">INDEX($B$4:$O$28,MATCH($A59,$W$4:$W$28,0),COLUMN(C$1))</x:f>
        <x:v>211</x:v>
      </x:c>
      <x:c r="E59" s="20">
        <x:f t="array" ref="E59:E59">INDEX($B$4:$O$28,MATCH($A59,$W$4:$W$28,0),COLUMN(D$1))</x:f>
        <x:v>177</x:v>
      </x:c>
      <x:c r="F59" s="20">
        <x:f t="array" ref="F59:F59">INDEX($B$4:$O$28,MATCH($A59,$W$4:$W$28,0),COLUMN(E$1))</x:f>
        <x:v>245</x:v>
      </x:c>
      <x:c r="G59" s="21">
        <x:f t="shared" si="11"/>
        <x:v>845</x:v>
      </x:c>
      <x:c r="H59" s="22">
        <x:f t="shared" si="12"/>
        <x:v>211.25</x:v>
      </x:c>
      <x:c r="I59" s="23">
        <x:f>IF(B59="","",IFERROR(INDEX('회원명단 및 기준에버'!D:G,MATCH(B59,'회원명단 및 기준에버'!$C:$C,0),CHOOSE(INT((MONTH($N$2)-1)/3)+1,1,2,3,4)),""))</x:f>
        <x:v>200</x:v>
      </x:c>
      <x:c r="J59" s="5">
        <x:f t="shared" si="15"/>
        <x:v>12</x:v>
      </x:c>
      <x:c r="K59" s="5">
        <x:f t="shared" si="16"/>
        <x:v>11</x:v>
      </x:c>
      <x:c r="L59" s="5">
        <x:f t="shared" si="17"/>
        <x:v>-23</x:v>
      </x:c>
      <x:c r="M59" s="5">
        <x:f t="shared" si="13"/>
        <x:v>45</x:v>
      </x:c>
      <x:c r="N59" s="6">
        <x:f t="shared" si="14"/>
        <x:v>45</x:v>
      </x:c>
      <x:c r="O59" s="24">
        <x:f t="shared" si="18"/>
        <x:v>11.25</x:v>
      </x:c>
    </x:row>
    <x:row r="60" spans="1:15" ht="24.949999999999999" customHeight="1">
      <x:c r="A60" s="18">
        <x:v>5</x:v>
      </x:c>
      <x:c r="B60" s="19" t="str">
        <x:f t="array" ref="B60:B60">INDEX($B$4:$O$28,MATCH($A60,$W$4:$W$28,0),COLUMN(A$1))</x:f>
        <x:v>장 영 민</x:v>
      </x:c>
      <x:c r="C60" s="20">
        <x:f t="array" ref="C60:C60">INDEX($B$4:$O$28,MATCH($A60,$W$4:$W$28,0),COLUMN(B$1))</x:f>
        <x:v>200</x:v>
      </x:c>
      <x:c r="D60" s="20">
        <x:f t="array" ref="D60:D60">INDEX($B$4:$O$28,MATCH($A60,$W$4:$W$28,0),COLUMN(C$1))</x:f>
        <x:v>226</x:v>
      </x:c>
      <x:c r="E60" s="20">
        <x:f t="array" ref="E60:E60">INDEX($B$4:$O$28,MATCH($A60,$W$4:$W$28,0),COLUMN(D$1))</x:f>
        <x:v>235</x:v>
      </x:c>
      <x:c r="F60" s="20">
        <x:f t="array" ref="F60:F60">INDEX($B$4:$O$28,MATCH($A60,$W$4:$W$28,0),COLUMN(E$1))</x:f>
        <x:v>177</x:v>
      </x:c>
      <x:c r="G60" s="21">
        <x:f t="shared" si="11"/>
        <x:v>838</x:v>
      </x:c>
      <x:c r="H60" s="22">
        <x:f t="shared" si="12"/>
        <x:v>209.5</x:v>
      </x:c>
      <x:c r="I60" s="23">
        <x:f>IF(B60="","",IFERROR(INDEX('회원명단 및 기준에버'!D:G,MATCH(B60,'회원명단 및 기준에버'!$C:$C,0),CHOOSE(INT((MONTH($N$2)-1)/3)+1,1,2,3,4)),""))</x:f>
        <x:v>200</x:v>
      </x:c>
      <x:c r="J60" s="5">
        <x:f t="shared" si="15"/>
        <x:v>0</x:v>
      </x:c>
      <x:c r="K60" s="5">
        <x:f t="shared" si="16"/>
        <x:v>26</x:v>
      </x:c>
      <x:c r="L60" s="5">
        <x:f t="shared" si="17"/>
        <x:v>35</x:v>
      </x:c>
      <x:c r="M60" s="5">
        <x:f t="shared" si="13"/>
        <x:v>-23</x:v>
      </x:c>
      <x:c r="N60" s="6">
        <x:f t="shared" si="14"/>
        <x:v>38</x:v>
      </x:c>
      <x:c r="O60" s="24">
        <x:f t="shared" si="18"/>
        <x:v>9.5</x:v>
      </x:c>
    </x:row>
    <x:row r="61" spans="1:15" ht="24.949999999999999" customHeight="1">
      <x:c r="A61" s="18">
        <x:v>6</x:v>
      </x:c>
      <x:c r="B61" s="19" t="str">
        <x:f t="array" ref="B61:B61">INDEX($B$4:$O$28,MATCH($A61,$W$4:$W$28,0),COLUMN(A$1))</x:f>
        <x:v>정 영 우</x:v>
      </x:c>
      <x:c r="C61" s="20">
        <x:f t="array" ref="C61:C61">INDEX($B$4:$O$28,MATCH($A61,$W$4:$W$28,0),COLUMN(B$1))</x:f>
        <x:v>169</x:v>
      </x:c>
      <x:c r="D61" s="20">
        <x:f t="array" ref="D61:D61">INDEX($B$4:$O$28,MATCH($A61,$W$4:$W$28,0),COLUMN(C$1))</x:f>
        <x:v>203</x:v>
      </x:c>
      <x:c r="E61" s="20">
        <x:f t="array" ref="E61:E61">INDEX($B$4:$O$28,MATCH($A61,$W$4:$W$28,0),COLUMN(D$1))</x:f>
        <x:v>212</x:v>
      </x:c>
      <x:c r="F61" s="20">
        <x:f t="array" ref="F61:F61">INDEX($B$4:$O$28,MATCH($A61,$W$4:$W$28,0),COLUMN(E$1))</x:f>
        <x:v>178</x:v>
      </x:c>
      <x:c r="G61" s="21">
        <x:f t="shared" si="11"/>
        <x:v>762</x:v>
      </x:c>
      <x:c r="H61" s="22">
        <x:f t="shared" si="12"/>
        <x:v>190.5</x:v>
      </x:c>
      <x:c r="I61" s="23">
        <x:f>IF(B61="","",IFERROR(INDEX('회원명단 및 기준에버'!D:G,MATCH(B61,'회원명단 및 기준에버'!$C:$C,0),CHOOSE(INT((MONTH($N$2)-1)/3)+1,1,2,3,4)),""))</x:f>
        <x:v>184</x:v>
      </x:c>
      <x:c r="J61" s="5">
        <x:f t="shared" si="15"/>
        <x:v>-15</x:v>
      </x:c>
      <x:c r="K61" s="5">
        <x:f t="shared" si="16"/>
        <x:v>19</x:v>
      </x:c>
      <x:c r="L61" s="5">
        <x:f t="shared" si="17"/>
        <x:v>28</x:v>
      </x:c>
      <x:c r="M61" s="5">
        <x:f t="shared" si="13"/>
        <x:v>-6</x:v>
      </x:c>
      <x:c r="N61" s="6">
        <x:f t="shared" si="14"/>
        <x:v>26</x:v>
      </x:c>
      <x:c r="O61" s="24">
        <x:f t="shared" si="18"/>
        <x:v>6.5</x:v>
      </x:c>
    </x:row>
    <x:row r="62" spans="1:15" ht="24.949999999999999" customHeight="1">
      <x:c r="A62" s="18">
        <x:v>7</x:v>
      </x:c>
      <x:c r="B62" s="19" t="str">
        <x:f t="array" ref="B62:B62">INDEX($B$4:$O$28,MATCH($A62,$W$4:$W$28,0),COLUMN(A$1))</x:f>
        <x:v>이 상 현</x:v>
      </x:c>
      <x:c r="C62" s="20">
        <x:f t="array" ref="C62:C62">INDEX($B$4:$O$28,MATCH($A62,$W$4:$W$28,0),COLUMN(B$1))</x:f>
        <x:v>140</x:v>
      </x:c>
      <x:c r="D62" s="20">
        <x:f t="array" ref="D62:D62">INDEX($B$4:$O$28,MATCH($A62,$W$4:$W$28,0),COLUMN(C$1))</x:f>
        <x:v>222</x:v>
      </x:c>
      <x:c r="E62" s="20">
        <x:f t="array" ref="E62:E62">INDEX($B$4:$O$28,MATCH($A62,$W$4:$W$28,0),COLUMN(D$1))</x:f>
        <x:v>200</x:v>
      </x:c>
      <x:c r="F62" s="20">
        <x:f t="array" ref="F62:F62">INDEX($B$4:$O$28,MATCH($A62,$W$4:$W$28,0),COLUMN(E$1))</x:f>
        <x:v>206</x:v>
      </x:c>
      <x:c r="G62" s="21">
        <x:f t="shared" si="11"/>
        <x:v>768</x:v>
      </x:c>
      <x:c r="H62" s="22">
        <x:f t="shared" si="12"/>
        <x:v>192</x:v>
      </x:c>
      <x:c r="I62" s="23">
        <x:f>IF(B62="","",IFERROR(INDEX('회원명단 및 기준에버'!D:G,MATCH(B62,'회원명단 및 기준에버'!$C:$C,0),CHOOSE(INT((MONTH($N$2)-1)/3)+1,1,2,3,4)),""))</x:f>
        <x:v>188</x:v>
      </x:c>
      <x:c r="J62" s="5">
        <x:f t="shared" si="15"/>
        <x:v>-48</x:v>
      </x:c>
      <x:c r="K62" s="5">
        <x:f t="shared" si="16"/>
        <x:v>34</x:v>
      </x:c>
      <x:c r="L62" s="5">
        <x:f t="shared" si="17"/>
        <x:v>12</x:v>
      </x:c>
      <x:c r="M62" s="5">
        <x:f t="shared" si="13"/>
        <x:v>18</x:v>
      </x:c>
      <x:c r="N62" s="6">
        <x:f t="shared" si="14"/>
        <x:v>16</x:v>
      </x:c>
      <x:c r="O62" s="24">
        <x:f t="shared" si="18"/>
        <x:v>4</x:v>
      </x:c>
    </x:row>
    <x:row r="63" spans="1:15" ht="24.949999999999999" customHeight="1">
      <x:c r="A63" s="18">
        <x:v>8</x:v>
      </x:c>
      <x:c r="B63" s="19" t="str">
        <x:f t="array" ref="B63:B63">INDEX($B$4:$O$28,MATCH($A63,$W$4:$W$28,0),COLUMN(A$1))</x:f>
        <x:v>박 성 현</x:v>
      </x:c>
      <x:c r="C63" s="20">
        <x:f t="array" ref="C63:C63">INDEX($B$4:$O$28,MATCH($A63,$W$4:$W$28,0),COLUMN(B$1))</x:f>
        <x:v>215</x:v>
      </x:c>
      <x:c r="D63" s="20">
        <x:f t="array" ref="D63:D63">INDEX($B$4:$O$28,MATCH($A63,$W$4:$W$28,0),COLUMN(C$1))</x:f>
        <x:v>192</x:v>
      </x:c>
      <x:c r="E63" s="20">
        <x:f t="array" ref="E63:E63">INDEX($B$4:$O$28,MATCH($A63,$W$4:$W$28,0),COLUMN(D$1))</x:f>
        <x:v>169</x:v>
      </x:c>
      <x:c r="F63" s="20">
        <x:f t="array" ref="F63:F63">INDEX($B$4:$O$28,MATCH($A63,$W$4:$W$28,0),COLUMN(E$1))</x:f>
        <x:v>198</x:v>
      </x:c>
      <x:c r="G63" s="21">
        <x:f t="shared" si="11"/>
        <x:v>774</x:v>
      </x:c>
      <x:c r="H63" s="22">
        <x:f t="shared" si="12"/>
        <x:v>193.5</x:v>
      </x:c>
      <x:c r="I63" s="23">
        <x:f>IF(B63="","",IFERROR(INDEX('회원명단 및 기준에버'!D:G,MATCH(B63,'회원명단 및 기준에버'!$C:$C,0),CHOOSE(INT((MONTH($N$2)-1)/3)+1,1,2,3,4)),""))</x:f>
        <x:v>190</x:v>
      </x:c>
      <x:c r="J63" s="5">
        <x:f t="shared" si="15"/>
        <x:v>25</x:v>
      </x:c>
      <x:c r="K63" s="5">
        <x:f t="shared" si="16"/>
        <x:v>2</x:v>
      </x:c>
      <x:c r="L63" s="5">
        <x:f t="shared" si="17"/>
        <x:v>-21</x:v>
      </x:c>
      <x:c r="M63" s="5">
        <x:f t="shared" si="13"/>
        <x:v>8</x:v>
      </x:c>
      <x:c r="N63" s="6">
        <x:f t="shared" si="14"/>
        <x:v>14</x:v>
      </x:c>
      <x:c r="O63" s="24">
        <x:f t="shared" si="18"/>
        <x:v>3.5</x:v>
      </x:c>
    </x:row>
    <x:row r="64" spans="1:15" ht="24.949999999999999" customHeight="1">
      <x:c r="A64" s="18">
        <x:v>9</x:v>
      </x:c>
      <x:c r="B64" s="19" t="str">
        <x:f t="array" ref="B64:B64">INDEX($B$4:$O$28,MATCH($A64,$W$4:$W$28,0),COLUMN(A$1))</x:f>
        <x:v>이 승 미</x:v>
      </x:c>
      <x:c r="C64" s="20">
        <x:f t="array" ref="C64:C64">INDEX($B$4:$O$28,MATCH($A64,$W$4:$W$28,0),COLUMN(B$1))</x:f>
        <x:v>174</x:v>
      </x:c>
      <x:c r="D64" s="20">
        <x:f t="array" ref="D64:D64">INDEX($B$4:$O$28,MATCH($A64,$W$4:$W$28,0),COLUMN(C$1))</x:f>
        <x:v>148</x:v>
      </x:c>
      <x:c r="E64" s="20">
        <x:f t="array" ref="E64:E64">INDEX($B$4:$O$28,MATCH($A64,$W$4:$W$28,0),COLUMN(D$1))</x:f>
        <x:v>158</x:v>
      </x:c>
      <x:c r="F64" s="20">
        <x:f t="array" ref="F64:F64">INDEX($B$4:$O$28,MATCH($A64,$W$4:$W$28,0),COLUMN(E$1))</x:f>
        <x:v>190</x:v>
      </x:c>
      <x:c r="G64" s="21">
        <x:f t="shared" si="11"/>
        <x:v>670</x:v>
      </x:c>
      <x:c r="H64" s="22">
        <x:f t="shared" si="12"/>
        <x:v>167.5</x:v>
      </x:c>
      <x:c r="I64" s="23">
        <x:f>IF(B64="","",IFERROR(INDEX('회원명단 및 기준에버'!D:G,MATCH(B64,'회원명단 및 기준에버'!$C:$C,0),CHOOSE(INT((MONTH($N$2)-1)/3)+1,1,2,3,4)),""))</x:f>
        <x:v>165</x:v>
      </x:c>
      <x:c r="J64" s="5">
        <x:f t="shared" si="15"/>
        <x:v>9</x:v>
      </x:c>
      <x:c r="K64" s="5">
        <x:f t="shared" si="16"/>
        <x:v>-17</x:v>
      </x:c>
      <x:c r="L64" s="5">
        <x:f t="shared" si="17"/>
        <x:v>-7</x:v>
      </x:c>
      <x:c r="M64" s="5">
        <x:f t="shared" si="13"/>
        <x:v>25</x:v>
      </x:c>
      <x:c r="N64" s="6">
        <x:f t="shared" si="14"/>
        <x:v>10</x:v>
      </x:c>
      <x:c r="O64" s="24">
        <x:f t="shared" si="18"/>
        <x:v>2.5</x:v>
      </x:c>
    </x:row>
    <x:row r="65" spans="1:15" ht="24.949999999999999" customHeight="1">
      <x:c r="A65" s="18">
        <x:v>10</x:v>
      </x:c>
      <x:c r="B65" s="19" t="str">
        <x:f t="array" ref="B65:B65">INDEX($B$4:$O$28,MATCH($A65,$W$4:$W$28,0),COLUMN(A$1))</x:f>
        <x:v>최    진</x:v>
      </x:c>
      <x:c r="C65" s="20">
        <x:f t="array" ref="C65:C65">INDEX($B$4:$O$28,MATCH($A65,$W$4:$W$28,0),COLUMN(B$1))</x:f>
        <x:v>160</x:v>
      </x:c>
      <x:c r="D65" s="20">
        <x:f t="array" ref="D65:D65">INDEX($B$4:$O$28,MATCH($A65,$W$4:$W$28,0),COLUMN(C$1))</x:f>
        <x:v>214</x:v>
      </x:c>
      <x:c r="E65" s="20">
        <x:f t="array" ref="E65:E65">INDEX($B$4:$O$28,MATCH($A65,$W$4:$W$28,0),COLUMN(D$1))</x:f>
        <x:v>149</x:v>
      </x:c>
      <x:c r="F65" s="20">
        <x:f t="array" ref="F65:F65">INDEX($B$4:$O$28,MATCH($A65,$W$4:$W$28,0),COLUMN(E$1))</x:f>
        <x:v>188</x:v>
      </x:c>
      <x:c r="G65" s="21">
        <x:f t="shared" si="11"/>
        <x:v>711</x:v>
      </x:c>
      <x:c r="H65" s="22">
        <x:f t="shared" si="12"/>
        <x:v>177.75</x:v>
      </x:c>
      <x:c r="I65" s="23" t="str">
        <x:f>IF(B65="","",IFERROR(INDEX('회원명단 및 기준에버'!D:G,MATCH(B65,'회원명단 및 기준에버'!$C:$C,0),CHOOSE(INT((MONTH($N$2)-1)/3)+1,1,2,3,4)),""))</x:f>
        <x:v/>
      </x:c>
      <x:c r="J65" s="5">
        <x:f t="shared" si="15"/>
        <x:v>0</x:v>
      </x:c>
      <x:c r="K65" s="5">
        <x:f t="shared" si="16"/>
        <x:v>0</x:v>
      </x:c>
      <x:c r="L65" s="5">
        <x:f t="shared" si="17"/>
        <x:v>0</x:v>
      </x:c>
      <x:c r="M65" s="5">
        <x:f t="shared" si="13"/>
        <x:v>0</x:v>
      </x:c>
      <x:c r="N65" s="6">
        <x:f t="shared" si="14"/>
        <x:v>0</x:v>
      </x:c>
      <x:c r="O65" s="24">
        <x:f t="shared" si="18"/>
        <x:v>0</x:v>
      </x:c>
    </x:row>
    <x:row r="66" spans="1:15" ht="24.949999999999999" customHeight="1">
      <x:c r="A66" s="18">
        <x:v>11</x:v>
      </x:c>
      <x:c r="B66" s="19" t="str">
        <x:f t="array" ref="B66:B66">INDEX($B$4:$O$28,MATCH($A66,$W$4:$W$28,0),COLUMN(A$1))</x:f>
        <x:v>이 재 용</x:v>
      </x:c>
      <x:c r="C66" s="20">
        <x:f t="array" ref="C66:C66">INDEX($B$4:$O$28,MATCH($A66,$W$4:$W$28,0),COLUMN(B$1))</x:f>
        <x:v>177</x:v>
      </x:c>
      <x:c r="D66" s="20">
        <x:f t="array" ref="D66:D66">INDEX($B$4:$O$28,MATCH($A66,$W$4:$W$28,0),COLUMN(C$1))</x:f>
        <x:v>211</x:v>
      </x:c>
      <x:c r="E66" s="20">
        <x:f t="array" ref="E66:E66">INDEX($B$4:$O$28,MATCH($A66,$W$4:$W$28,0),COLUMN(D$1))</x:f>
        <x:v>159</x:v>
      </x:c>
      <x:c r="F66" s="20">
        <x:f t="array" ref="F66:F66">INDEX($B$4:$O$28,MATCH($A66,$W$4:$W$28,0),COLUMN(E$1))</x:f>
        <x:v>190</x:v>
      </x:c>
      <x:c r="G66" s="21">
        <x:f t="shared" si="11"/>
        <x:v>737</x:v>
      </x:c>
      <x:c r="H66" s="22">
        <x:f t="shared" si="12"/>
        <x:v>184.25</x:v>
      </x:c>
      <x:c r="I66" s="23"/>
      <x:c r="J66" s="5">
        <x:v>0</x:v>
      </x:c>
      <x:c r="K66" s="5">
        <x:v>0</x:v>
      </x:c>
      <x:c r="L66" s="5">
        <x:v>0</x:v>
      </x:c>
      <x:c r="M66" s="5">
        <x:v>0</x:v>
      </x:c>
      <x:c r="N66" s="6">
        <x:v>0</x:v>
      </x:c>
      <x:c r="O66" s="24">
        <x:v>0</x:v>
      </x:c>
    </x:row>
    <x:row r="67" spans="1:15" ht="24.949999999999999" customHeight="1">
      <x:c r="A67" s="18">
        <x:v>12</x:v>
      </x:c>
      <x:c r="B67" s="19" t="str">
        <x:f t="array" ref="B67:B67">INDEX($B$4:$O$28,MATCH($A67,$W$4:$W$28,0),COLUMN(A$1))</x:f>
        <x:v>김 태 환</x:v>
      </x:c>
      <x:c r="C67" s="20">
        <x:f t="array" ref="C67:C67">INDEX($B$4:$O$28,MATCH($A67,$W$4:$W$28,0),COLUMN(B$1))</x:f>
        <x:v>202</x:v>
      </x:c>
      <x:c r="D67" s="20">
        <x:f t="array" ref="D67:D67">INDEX($B$4:$O$28,MATCH($A67,$W$4:$W$28,0),COLUMN(C$1))</x:f>
        <x:v>167</x:v>
      </x:c>
      <x:c r="E67" s="20">
        <x:f t="array" ref="E67:E67">INDEX($B$4:$O$28,MATCH($A67,$W$4:$W$28,0),COLUMN(D$1))</x:f>
        <x:v>191</x:v>
      </x:c>
      <x:c r="F67" s="20">
        <x:f t="array" ref="F67:F67">INDEX($B$4:$O$28,MATCH($A67,$W$4:$W$28,0),COLUMN(E$1))</x:f>
        <x:v>180</x:v>
      </x:c>
      <x:c r="G67" s="21">
        <x:f t="shared" si="11"/>
        <x:v>740</x:v>
      </x:c>
      <x:c r="H67" s="22">
        <x:f t="shared" si="12"/>
        <x:v>185</x:v>
      </x:c>
      <x:c r="I67" s="23"/>
      <x:c r="J67" s="5">
        <x:v>0</x:v>
      </x:c>
      <x:c r="K67" s="5">
        <x:v>0</x:v>
      </x:c>
      <x:c r="L67" s="5">
        <x:v>0</x:v>
      </x:c>
      <x:c r="M67" s="5">
        <x:v>0</x:v>
      </x:c>
      <x:c r="N67" s="6">
        <x:v>0</x:v>
      </x:c>
      <x:c r="O67" s="24">
        <x:v>0</x:v>
      </x:c>
    </x:row>
    <x:row r="68" spans="1:15" ht="24.949999999999999" customHeight="1">
      <x:c r="A68" s="18">
        <x:v>13</x:v>
      </x:c>
      <x:c r="B68" s="19" t="str">
        <x:f t="array" ref="B68:B68">INDEX($B$4:$O$28,MATCH($A68,$W$4:$W$28,0),COLUMN(A$1))</x:f>
        <x:v>김 정 희</x:v>
      </x:c>
      <x:c r="C68" s="20">
        <x:f t="array" ref="C68:C68">INDEX($B$4:$O$28,MATCH($A68,$W$4:$W$28,0),COLUMN(B$1))</x:f>
        <x:v>159</x:v>
      </x:c>
      <x:c r="D68" s="20">
        <x:f t="array" ref="D68:D68">INDEX($B$4:$O$28,MATCH($A68,$W$4:$W$28,0),COLUMN(C$1))</x:f>
        <x:v>158</x:v>
      </x:c>
      <x:c r="E68" s="20">
        <x:f t="array" ref="E68:E68">INDEX($B$4:$O$28,MATCH($A68,$W$4:$W$28,0),COLUMN(D$1))</x:f>
        <x:v>166</x:v>
      </x:c>
      <x:c r="F68" s="20">
        <x:f t="array" ref="F68:F68">INDEX($B$4:$O$28,MATCH($A68,$W$4:$W$28,0),COLUMN(E$1))</x:f>
        <x:v>170</x:v>
      </x:c>
      <x:c r="G68" s="21">
        <x:f t="shared" si="11"/>
        <x:v>653</x:v>
      </x:c>
      <x:c r="H68" s="22">
        <x:f t="shared" si="12"/>
        <x:v>163.25</x:v>
      </x:c>
      <x:c r="I68" s="23"/>
      <x:c r="J68" s="5">
        <x:v>0</x:v>
      </x:c>
      <x:c r="K68" s="5">
        <x:v>0</x:v>
      </x:c>
      <x:c r="L68" s="5">
        <x:v>0</x:v>
      </x:c>
      <x:c r="M68" s="5">
        <x:v>0</x:v>
      </x:c>
      <x:c r="N68" s="6">
        <x:v>0</x:v>
      </x:c>
      <x:c r="O68" s="24">
        <x:v>0</x:v>
      </x:c>
    </x:row>
    <x:row r="69" spans="1:15" ht="24.949999999999999" customHeight="1">
      <x:c r="A69" s="18">
        <x:v>14</x:v>
      </x:c>
      <x:c r="B69" s="19">
        <x:f t="array" ref="B69:B69">INDEX($B$4:$O$28,MATCH($A69,$W$4:$W$28,0),COLUMN(A$1))</x:f>
        <x:v>0</x:v>
      </x:c>
      <x:c r="C69" s="20">
        <x:f t="array" ref="C69:C69">INDEX($B$4:$O$28,MATCH($A69,$W$4:$W$28,0),COLUMN(B$1))</x:f>
        <x:v>0</x:v>
      </x:c>
      <x:c r="D69" s="20">
        <x:f t="array" ref="D69:D69">INDEX($B$4:$O$28,MATCH($A69,$W$4:$W$28,0),COLUMN(C$1))</x:f>
        <x:v>0</x:v>
      </x:c>
      <x:c r="E69" s="20">
        <x:f t="array" ref="E69:E69">INDEX($B$4:$O$28,MATCH($A69,$W$4:$W$28,0),COLUMN(D$1))</x:f>
        <x:v>0</x:v>
      </x:c>
      <x:c r="F69" s="20">
        <x:f t="array" ref="F69:F69">INDEX($B$4:$O$28,MATCH($A69,$W$4:$W$28,0),COLUMN(E$1))</x:f>
        <x:v>0</x:v>
      </x:c>
      <x:c r="G69" s="21">
        <x:f t="shared" si="11"/>
        <x:v>0</x:v>
      </x:c>
      <x:c r="H69" s="22">
        <x:f t="shared" si="12"/>
        <x:v>0</x:v>
      </x:c>
      <x:c r="I69" s="23" t="str">
        <x:f>IF(B69="","",IFERROR(INDEX('회원명단 및 기준에버'!D:G,MATCH(B69,'회원명단 및 기준에버'!$C:$C,0),CHOOSE(INT((MONTH($N$2)-1)/3)+1,1,2,3,4)),""))</x:f>
        <x:v/>
      </x:c>
      <x:c r="J69" s="5">
        <x:f t="shared" si="15"/>
        <x:v>0</x:v>
      </x:c>
      <x:c r="K69" s="5">
        <x:f t="shared" si="16"/>
        <x:v>0</x:v>
      </x:c>
      <x:c r="L69" s="5">
        <x:f t="shared" si="17"/>
        <x:v>0</x:v>
      </x:c>
      <x:c r="M69" s="5">
        <x:f t="shared" si="13"/>
        <x:v>0</x:v>
      </x:c>
      <x:c r="N69" s="6">
        <x:f t="shared" si="14"/>
        <x:v>0</x:v>
      </x:c>
      <x:c r="O69" s="24">
        <x:f t="shared" si="18"/>
        <x:v>0</x:v>
      </x:c>
    </x:row>
    <x:row r="70" spans="1:15" ht="24.949999999999999" customHeight="1">
      <x:c r="A70" s="18">
        <x:v>15</x:v>
      </x:c>
      <x:c r="B70" s="19">
        <x:f t="array" ref="B70:B70">INDEX($B$4:$O$28,MATCH($A70,$W$4:$W$28,0),COLUMN(A$1))</x:f>
        <x:v>0</x:v>
      </x:c>
      <x:c r="C70" s="20">
        <x:f t="array" ref="C70:C70">INDEX($B$4:$O$28,MATCH($A70,$W$4:$W$28,0),COLUMN(B$1))</x:f>
        <x:v>0</x:v>
      </x:c>
      <x:c r="D70" s="20">
        <x:f t="array" ref="D70:D70">INDEX($B$4:$O$28,MATCH($A70,$W$4:$W$28,0),COLUMN(C$1))</x:f>
        <x:v>0</x:v>
      </x:c>
      <x:c r="E70" s="20">
        <x:f t="array" ref="E70:E70">INDEX($B$4:$O$28,MATCH($A70,$W$4:$W$28,0),COLUMN(D$1))</x:f>
        <x:v>0</x:v>
      </x:c>
      <x:c r="F70" s="20">
        <x:f t="array" ref="F70:F70">INDEX($B$4:$O$28,MATCH($A70,$W$4:$W$28,0),COLUMN(E$1))</x:f>
        <x:v>0</x:v>
      </x:c>
      <x:c r="G70" s="21">
        <x:f t="shared" si="11"/>
        <x:v>0</x:v>
      </x:c>
      <x:c r="H70" s="22">
        <x:f t="shared" si="12"/>
        <x:v>0</x:v>
      </x:c>
      <x:c r="I70" s="23" t="str">
        <x:f>IF(B70="","",IFERROR(INDEX('회원명단 및 기준에버'!D:G,MATCH(B70,'회원명단 및 기준에버'!$C:$C,0),CHOOSE(INT((MONTH($N$2)-1)/3)+1,1,2,3,4)),""))</x:f>
        <x:v/>
      </x:c>
      <x:c r="J70" s="5">
        <x:f t="shared" si="15"/>
        <x:v>0</x:v>
      </x:c>
      <x:c r="K70" s="5">
        <x:f t="shared" si="16"/>
        <x:v>0</x:v>
      </x:c>
      <x:c r="L70" s="5">
        <x:f t="shared" si="17"/>
        <x:v>0</x:v>
      </x:c>
      <x:c r="M70" s="5">
        <x:f t="shared" si="13"/>
        <x:v>0</x:v>
      </x:c>
      <x:c r="N70" s="6">
        <x:f t="shared" si="14"/>
        <x:v>0</x:v>
      </x:c>
      <x:c r="O70" s="24">
        <x:f t="shared" si="18"/>
        <x:v>0</x:v>
      </x:c>
    </x:row>
    <x:row r="71" spans="1:15" ht="24.949999999999999" customHeight="1">
      <x:c r="A71" s="18">
        <x:v>16</x:v>
      </x:c>
      <x:c r="B71" s="19" t="str">
        <x:f t="array" ref="B71:B71">INDEX($B$4:$O$28,MATCH($A71,$W$4:$W$28,0),COLUMN(A$1))</x:f>
        <x:v>엄 정 도</x:v>
      </x:c>
      <x:c r="C71" s="20">
        <x:f t="array" ref="C71:C71">INDEX($B$4:$O$28,MATCH($A71,$W$4:$W$28,0),COLUMN(B$1))</x:f>
        <x:v>167</x:v>
      </x:c>
      <x:c r="D71" s="20">
        <x:f t="array" ref="D71:D71">INDEX($B$4:$O$28,MATCH($A71,$W$4:$W$28,0),COLUMN(C$1))</x:f>
        <x:v>179</x:v>
      </x:c>
      <x:c r="E71" s="20">
        <x:f t="array" ref="E71:E71">INDEX($B$4:$O$28,MATCH($A71,$W$4:$W$28,0),COLUMN(D$1))</x:f>
        <x:v>170</x:v>
      </x:c>
      <x:c r="F71" s="20">
        <x:f t="array" ref="F71:F71">INDEX($B$4:$O$28,MATCH($A71,$W$4:$W$28,0),COLUMN(E$1))</x:f>
        <x:v>218</x:v>
      </x:c>
      <x:c r="G71" s="21">
        <x:f t="shared" si="11"/>
        <x:v>734</x:v>
      </x:c>
      <x:c r="H71" s="22">
        <x:f t="shared" si="12"/>
        <x:v>183.5</x:v>
      </x:c>
      <x:c r="I71" s="23">
        <x:f>IF(B71="","",IFERROR(INDEX('회원명단 및 기준에버'!D:G,MATCH(B71,'회원명단 및 기준에버'!$C:$C,0),CHOOSE(INT((MONTH($N$2)-1)/3)+1,1,2,3,4)),""))</x:f>
        <x:v>184</x:v>
      </x:c>
      <x:c r="J71" s="5">
        <x:f t="shared" si="15"/>
        <x:v>-17</x:v>
      </x:c>
      <x:c r="K71" s="5">
        <x:f t="shared" si="16"/>
        <x:v>-5</x:v>
      </x:c>
      <x:c r="L71" s="5">
        <x:f t="shared" si="17"/>
        <x:v>-14</x:v>
      </x:c>
      <x:c r="M71" s="5">
        <x:f t="shared" si="13"/>
        <x:v>34</x:v>
      </x:c>
      <x:c r="N71" s="6">
        <x:f t="shared" si="14"/>
        <x:v>-2</x:v>
      </x:c>
      <x:c r="O71" s="24">
        <x:f t="shared" si="18"/>
        <x:v>-0.5</x:v>
      </x:c>
    </x:row>
    <x:row r="72" spans="1:15" ht="24.949999999999999" customHeight="1">
      <x:c r="A72" s="18">
        <x:v>17</x:v>
      </x:c>
      <x:c r="B72" s="19" t="str">
        <x:f t="array" ref="B72:B72">INDEX($B$4:$O$28,MATCH($A72,$W$4:$W$28,0),COLUMN(A$1))</x:f>
        <x:v>이 대 용</x:v>
      </x:c>
      <x:c r="C72" s="20">
        <x:f t="array" ref="C72:C72">INDEX($B$4:$O$28,MATCH($A72,$W$4:$W$28,0),COLUMN(B$1))</x:f>
        <x:v>204</x:v>
      </x:c>
      <x:c r="D72" s="20">
        <x:f t="array" ref="D72:D72">INDEX($B$4:$O$28,MATCH($A72,$W$4:$W$28,0),COLUMN(C$1))</x:f>
        <x:v>187</x:v>
      </x:c>
      <x:c r="E72" s="20">
        <x:f t="array" ref="E72:E72">INDEX($B$4:$O$28,MATCH($A72,$W$4:$W$28,0),COLUMN(D$1))</x:f>
        <x:v>216</x:v>
      </x:c>
      <x:c r="F72" s="20">
        <x:f t="array" ref="F72:F72">INDEX($B$4:$O$28,MATCH($A72,$W$4:$W$28,0),COLUMN(E$1))</x:f>
        <x:v>189</x:v>
      </x:c>
      <x:c r="G72" s="21">
        <x:f t="shared" si="11"/>
        <x:v>796</x:v>
      </x:c>
      <x:c r="H72" s="22">
        <x:f t="shared" si="12"/>
        <x:v>199</x:v>
      </x:c>
      <x:c r="I72" s="23">
        <x:f>IF(B72="","",IFERROR(INDEX('회원명단 및 기준에버'!D:G,MATCH(B72,'회원명단 및 기준에버'!$C:$C,0),CHOOSE(INT((MONTH($N$2)-1)/3)+1,1,2,3,4)),""))</x:f>
        <x:v>200</x:v>
      </x:c>
      <x:c r="J72" s="5">
        <x:f t="shared" si="15"/>
        <x:v>4</x:v>
      </x:c>
      <x:c r="K72" s="5">
        <x:f t="shared" si="16"/>
        <x:v>-13</x:v>
      </x:c>
      <x:c r="L72" s="5">
        <x:f t="shared" si="17"/>
        <x:v>16</x:v>
      </x:c>
      <x:c r="M72" s="5">
        <x:f t="shared" si="13"/>
        <x:v>-11</x:v>
      </x:c>
      <x:c r="N72" s="6">
        <x:f t="shared" si="14"/>
        <x:v>-4</x:v>
      </x:c>
      <x:c r="O72" s="24">
        <x:f t="shared" si="18"/>
        <x:v>-1</x:v>
      </x:c>
    </x:row>
    <x:row r="73" spans="1:15" ht="24.949999999999999" customHeight="1">
      <x:c r="A73" s="18">
        <x:v>18</x:v>
      </x:c>
      <x:c r="B73" s="19" t="str">
        <x:f t="array" ref="B73:B73">INDEX($B$4:$O$28,MATCH($A73,$W$4:$W$28,0),COLUMN(A$1))</x:f>
        <x:v>김 미 란</x:v>
      </x:c>
      <x:c r="C73" s="20">
        <x:f t="array" ref="C73:C73">INDEX($B$4:$O$28,MATCH($A73,$W$4:$W$28,0),COLUMN(B$1))</x:f>
        <x:v>172</x:v>
      </x:c>
      <x:c r="D73" s="20">
        <x:f t="array" ref="D73:D73">INDEX($B$4:$O$28,MATCH($A73,$W$4:$W$28,0),COLUMN(C$1))</x:f>
        <x:v>180</x:v>
      </x:c>
      <x:c r="E73" s="20">
        <x:f t="array" ref="E73:E73">INDEX($B$4:$O$28,MATCH($A73,$W$4:$W$28,0),COLUMN(D$1))</x:f>
        <x:v>176</x:v>
      </x:c>
      <x:c r="F73" s="20">
        <x:f t="array" ref="F73:F73">INDEX($B$4:$O$28,MATCH($A73,$W$4:$W$28,0),COLUMN(E$1))</x:f>
        <x:v>195</x:v>
      </x:c>
      <x:c r="G73" s="21">
        <x:f t="shared" si="11"/>
        <x:v>723</x:v>
      </x:c>
      <x:c r="H73" s="22">
        <x:f t="shared" si="12"/>
        <x:v>180.75</x:v>
      </x:c>
      <x:c r="I73" s="23">
        <x:f>IF(B73="","",IFERROR(INDEX('회원명단 및 기준에버'!D:G,MATCH(B73,'회원명단 및 기준에버'!$C:$C,0),CHOOSE(INT((MONTH($N$2)-1)/3)+1,1,2,3,4)),""))</x:f>
        <x:v>182</x:v>
      </x:c>
      <x:c r="J73" s="5">
        <x:f t="shared" si="15"/>
        <x:v>-10</x:v>
      </x:c>
      <x:c r="K73" s="5">
        <x:f t="shared" si="16"/>
        <x:v>-2</x:v>
      </x:c>
      <x:c r="L73" s="5">
        <x:f t="shared" si="17"/>
        <x:v>-6</x:v>
      </x:c>
      <x:c r="M73" s="5">
        <x:f t="shared" si="13"/>
        <x:v>13</x:v>
      </x:c>
      <x:c r="N73" s="6">
        <x:f t="shared" si="14"/>
        <x:v>-5</x:v>
      </x:c>
      <x:c r="O73" s="24">
        <x:f t="shared" si="18"/>
        <x:v>-1.25</x:v>
      </x:c>
    </x:row>
    <x:row r="74" spans="1:15" ht="24.949999999999999" customHeight="1">
      <x:c r="A74" s="18">
        <x:v>19</x:v>
      </x:c>
      <x:c r="B74" s="19" t="str">
        <x:f t="array" ref="B74:B74">INDEX($B$4:$O$28,MATCH($A74,$W$4:$W$28,0),COLUMN(A$1))</x:f>
        <x:v>지 옥 명</x:v>
      </x:c>
      <x:c r="C74" s="20">
        <x:f t="array" ref="C74:C74">INDEX($B$4:$O$28,MATCH($A74,$W$4:$W$28,0),COLUMN(B$1))</x:f>
        <x:v>148</x:v>
      </x:c>
      <x:c r="D74" s="20">
        <x:f t="array" ref="D74:D74">INDEX($B$4:$O$28,MATCH($A74,$W$4:$W$28,0),COLUMN(C$1))</x:f>
        <x:v>177</x:v>
      </x:c>
      <x:c r="E74" s="20">
        <x:f t="array" ref="E74:E74">INDEX($B$4:$O$28,MATCH($A74,$W$4:$W$28,0),COLUMN(D$1))</x:f>
        <x:v>151</x:v>
      </x:c>
      <x:c r="F74" s="20">
        <x:f t="array" ref="F74:F74">INDEX($B$4:$O$28,MATCH($A74,$W$4:$W$28,0),COLUMN(E$1))</x:f>
        <x:v>246</x:v>
      </x:c>
      <x:c r="G74" s="21">
        <x:f t="shared" si="11"/>
        <x:v>722</x:v>
      </x:c>
      <x:c r="H74" s="22">
        <x:f t="shared" si="12"/>
        <x:v>180.5</x:v>
      </x:c>
      <x:c r="I74" s="23">
        <x:f>IF(B74="","",IFERROR(INDEX('회원명단 및 기준에버'!D:G,MATCH(B74,'회원명단 및 기준에버'!$C:$C,0),CHOOSE(INT((MONTH($N$2)-1)/3)+1,1,2,3,4)),""))</x:f>
        <x:v>183</x:v>
      </x:c>
      <x:c r="J74" s="5">
        <x:f t="shared" si="15"/>
        <x:v>-35</x:v>
      </x:c>
      <x:c r="K74" s="5">
        <x:f t="shared" si="16"/>
        <x:v>-6</x:v>
      </x:c>
      <x:c r="L74" s="5">
        <x:f t="shared" si="17"/>
        <x:v>-32</x:v>
      </x:c>
      <x:c r="M74" s="5">
        <x:f t="shared" si="13"/>
        <x:v>63</x:v>
      </x:c>
      <x:c r="N74" s="6">
        <x:f t="shared" si="14"/>
        <x:v>-10</x:v>
      </x:c>
      <x:c r="O74" s="24">
        <x:f t="shared" si="18"/>
        <x:v>-2.5</x:v>
      </x:c>
    </x:row>
    <x:row r="75" spans="1:15" ht="24.949999999999999" customHeight="1">
      <x:c r="A75" s="18">
        <x:v>20</x:v>
      </x:c>
      <x:c r="B75" s="19" t="str">
        <x:f t="array" ref="B75:B75">INDEX($B$4:$O$28,MATCH($A75,$W$4:$W$28,0),COLUMN(A$1))</x:f>
        <x:v>이 정 석</x:v>
      </x:c>
      <x:c r="C75" s="20">
        <x:f t="array" ref="C75:C75">INDEX($B$4:$O$28,MATCH($A75,$W$4:$W$28,0),COLUMN(B$1))</x:f>
        <x:v>200</x:v>
      </x:c>
      <x:c r="D75" s="20">
        <x:f t="array" ref="D75:D75">INDEX($B$4:$O$28,MATCH($A75,$W$4:$W$28,0),COLUMN(C$1))</x:f>
        <x:v>172</x:v>
      </x:c>
      <x:c r="E75" s="20">
        <x:f t="array" ref="E75:E75">INDEX($B$4:$O$28,MATCH($A75,$W$4:$W$28,0),COLUMN(D$1))</x:f>
        <x:v>204</x:v>
      </x:c>
      <x:c r="F75" s="20">
        <x:f t="array" ref="F75:F75">INDEX($B$4:$O$28,MATCH($A75,$W$4:$W$28,0),COLUMN(E$1))</x:f>
        <x:v>194</x:v>
      </x:c>
      <x:c r="G75" s="21">
        <x:f t="shared" si="11"/>
        <x:v>770</x:v>
      </x:c>
      <x:c r="H75" s="22">
        <x:f t="shared" si="12"/>
        <x:v>192.5</x:v>
      </x:c>
      <x:c r="I75" s="23">
        <x:f>IF(B75="","",IFERROR(INDEX('회원명단 및 기준에버'!D:G,MATCH(B75,'회원명단 및 기준에버'!$C:$C,0),CHOOSE(INT((MONTH($N$2)-1)/3)+1,1,2,3,4)),""))</x:f>
        <x:v>196</x:v>
      </x:c>
      <x:c r="J75" s="5">
        <x:f t="shared" si="15"/>
        <x:v>4</x:v>
      </x:c>
      <x:c r="K75" s="5">
        <x:f t="shared" si="16"/>
        <x:v>-24</x:v>
      </x:c>
      <x:c r="L75" s="5">
        <x:f t="shared" si="17"/>
        <x:v>8</x:v>
      </x:c>
      <x:c r="M75" s="5">
        <x:f t="shared" si="13"/>
        <x:v>-2</x:v>
      </x:c>
      <x:c r="N75" s="6">
        <x:f t="shared" si="14"/>
        <x:v>-14</x:v>
      </x:c>
      <x:c r="O75" s="24">
        <x:f t="shared" si="18"/>
        <x:v>-3.5</x:v>
      </x:c>
    </x:row>
    <x:row r="76" spans="1:15" ht="24.949999999999999" customHeight="1">
      <x:c r="A76" s="18">
        <x:v>21</x:v>
      </x:c>
      <x:c r="B76" s="19" t="str">
        <x:f t="array" ref="B76:B76">INDEX($B$4:$O$28,MATCH($A76,$W$4:$W$28,0),COLUMN(A$1))</x:f>
        <x:v>변 상 필</x:v>
      </x:c>
      <x:c r="C76" s="20">
        <x:f t="array" ref="C76:C76">INDEX($B$4:$O$28,MATCH($A76,$W$4:$W$28,0),COLUMN(B$1))</x:f>
        <x:v>180</x:v>
      </x:c>
      <x:c r="D76" s="20">
        <x:f t="array" ref="D76:D76">INDEX($B$4:$O$28,MATCH($A76,$W$4:$W$28,0),COLUMN(C$1))</x:f>
        <x:v>150</x:v>
      </x:c>
      <x:c r="E76" s="20">
        <x:f t="array" ref="E76:E76">INDEX($B$4:$O$28,MATCH($A76,$W$4:$W$28,0),COLUMN(D$1))</x:f>
        <x:v>195</x:v>
      </x:c>
      <x:c r="F76" s="20">
        <x:f t="array" ref="F76:F76">INDEX($B$4:$O$28,MATCH($A76,$W$4:$W$28,0),COLUMN(E$1))</x:f>
        <x:v>246</x:v>
      </x:c>
      <x:c r="G76" s="21">
        <x:f t="shared" si="11"/>
        <x:v>771</x:v>
      </x:c>
      <x:c r="H76" s="22">
        <x:f t="shared" si="12"/>
        <x:v>192.75</x:v>
      </x:c>
      <x:c r="I76" s="23">
        <x:f>IF(B76="","",IFERROR(INDEX('회원명단 및 기준에버'!D:G,MATCH(B76,'회원명단 및 기준에버'!$C:$C,0),CHOOSE(INT((MONTH($N$2)-1)/3)+1,1,2,3,4)),""))</x:f>
        <x:v>200</x:v>
      </x:c>
      <x:c r="J76" s="5">
        <x:f t="shared" si="15"/>
        <x:v>-20</x:v>
      </x:c>
      <x:c r="K76" s="5">
        <x:f t="shared" si="16"/>
        <x:v>-50</x:v>
      </x:c>
      <x:c r="L76" s="5">
        <x:f t="shared" si="17"/>
        <x:v>-5</x:v>
      </x:c>
      <x:c r="M76" s="5">
        <x:f t="shared" si="13"/>
        <x:v>46</x:v>
      </x:c>
      <x:c r="N76" s="6">
        <x:f t="shared" si="14"/>
        <x:v>-29</x:v>
      </x:c>
      <x:c r="O76" s="24">
        <x:f t="shared" si="18"/>
        <x:v>-7.25</x:v>
      </x:c>
    </x:row>
    <x:row r="77" spans="1:15" ht="24.949999999999999" customHeight="1">
      <x:c r="A77" s="18">
        <x:v>22</x:v>
      </x:c>
      <x:c r="B77" s="19" t="str">
        <x:f t="array" ref="B77:B77">INDEX($B$4:$O$28,MATCH($A77,$W$4:$W$28,0),COLUMN(A$1))</x:f>
        <x:v>황 인 교</x:v>
      </x:c>
      <x:c r="C77" s="20">
        <x:f t="array" ref="C77:C77">INDEX($B$4:$O$28,MATCH($A77,$W$4:$W$28,0),COLUMN(B$1))</x:f>
        <x:v>165</x:v>
      </x:c>
      <x:c r="D77" s="20">
        <x:f t="array" ref="D77:D77">INDEX($B$4:$O$28,MATCH($A77,$W$4:$W$28,0),COLUMN(C$1))</x:f>
        <x:v>185</x:v>
      </x:c>
      <x:c r="E77" s="20">
        <x:f t="array" ref="E77:E77">INDEX($B$4:$O$28,MATCH($A77,$W$4:$W$28,0),COLUMN(D$1))</x:f>
        <x:v>182</x:v>
      </x:c>
      <x:c r="F77" s="20">
        <x:f t="array" ref="F77:F77">INDEX($B$4:$O$28,MATCH($A77,$W$4:$W$28,0),COLUMN(E$1))</x:f>
        <x:v>155</x:v>
      </x:c>
      <x:c r="G77" s="21">
        <x:f t="shared" si="11"/>
        <x:v>687</x:v>
      </x:c>
      <x:c r="H77" s="22">
        <x:f t="shared" si="12"/>
        <x:v>171.75</x:v>
      </x:c>
      <x:c r="I77" s="23">
        <x:f>IF(B77="","",IFERROR(INDEX('회원명단 및 기준에버'!D:G,MATCH(B77,'회원명단 및 기준에버'!$C:$C,0),CHOOSE(INT((MONTH($N$2)-1)/3)+1,1,2,3,4)),""))</x:f>
        <x:v>184</x:v>
      </x:c>
      <x:c r="J77" s="5">
        <x:f t="shared" si="15"/>
        <x:v>-19</x:v>
      </x:c>
      <x:c r="K77" s="5">
        <x:f t="shared" si="16"/>
        <x:v>1</x:v>
      </x:c>
      <x:c r="L77" s="5">
        <x:f t="shared" si="17"/>
        <x:v>-2</x:v>
      </x:c>
      <x:c r="M77" s="5">
        <x:f t="shared" si="13"/>
        <x:v>-29</x:v>
      </x:c>
      <x:c r="N77" s="6">
        <x:f t="shared" si="14"/>
        <x:v>-49</x:v>
      </x:c>
      <x:c r="O77" s="24">
        <x:f t="shared" si="18"/>
        <x:v>-12.25</x:v>
      </x:c>
    </x:row>
    <x:row r="78" spans="1:15" ht="24.949999999999999" customHeight="1">
      <x:c r="A78" s="18">
        <x:v>23</x:v>
      </x:c>
      <x:c r="B78" s="19" t="str">
        <x:f t="array" ref="B78:B78">INDEX($B$4:$O$28,MATCH($A78,$W$4:$W$28,0),COLUMN(A$1))</x:f>
        <x:v>나 경 주</x:v>
      </x:c>
      <x:c r="C78" s="20">
        <x:f t="array" ref="C78:C78">INDEX($B$4:$O$28,MATCH($A78,$W$4:$W$28,0),COLUMN(B$1))</x:f>
        <x:v>175</x:v>
      </x:c>
      <x:c r="D78" s="20">
        <x:f t="array" ref="D78:D78">INDEX($B$4:$O$28,MATCH($A78,$W$4:$W$28,0),COLUMN(C$1))</x:f>
        <x:v>194</x:v>
      </x:c>
      <x:c r="E78" s="20">
        <x:f t="array" ref="E78:E78">INDEX($B$4:$O$28,MATCH($A78,$W$4:$W$28,0),COLUMN(D$1))</x:f>
        <x:v>190</x:v>
      </x:c>
      <x:c r="F78" s="20">
        <x:f t="array" ref="F78:F78">INDEX($B$4:$O$28,MATCH($A78,$W$4:$W$28,0),COLUMN(E$1))</x:f>
        <x:v>157</x:v>
      </x:c>
      <x:c r="G78" s="21">
        <x:f t="shared" si="11"/>
        <x:v>716</x:v>
      </x:c>
      <x:c r="H78" s="22">
        <x:f t="shared" si="12"/>
        <x:v>179</x:v>
      </x:c>
      <x:c r="I78" s="23">
        <x:f>IF(B78="","",IFERROR(INDEX('회원명단 및 기준에버'!D:G,MATCH(B78,'회원명단 및 기준에버'!$C:$C,0),CHOOSE(INT((MONTH($N$2)-1)/3)+1,1,2,3,4)),""))</x:f>
        <x:v>192</x:v>
      </x:c>
      <x:c r="J78" s="5">
        <x:f t="shared" si="15"/>
        <x:v>-17</x:v>
      </x:c>
      <x:c r="K78" s="5">
        <x:f t="shared" si="16"/>
        <x:v>2</x:v>
      </x:c>
      <x:c r="L78" s="5">
        <x:f t="shared" si="17"/>
        <x:v>-2</x:v>
      </x:c>
      <x:c r="M78" s="5">
        <x:f t="shared" si="13"/>
        <x:v>-35</x:v>
      </x:c>
      <x:c r="N78" s="6">
        <x:f t="shared" si="14"/>
        <x:v>-52</x:v>
      </x:c>
      <x:c r="O78" s="24">
        <x:f t="shared" si="18"/>
        <x:v>-13</x:v>
      </x:c>
    </x:row>
    <x:row r="79" spans="1:15" ht="24.949999999999999" customHeight="1">
      <x:c r="A79" s="18">
        <x:v>24</x:v>
      </x:c>
      <x:c r="B79" s="19" t="str">
        <x:f t="array" ref="B79:B79">INDEX($B$4:$O$28,MATCH($A79,$W$4:$W$28,0),COLUMN(A$1))</x:f>
        <x:v>고 경 훈</x:v>
      </x:c>
      <x:c r="C79" s="20">
        <x:f t="array" ref="C79:C79">INDEX($B$4:$O$28,MATCH($A79,$W$4:$W$28,0),COLUMN(B$1))</x:f>
        <x:v>170</x:v>
      </x:c>
      <x:c r="D79" s="20">
        <x:f t="array" ref="D79:D79">INDEX($B$4:$O$28,MATCH($A79,$W$4:$W$28,0),COLUMN(C$1))</x:f>
        <x:v>149</x:v>
      </x:c>
      <x:c r="E79" s="20">
        <x:f t="array" ref="E79:E79">INDEX($B$4:$O$28,MATCH($A79,$W$4:$W$28,0),COLUMN(D$1))</x:f>
        <x:v>228</x:v>
      </x:c>
      <x:c r="F79" s="20">
        <x:f t="array" ref="F79:F79">INDEX($B$4:$O$28,MATCH($A79,$W$4:$W$28,0),COLUMN(E$1))</x:f>
        <x:v>169</x:v>
      </x:c>
      <x:c r="G79" s="21">
        <x:f t="shared" si="11"/>
        <x:v>716</x:v>
      </x:c>
      <x:c r="H79" s="22">
        <x:f t="shared" si="12"/>
        <x:v>179</x:v>
      </x:c>
      <x:c r="I79" s="23">
        <x:f>IF(B79="","",IFERROR(INDEX('회원명단 및 기준에버'!D:G,MATCH(B79,'회원명단 및 기준에버'!$C:$C,0),CHOOSE(INT((MONTH($N$2)-1)/3)+1,1,2,3,4)),""))</x:f>
        <x:v>195</x:v>
      </x:c>
      <x:c r="J79" s="5">
        <x:f t="shared" si="15"/>
        <x:v>-25</x:v>
      </x:c>
      <x:c r="K79" s="5">
        <x:f t="shared" si="16"/>
        <x:v>-46</x:v>
      </x:c>
      <x:c r="L79" s="5">
        <x:f t="shared" si="17"/>
        <x:v>33</x:v>
      </x:c>
      <x:c r="M79" s="5">
        <x:f t="shared" si="13"/>
        <x:v>-26</x:v>
      </x:c>
      <x:c r="N79" s="6">
        <x:f t="shared" si="14"/>
        <x:v>-64</x:v>
      </x:c>
      <x:c r="O79" s="24">
        <x:f t="shared" si="18"/>
        <x:v>-16</x:v>
      </x:c>
    </x:row>
    <x:row r="80" spans="1:15" ht="24.949999999999999" customHeight="1">
      <x:c r="A80" s="18">
        <x:v>25</x:v>
      </x:c>
      <x:c r="B80" s="19" t="str">
        <x:f t="array" ref="B80:B80">INDEX($B$4:$O$28,MATCH($A80,$W$4:$W$28,0),COLUMN(A$1))</x:f>
        <x:v>천 성 일</x:v>
      </x:c>
      <x:c r="C80" s="20">
        <x:f t="array" ref="C80:C80">INDEX($B$4:$O$28,MATCH($A80,$W$4:$W$28,0),COLUMN(B$1))</x:f>
        <x:v>187</x:v>
      </x:c>
      <x:c r="D80" s="20">
        <x:f t="array" ref="D80:D80">INDEX($B$4:$O$28,MATCH($A80,$W$4:$W$28,0),COLUMN(C$1))</x:f>
        <x:v>145</x:v>
      </x:c>
      <x:c r="E80" s="20">
        <x:f t="array" ref="E80:E80">INDEX($B$4:$O$28,MATCH($A80,$W$4:$W$28,0),COLUMN(D$1))</x:f>
        <x:v>192</x:v>
      </x:c>
      <x:c r="F80" s="20">
        <x:f t="array" ref="F80:F80">INDEX($B$4:$O$28,MATCH($A80,$W$4:$W$28,0),COLUMN(E$1))</x:f>
        <x:v>143</x:v>
      </x:c>
      <x:c r="G80" s="21">
        <x:f t="shared" si="11"/>
        <x:v>667</x:v>
      </x:c>
      <x:c r="H80" s="22">
        <x:f t="shared" si="12"/>
        <x:v>166.75</x:v>
      </x:c>
      <x:c r="I80" s="23">
        <x:f>IF(B80="","",IFERROR(INDEX('회원명단 및 기준에버'!D:G,MATCH(B80,'회원명단 및 기준에버'!$C:$C,0),CHOOSE(INT((MONTH($N$2)-1)/3)+1,1,2,3,4)),""))</x:f>
        <x:v>191</x:v>
      </x:c>
      <x:c r="J80" s="5">
        <x:f t="shared" si="15"/>
        <x:v>-4</x:v>
      </x:c>
      <x:c r="K80" s="5">
        <x:f t="shared" si="16"/>
        <x:v>-46</x:v>
      </x:c>
      <x:c r="L80" s="5">
        <x:f t="shared" si="17"/>
        <x:v>1</x:v>
      </x:c>
      <x:c r="M80" s="5">
        <x:f t="shared" si="13"/>
        <x:v>-48</x:v>
      </x:c>
      <x:c r="N80" s="6">
        <x:f t="shared" si="14"/>
        <x:v>-97</x:v>
      </x:c>
      <x:c r="O80" s="24">
        <x:f t="shared" si="18"/>
        <x:v>-24.25</x:v>
      </x:c>
    </x:row>
    <x:row r="81" spans="2:15" ht="24.949999999999999" customHeight="1">
      <x:c r="B81" s="120" t="s">
        <x:v>21</x:v>
      </x:c>
      <x:c r="C81" s="121"/>
      <x:c r="D81" s="121"/>
      <x:c r="E81" s="121"/>
      <x:c r="F81" s="120"/>
      <x:c r="G81" s="121"/>
      <x:c r="H81" s="121"/>
      <x:c r="I81" s="121"/>
      <x:c r="J81" s="121"/>
      <x:c r="K81" s="121"/>
      <x:c r="L81" s="121"/>
      <x:c r="M81" s="120"/>
      <x:c r="N81" s="121"/>
      <x:c r="O81" s="122"/>
    </x:row>
    <x:row r="82" spans="2:15" ht="24.949999999999999" customHeight="1">
      <x:c r="B82" s="13" t="str">
        <x:f t="shared" ref="B82:G86" si="19">IF(B30="","",B30)</x:f>
        <x:v>이 대 용</x:v>
      </x:c>
      <x:c r="C82" s="49">
        <x:f t="shared" si="19"/>
        <x:v>4</x:v>
      </x:c>
      <x:c r="D82" s="49">
        <x:f t="shared" si="19"/>
        <x:v>-13</x:v>
      </x:c>
      <x:c r="E82" s="49">
        <x:f t="shared" si="19"/>
        <x:v>16</x:v>
      </x:c>
      <x:c r="F82" s="49">
        <x:f t="shared" si="19"/>
        <x:v>-11</x:v>
      </x:c>
      <x:c r="G82" s="123">
        <x:f t="shared" si="19"/>
        <x:v>78</x:v>
      </x:c>
      <x:c r="H82" s="115"/>
      <x:c r="I82" s="50" t="str">
        <x:f t="shared" ref="I82:N86" si="20">IF(I30="","",I30)</x:f>
        <x:v>장 영 민</x:v>
      </x:c>
      <x:c r="J82" s="49">
        <x:f t="shared" si="20"/>
        <x:v>0</x:v>
      </x:c>
      <x:c r="K82" s="49">
        <x:f t="shared" si="20"/>
        <x:v>26</x:v>
      </x:c>
      <x:c r="L82" s="49">
        <x:f t="shared" si="20"/>
        <x:v>35</x:v>
      </x:c>
      <x:c r="M82" s="49">
        <x:f t="shared" si="20"/>
        <x:v>-23</x:v>
      </x:c>
      <x:c r="N82" s="129">
        <x:f t="shared" si="20"/>
        <x:v>-59</x:v>
      </x:c>
      <x:c r="O82" s="126"/>
    </x:row>
    <x:row r="83" spans="2:15" ht="24.949999999999999" customHeight="1">
      <x:c r="B83" s="18" t="str">
        <x:f t="shared" si="19"/>
        <x:v>임 연 진</x:v>
      </x:c>
      <x:c r="C83" s="5">
        <x:f t="shared" si="19"/>
        <x:v>14</x:v>
      </x:c>
      <x:c r="D83" s="5">
        <x:f t="shared" si="19"/>
        <x:v>52</x:v>
      </x:c>
      <x:c r="E83" s="5">
        <x:f t="shared" si="19"/>
        <x:v>-40</x:v>
      </x:c>
      <x:c r="F83" s="5">
        <x:f t="shared" si="19"/>
        <x:v>32</x:v>
      </x:c>
      <x:c r="G83" s="124" t="str">
        <x:f t="shared" si="19"/>
        <x:v/>
      </x:c>
      <x:c r="H83" s="116"/>
      <x:c r="I83" s="18" t="str">
        <x:f t="shared" si="20"/>
        <x:v>김 정 희</x:v>
      </x:c>
      <x:c r="J83" s="5">
        <x:f t="shared" si="20"/>
        <x:v>0</x:v>
      </x:c>
      <x:c r="K83" s="5">
        <x:f t="shared" si="20"/>
        <x:v>0</x:v>
      </x:c>
      <x:c r="L83" s="5">
        <x:f t="shared" si="20"/>
        <x:v>0</x:v>
      </x:c>
      <x:c r="M83" s="5">
        <x:f t="shared" si="20"/>
        <x:v>0</x:v>
      </x:c>
      <x:c r="N83" s="130" t="str">
        <x:f t="shared" si="20"/>
        <x:v/>
      </x:c>
      <x:c r="O83" s="127"/>
    </x:row>
    <x:row r="84" spans="2:15" ht="24.949999999999999" customHeight="1">
      <x:c r="B84" s="18" t="str">
        <x:f t="shared" si="19"/>
        <x:v>이 승 미</x:v>
      </x:c>
      <x:c r="C84" s="5">
        <x:f t="shared" si="19"/>
        <x:v>9</x:v>
      </x:c>
      <x:c r="D84" s="5">
        <x:f t="shared" si="19"/>
        <x:v>-17</x:v>
      </x:c>
      <x:c r="E84" s="5">
        <x:f t="shared" si="19"/>
        <x:v>-7</x:v>
      </x:c>
      <x:c r="F84" s="5">
        <x:f t="shared" si="19"/>
        <x:v>25</x:v>
      </x:c>
      <x:c r="G84" s="124" t="str">
        <x:f t="shared" si="19"/>
        <x:v/>
      </x:c>
      <x:c r="H84" s="116"/>
      <x:c r="I84" s="18" t="str">
        <x:f t="shared" si="20"/>
        <x:v>황 인 교</x:v>
      </x:c>
      <x:c r="J84" s="5">
        <x:f t="shared" si="20"/>
        <x:v>-19</x:v>
      </x:c>
      <x:c r="K84" s="5">
        <x:f t="shared" si="20"/>
        <x:v>1</x:v>
      </x:c>
      <x:c r="L84" s="5">
        <x:f t="shared" si="20"/>
        <x:v>-2</x:v>
      </x:c>
      <x:c r="M84" s="5">
        <x:f t="shared" si="20"/>
        <x:v>-29</x:v>
      </x:c>
      <x:c r="N84" s="130" t="str">
        <x:f t="shared" si="20"/>
        <x:v/>
      </x:c>
      <x:c r="O84" s="127"/>
    </x:row>
    <x:row r="85" spans="2:15" ht="24.949999999999999" customHeight="1">
      <x:c r="B85" s="18" t="str">
        <x:f t="shared" si="19"/>
        <x:v>박 성 현</x:v>
      </x:c>
      <x:c r="C85" s="5">
        <x:f t="shared" si="19"/>
        <x:v>25</x:v>
      </x:c>
      <x:c r="D85" s="5">
        <x:f t="shared" si="19"/>
        <x:v>2</x:v>
      </x:c>
      <x:c r="E85" s="5">
        <x:f t="shared" si="19"/>
        <x:v>-21</x:v>
      </x:c>
      <x:c r="F85" s="5">
        <x:f t="shared" si="19"/>
        <x:v>8</x:v>
      </x:c>
      <x:c r="G85" s="124" t="str">
        <x:f t="shared" si="19"/>
        <x:v/>
      </x:c>
      <x:c r="H85" s="116"/>
      <x:c r="I85" s="18" t="str">
        <x:f t="shared" si="20"/>
        <x:v>고 경 훈</x:v>
      </x:c>
      <x:c r="J85" s="5">
        <x:f t="shared" si="20"/>
        <x:v>-25</x:v>
      </x:c>
      <x:c r="K85" s="5">
        <x:f t="shared" si="20"/>
        <x:v>-46</x:v>
      </x:c>
      <x:c r="L85" s="5">
        <x:f t="shared" si="20"/>
        <x:v>33</x:v>
      </x:c>
      <x:c r="M85" s="5">
        <x:f t="shared" si="20"/>
        <x:v>-26</x:v>
      </x:c>
      <x:c r="N85" s="130" t="str">
        <x:f t="shared" si="20"/>
        <x:v/>
      </x:c>
      <x:c r="O85" s="127"/>
    </x:row>
    <x:row r="86" spans="2:15" ht="24.949999999999999" customHeight="1">
      <x:c r="B86" s="18">
        <x:f t="shared" si="19"/>
        <x:v>0</x:v>
      </x:c>
      <x:c r="C86" s="5">
        <x:f t="shared" si="19"/>
        <x:v>0</x:v>
      </x:c>
      <x:c r="D86" s="5">
        <x:f t="shared" si="19"/>
        <x:v>0</x:v>
      </x:c>
      <x:c r="E86" s="5">
        <x:f t="shared" si="19"/>
        <x:v>0</x:v>
      </x:c>
      <x:c r="F86" s="5">
        <x:f t="shared" si="19"/>
        <x:v>0</x:v>
      </x:c>
      <x:c r="G86" s="124" t="str">
        <x:f t="shared" si="19"/>
        <x:v/>
      </x:c>
      <x:c r="H86" s="116"/>
      <x:c r="I86" s="18" t="str">
        <x:f t="shared" si="20"/>
        <x:v>이 상 현</x:v>
      </x:c>
      <x:c r="J86" s="5">
        <x:f t="shared" si="20"/>
        <x:v>-48</x:v>
      </x:c>
      <x:c r="K86" s="5">
        <x:f t="shared" si="20"/>
        <x:v>34</x:v>
      </x:c>
      <x:c r="L86" s="5">
        <x:f t="shared" si="20"/>
        <x:v>12</x:v>
      </x:c>
      <x:c r="M86" s="5">
        <x:f t="shared" si="20"/>
        <x:v>18</x:v>
      </x:c>
      <x:c r="N86" s="130" t="str">
        <x:f t="shared" si="20"/>
        <x:v/>
      </x:c>
      <x:c r="O86" s="127"/>
    </x:row>
    <x:row r="87" spans="2:15" ht="24.949999999999999" customHeight="1">
      <x:c r="B87" s="30" t="str">
        <x:f t="shared" ref="B87:G87" si="21">IF(B35="","",B35)</x:f>
        <x:v/>
      </x:c>
      <x:c r="C87" s="51">
        <x:f t="shared" si="21"/>
        <x:v>52</x:v>
      </x:c>
      <x:c r="D87" s="51">
        <x:f t="shared" si="21"/>
        <x:v>24</x:v>
      </x:c>
      <x:c r="E87" s="51">
        <x:f t="shared" si="21"/>
        <x:v>-52</x:v>
      </x:c>
      <x:c r="F87" s="51">
        <x:f t="shared" si="21"/>
        <x:v>54</x:v>
      </x:c>
      <x:c r="G87" s="125" t="str">
        <x:f t="shared" si="21"/>
        <x:v/>
      </x:c>
      <x:c r="H87" s="117"/>
      <x:c r="I87" s="30" t="str">
        <x:f t="shared" ref="I87:N87" si="22">IF(I35="","",I35)</x:f>
        <x:v/>
      </x:c>
      <x:c r="J87" s="51">
        <x:f t="shared" si="22"/>
        <x:v>-92</x:v>
      </x:c>
      <x:c r="K87" s="51">
        <x:f t="shared" si="22"/>
        <x:v>15</x:v>
      </x:c>
      <x:c r="L87" s="51">
        <x:f t="shared" si="22"/>
        <x:v>78</x:v>
      </x:c>
      <x:c r="M87" s="51">
        <x:f t="shared" si="22"/>
        <x:v>-60</x:v>
      </x:c>
      <x:c r="N87" s="131" t="str">
        <x:f t="shared" si="22"/>
        <x:v/>
      </x:c>
      <x:c r="O87" s="128"/>
    </x:row>
    <x:row r="88" spans="2:15" ht="9.9499999999999993" customHeight="1"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</x:row>
    <x:row r="89" spans="2:15" ht="24.949999999999999" customHeight="1">
      <x:c r="B89" s="13" t="str">
        <x:f t="shared" ref="B89:O93" si="23">IF(B37="","",B37)</x:f>
        <x:v>이 우 석</x:v>
      </x:c>
      <x:c r="C89" s="49">
        <x:f t="shared" si="23"/>
        <x:v>12</x:v>
      </x:c>
      <x:c r="D89" s="49">
        <x:f t="shared" si="23"/>
        <x:v>11</x:v>
      </x:c>
      <x:c r="E89" s="49">
        <x:f t="shared" si="23"/>
        <x:v>-23</x:v>
      </x:c>
      <x:c r="F89" s="49">
        <x:f t="shared" si="23"/>
        <x:v>45</x:v>
      </x:c>
      <x:c r="G89" s="129">
        <x:f t="shared" si="23"/>
        <x:v>-109</x:v>
      </x:c>
      <x:c r="H89" s="126" t="str">
        <x:f t="shared" si="23"/>
        <x:v/>
      </x:c>
      <x:c r="I89" s="50" t="str">
        <x:f t="shared" si="23"/>
        <x:v>변 상 필</x:v>
      </x:c>
      <x:c r="J89" s="49">
        <x:f t="shared" si="23"/>
        <x:v>-20</x:v>
      </x:c>
      <x:c r="K89" s="49">
        <x:f t="shared" si="23"/>
        <x:v>-50</x:v>
      </x:c>
      <x:c r="L89" s="49">
        <x:f t="shared" si="23"/>
        <x:v>-5</x:v>
      </x:c>
      <x:c r="M89" s="49">
        <x:f t="shared" si="23"/>
        <x:v>46</x:v>
      </x:c>
      <x:c r="N89" s="129">
        <x:f t="shared" si="23"/>
        <x:v>104</x:v>
      </x:c>
      <x:c r="O89" s="126" t="str">
        <x:f t="shared" si="23"/>
        <x:v/>
      </x:c>
    </x:row>
    <x:row r="90" spans="2:15" ht="24.949999999999999" customHeight="1">
      <x:c r="B90" s="18" t="str">
        <x:f t="shared" si="23"/>
        <x:v>김 미 란</x:v>
      </x:c>
      <x:c r="C90" s="5">
        <x:f t="shared" si="23"/>
        <x:v>-10</x:v>
      </x:c>
      <x:c r="D90" s="5">
        <x:f t="shared" si="23"/>
        <x:v>-2</x:v>
      </x:c>
      <x:c r="E90" s="5">
        <x:f t="shared" si="23"/>
        <x:v>-6</x:v>
      </x:c>
      <x:c r="F90" s="5">
        <x:f t="shared" si="23"/>
        <x:v>13</x:v>
      </x:c>
      <x:c r="G90" s="130" t="str">
        <x:f t="shared" si="23"/>
        <x:v/>
      </x:c>
      <x:c r="H90" s="127" t="str">
        <x:f t="shared" si="23"/>
        <x:v/>
      </x:c>
      <x:c r="I90" s="18" t="str">
        <x:f t="shared" si="23"/>
        <x:v>정 영 우</x:v>
      </x:c>
      <x:c r="J90" s="5">
        <x:f t="shared" si="23"/>
        <x:v>-15</x:v>
      </x:c>
      <x:c r="K90" s="5">
        <x:f t="shared" si="23"/>
        <x:v>19</x:v>
      </x:c>
      <x:c r="L90" s="5">
        <x:f t="shared" si="23"/>
        <x:v>28</x:v>
      </x:c>
      <x:c r="M90" s="5">
        <x:f t="shared" si="23"/>
        <x:v>-6</x:v>
      </x:c>
      <x:c r="N90" s="130" t="str">
        <x:f t="shared" si="23"/>
        <x:v/>
      </x:c>
      <x:c r="O90" s="127" t="str">
        <x:f t="shared" si="23"/>
        <x:v/>
      </x:c>
    </x:row>
    <x:row r="91" spans="2:15" ht="24.949999999999999" customHeight="1">
      <x:c r="B91" s="18" t="str">
        <x:f t="shared" si="23"/>
        <x:v>나 경 주</x:v>
      </x:c>
      <x:c r="C91" s="5">
        <x:f t="shared" si="23"/>
        <x:v>-17</x:v>
      </x:c>
      <x:c r="D91" s="5">
        <x:f t="shared" si="23"/>
        <x:v>2</x:v>
      </x:c>
      <x:c r="E91" s="5">
        <x:f t="shared" si="23"/>
        <x:v>-2</x:v>
      </x:c>
      <x:c r="F91" s="5">
        <x:f t="shared" si="23"/>
        <x:v>-35</x:v>
      </x:c>
      <x:c r="G91" s="130" t="str">
        <x:f t="shared" si="23"/>
        <x:v/>
      </x:c>
      <x:c r="H91" s="127" t="str">
        <x:f t="shared" si="23"/>
        <x:v/>
      </x:c>
      <x:c r="I91" s="18" t="str">
        <x:f t="shared" si="23"/>
        <x:v>진 명 옥</x:v>
      </x:c>
      <x:c r="J91" s="5">
        <x:f t="shared" si="23"/>
        <x:v>2</x:v>
      </x:c>
      <x:c r="K91" s="5">
        <x:f t="shared" si="23"/>
        <x:v>22</x:v>
      </x:c>
      <x:c r="L91" s="5">
        <x:f t="shared" si="23"/>
        <x:v>73</x:v>
      </x:c>
      <x:c r="M91" s="5">
        <x:f t="shared" si="23"/>
        <x:v>12</x:v>
      </x:c>
      <x:c r="N91" s="130" t="str">
        <x:f t="shared" si="23"/>
        <x:v/>
      </x:c>
      <x:c r="O91" s="127" t="str">
        <x:f t="shared" si="23"/>
        <x:v/>
      </x:c>
    </x:row>
    <x:row r="92" spans="2:15" ht="24.949999999999999" customHeight="1">
      <x:c r="B92" s="18" t="str">
        <x:f t="shared" si="23"/>
        <x:v>천 성 일</x:v>
      </x:c>
      <x:c r="C92" s="5">
        <x:f t="shared" si="23"/>
        <x:v>-4</x:v>
      </x:c>
      <x:c r="D92" s="5">
        <x:f t="shared" si="23"/>
        <x:v>-46</x:v>
      </x:c>
      <x:c r="E92" s="5">
        <x:f t="shared" si="23"/>
        <x:v>1</x:v>
      </x:c>
      <x:c r="F92" s="5">
        <x:f t="shared" si="23"/>
        <x:v>-48</x:v>
      </x:c>
      <x:c r="G92" s="130" t="str">
        <x:f t="shared" si="23"/>
        <x:v/>
      </x:c>
      <x:c r="H92" s="127" t="str">
        <x:f t="shared" si="23"/>
        <x:v/>
      </x:c>
      <x:c r="I92" s="18" t="str">
        <x:f t="shared" si="23"/>
        <x:v>엄 정 도</x:v>
      </x:c>
      <x:c r="J92" s="5">
        <x:f t="shared" si="23"/>
        <x:v>-17</x:v>
      </x:c>
      <x:c r="K92" s="5">
        <x:f t="shared" si="23"/>
        <x:v>-5</x:v>
      </x:c>
      <x:c r="L92" s="5">
        <x:f t="shared" si="23"/>
        <x:v>-14</x:v>
      </x:c>
      <x:c r="M92" s="5">
        <x:f t="shared" si="23"/>
        <x:v>34</x:v>
      </x:c>
      <x:c r="N92" s="130" t="str">
        <x:f t="shared" si="23"/>
        <x:v/>
      </x:c>
      <x:c r="O92" s="127" t="str">
        <x:f t="shared" si="23"/>
        <x:v/>
      </x:c>
    </x:row>
    <x:row r="93" spans="2:15" ht="24.949999999999999" customHeight="1">
      <x:c r="B93" s="18" t="str">
        <x:f t="shared" si="23"/>
        <x:v>이 재 용</x:v>
      </x:c>
      <x:c r="C93" s="5">
        <x:f t="shared" si="23"/>
        <x:v>0</x:v>
      </x:c>
      <x:c r="D93" s="5">
        <x:f t="shared" si="23"/>
        <x:v>0</x:v>
      </x:c>
      <x:c r="E93" s="5">
        <x:f t="shared" si="23"/>
        <x:v>0</x:v>
      </x:c>
      <x:c r="F93" s="5">
        <x:f t="shared" si="23"/>
        <x:v>0</x:v>
      </x:c>
      <x:c r="G93" s="130" t="str">
        <x:f t="shared" si="23"/>
        <x:v/>
      </x:c>
      <x:c r="H93" s="127" t="str">
        <x:f t="shared" si="23"/>
        <x:v/>
      </x:c>
      <x:c r="I93" s="18" t="str">
        <x:f t="shared" si="23"/>
        <x:v>김 태 환</x:v>
      </x:c>
      <x:c r="J93" s="5">
        <x:f t="shared" si="23"/>
        <x:v>0</x:v>
      </x:c>
      <x:c r="K93" s="5">
        <x:f t="shared" si="23"/>
        <x:v>0</x:v>
      </x:c>
      <x:c r="L93" s="5">
        <x:f t="shared" si="23"/>
        <x:v>0</x:v>
      </x:c>
      <x:c r="M93" s="5">
        <x:f t="shared" si="23"/>
        <x:v>0</x:v>
      </x:c>
      <x:c r="N93" s="130" t="str">
        <x:f t="shared" si="23"/>
        <x:v/>
      </x:c>
      <x:c r="O93" s="127" t="str">
        <x:f t="shared" si="23"/>
        <x:v/>
      </x:c>
    </x:row>
    <x:row r="94" spans="2:15" ht="24.949999999999999" customHeight="1">
      <x:c r="B94" s="30" t="str">
        <x:f t="shared" ref="B94:O94" si="24">IF(B42="","",B42)</x:f>
        <x:v/>
      </x:c>
      <x:c r="C94" s="51">
        <x:f t="shared" si="24"/>
        <x:v>-19</x:v>
      </x:c>
      <x:c r="D94" s="51">
        <x:f t="shared" si="24"/>
        <x:v>-35</x:v>
      </x:c>
      <x:c r="E94" s="51">
        <x:f t="shared" si="24"/>
        <x:v>-30</x:v>
      </x:c>
      <x:c r="F94" s="51">
        <x:f t="shared" si="24"/>
        <x:v>-25</x:v>
      </x:c>
      <x:c r="G94" s="131" t="str">
        <x:f t="shared" si="24"/>
        <x:v/>
      </x:c>
      <x:c r="H94" s="128" t="str">
        <x:f t="shared" si="24"/>
        <x:v/>
      </x:c>
      <x:c r="I94" s="30" t="str">
        <x:f t="shared" si="24"/>
        <x:v/>
      </x:c>
      <x:c r="J94" s="51">
        <x:f t="shared" si="24"/>
        <x:v>-50</x:v>
      </x:c>
      <x:c r="K94" s="51">
        <x:f t="shared" si="24"/>
        <x:v>-14</x:v>
      </x:c>
      <x:c r="L94" s="51">
        <x:f t="shared" si="24"/>
        <x:v>82</x:v>
      </x:c>
      <x:c r="M94" s="51">
        <x:f t="shared" si="24"/>
        <x:v>86</x:v>
      </x:c>
      <x:c r="N94" s="131" t="str">
        <x:f t="shared" si="24"/>
        <x:v/>
      </x:c>
      <x:c r="O94" s="128" t="str">
        <x:f t="shared" si="24"/>
        <x:v/>
      </x:c>
    </x:row>
    <x:row r="95" spans="10:13" ht="9.9499999999999993" customHeight="1">
      <x:c r="J95" s="52"/>
      <x:c r="K95" s="52"/>
      <x:c r="L95" s="52"/>
      <x:c r="M95" s="52"/>
    </x:row>
    <x:row r="96" spans="2:15" ht="24.949999999999999" customHeight="1">
      <x:c r="B96" s="13" t="str">
        <x:f t="shared" ref="B96:H100" si="25">IF(B44="","",B44)</x:f>
        <x:v>강 완 규</x:v>
      </x:c>
      <x:c r="C96" s="49">
        <x:f t="shared" si="25"/>
        <x:v>15</x:v>
      </x:c>
      <x:c r="D96" s="49">
        <x:f t="shared" si="25"/>
        <x:v>-32</x:v>
      </x:c>
      <x:c r="E96" s="49">
        <x:f t="shared" si="25"/>
        <x:v>51</x:v>
      </x:c>
      <x:c r="F96" s="49">
        <x:f t="shared" si="25"/>
        <x:v>41</x:v>
      </x:c>
      <x:c r="G96" s="123">
        <x:f t="shared" si="25"/>
        <x:v>51</x:v>
      </x:c>
      <x:c r="H96" s="115" t="str">
        <x:f t="shared" si="25"/>
        <x:v/>
      </x:c>
      <x:c r="I96" s="11"/>
      <x:c r="J96" s="37"/>
      <x:c r="K96" s="37"/>
      <x:c r="L96" s="37"/>
      <x:c r="M96" s="37"/>
      <x:c r="N96" s="118"/>
      <x:c r="O96" s="119"/>
    </x:row>
    <x:row r="97" spans="2:15" ht="24.949999999999999" customHeight="1">
      <x:c r="B97" s="18" t="str">
        <x:f t="shared" si="25"/>
        <x:v>이 정 석</x:v>
      </x:c>
      <x:c r="C97" s="5">
        <x:f t="shared" si="25"/>
        <x:v>4</x:v>
      </x:c>
      <x:c r="D97" s="5">
        <x:f t="shared" si="25"/>
        <x:v>-24</x:v>
      </x:c>
      <x:c r="E97" s="5">
        <x:f t="shared" si="25"/>
        <x:v>8</x:v>
      </x:c>
      <x:c r="F97" s="5">
        <x:f t="shared" si="25"/>
        <x:v>-2</x:v>
      </x:c>
      <x:c r="G97" s="124" t="str">
        <x:f t="shared" si="25"/>
        <x:v/>
      </x:c>
      <x:c r="H97" s="116" t="str">
        <x:f t="shared" si="25"/>
        <x:v/>
      </x:c>
      <x:c r="I97" s="11"/>
      <x:c r="J97" s="37"/>
      <x:c r="K97" s="37"/>
      <x:c r="L97" s="37"/>
      <x:c r="M97" s="37"/>
      <x:c r="N97" s="118"/>
      <x:c r="O97" s="119"/>
    </x:row>
    <x:row r="98" spans="2:15" ht="24.949999999999999" customHeight="1">
      <x:c r="B98" s="18" t="str">
        <x:f t="shared" si="25"/>
        <x:v>지 옥 명</x:v>
      </x:c>
      <x:c r="C98" s="5">
        <x:f t="shared" si="25"/>
        <x:v>-35</x:v>
      </x:c>
      <x:c r="D98" s="5">
        <x:f t="shared" si="25"/>
        <x:v>-6</x:v>
      </x:c>
      <x:c r="E98" s="5">
        <x:f t="shared" si="25"/>
        <x:v>-32</x:v>
      </x:c>
      <x:c r="F98" s="5">
        <x:f t="shared" si="25"/>
        <x:v>63</x:v>
      </x:c>
      <x:c r="G98" s="124" t="str">
        <x:f t="shared" si="25"/>
        <x:v/>
      </x:c>
      <x:c r="H98" s="116" t="str">
        <x:f t="shared" si="25"/>
        <x:v/>
      </x:c>
      <x:c r="I98" s="11"/>
      <x:c r="J98" s="37"/>
      <x:c r="K98" s="37"/>
      <x:c r="L98" s="37"/>
      <x:c r="M98" s="37"/>
      <x:c r="N98" s="118"/>
      <x:c r="O98" s="119"/>
    </x:row>
    <x:row r="99" spans="2:15" ht="24.949999999999999" customHeight="1">
      <x:c r="B99" s="18" t="str">
        <x:f t="shared" si="25"/>
        <x:v>최    진</x:v>
      </x:c>
      <x:c r="C99" s="5">
        <x:f t="shared" si="25"/>
        <x:v>0</x:v>
      </x:c>
      <x:c r="D99" s="5">
        <x:f t="shared" si="25"/>
        <x:v>0</x:v>
      </x:c>
      <x:c r="E99" s="5">
        <x:f t="shared" si="25"/>
        <x:v>0</x:v>
      </x:c>
      <x:c r="F99" s="5">
        <x:f t="shared" si="25"/>
        <x:v>0</x:v>
      </x:c>
      <x:c r="G99" s="124" t="str">
        <x:f t="shared" si="25"/>
        <x:v/>
      </x:c>
      <x:c r="H99" s="116" t="str">
        <x:f t="shared" si="25"/>
        <x:v/>
      </x:c>
      <x:c r="I99" s="11"/>
      <x:c r="J99" s="37"/>
      <x:c r="K99" s="37"/>
      <x:c r="L99" s="37"/>
      <x:c r="M99" s="37"/>
      <x:c r="N99" s="118"/>
      <x:c r="O99" s="119"/>
    </x:row>
    <x:row r="100" spans="2:15" ht="24.949999999999999" customHeight="1">
      <x:c r="B100" s="18">
        <x:f t="shared" si="25"/>
        <x:v>0</x:v>
      </x:c>
      <x:c r="C100" s="5">
        <x:f t="shared" si="25"/>
        <x:v>0</x:v>
      </x:c>
      <x:c r="D100" s="5">
        <x:f t="shared" si="25"/>
        <x:v>0</x:v>
      </x:c>
      <x:c r="E100" s="5">
        <x:f t="shared" si="25"/>
        <x:v>0</x:v>
      </x:c>
      <x:c r="F100" s="5">
        <x:f t="shared" si="25"/>
        <x:v>0</x:v>
      </x:c>
      <x:c r="G100" s="124" t="str">
        <x:f t="shared" si="25"/>
        <x:v/>
      </x:c>
      <x:c r="H100" s="116" t="str">
        <x:f t="shared" si="25"/>
        <x:v/>
      </x:c>
      <x:c r="I100" s="11"/>
      <x:c r="J100" s="37"/>
      <x:c r="K100" s="37"/>
      <x:c r="L100" s="37"/>
      <x:c r="M100" s="37"/>
      <x:c r="N100" s="118"/>
      <x:c r="O100" s="119"/>
    </x:row>
    <x:row r="101" spans="2:15" ht="24.949999999999999" customHeight="1">
      <x:c r="B101" s="30" t="str">
        <x:f t="shared" ref="B101:H101" si="26">IF(B49="","",B49)</x:f>
        <x:v/>
      </x:c>
      <x:c r="C101" s="51">
        <x:f t="shared" si="26"/>
        <x:v>-16</x:v>
      </x:c>
      <x:c r="D101" s="51">
        <x:f t="shared" si="26"/>
        <x:v>-62</x:v>
      </x:c>
      <x:c r="E101" s="51">
        <x:f t="shared" si="26"/>
        <x:v>27</x:v>
      </x:c>
      <x:c r="F101" s="51">
        <x:f t="shared" si="26"/>
        <x:v>102</x:v>
      </x:c>
      <x:c r="G101" s="125" t="str">
        <x:f t="shared" si="26"/>
        <x:v/>
      </x:c>
      <x:c r="H101" s="117" t="str">
        <x:f t="shared" si="26"/>
        <x:v/>
      </x:c>
      <x:c r="I101" s="11"/>
      <x:c r="J101" s="38"/>
      <x:c r="K101" s="38"/>
      <x:c r="L101" s="38"/>
      <x:c r="M101" s="38"/>
      <x:c r="N101" s="118"/>
      <x:c r="O101" s="119"/>
    </x:row>
    <x:row r="102" ht="24.949999999999999" customHeight="1"/>
    <x:row r="103" ht="24.949999999999999" customHeight="1"/>
  </x:sheetData>
  <x:mergeCells count="30">
    <x:mergeCell ref="G96:G101"/>
    <x:mergeCell ref="H96:H101"/>
    <x:mergeCell ref="N96:N101"/>
    <x:mergeCell ref="O96:O101"/>
    <x:mergeCell ref="G82:G87"/>
    <x:mergeCell ref="H82:H87"/>
    <x:mergeCell ref="N82:N87"/>
    <x:mergeCell ref="O82:O87"/>
    <x:mergeCell ref="G89:G94"/>
    <x:mergeCell ref="H89:H94"/>
    <x:mergeCell ref="N89:N94"/>
    <x:mergeCell ref="O89:O94"/>
    <x:mergeCell ref="H44:H49"/>
    <x:mergeCell ref="O44:O49"/>
    <x:mergeCell ref="A53:O53"/>
    <x:mergeCell ref="N54:O54"/>
    <x:mergeCell ref="B81:O81"/>
    <x:mergeCell ref="G44:G49"/>
    <x:mergeCell ref="N44:N49"/>
    <x:mergeCell ref="A1:O1"/>
    <x:mergeCell ref="N2:O2"/>
    <x:mergeCell ref="B29:O29"/>
    <x:mergeCell ref="H37:H42"/>
    <x:mergeCell ref="O37:O42"/>
    <x:mergeCell ref="G30:G35"/>
    <x:mergeCell ref="H30:H35"/>
    <x:mergeCell ref="N30:N35"/>
    <x:mergeCell ref="O30:O35"/>
    <x:mergeCell ref="G37:G42"/>
    <x:mergeCell ref="N37:N42"/>
  </x:mergeCells>
  <x:conditionalFormatting sqref="C4:E28">
    <x:cfRule type="cellIs" dxfId="37" priority="22" operator="between">
      <x:formula>200</x:formula>
      <x:formula>200</x:formula>
    </x:cfRule>
  </x:conditionalFormatting>
  <x:conditionalFormatting sqref="C4:F28">
    <x:cfRule type="cellIs" dxfId="36" priority="6" operator="between">
      <x:formula>200</x:formula>
      <x:formula>300</x:formula>
    </x:cfRule>
  </x:conditionalFormatting>
  <x:conditionalFormatting sqref="C56:F80">
    <x:cfRule type="cellIs" dxfId="34" priority="8" operator="between">
      <x:formula>200</x:formula>
      <x:formula>200</x:formula>
    </x:cfRule>
    <x:cfRule type="cellIs" dxfId="35" priority="7" operator="between">
      <x:formula>200</x:formula>
      <x:formula>300</x:formula>
    </x:cfRule>
  </x:conditionalFormatting>
  <x:conditionalFormatting sqref="H4:H28">
    <x:cfRule type="cellIs" dxfId="33" priority="28" operator="greaterThan">
      <x:formula>199.9</x:formula>
    </x:cfRule>
  </x:conditionalFormatting>
  <x:conditionalFormatting sqref="H56:H80">
    <x:cfRule type="cellIs" dxfId="32" priority="16" operator="greaterThan">
      <x:formula>199.9</x:formula>
    </x:cfRule>
  </x:conditionalFormatting>
  <x:conditionalFormatting sqref="H4:I28">
    <x:cfRule type="cellIs" dxfId="31" priority="19" operator="between">
      <x:formula>200</x:formula>
      <x:formula>300</x:formula>
    </x:cfRule>
  </x:conditionalFormatting>
  <x:conditionalFormatting sqref="H56:I80">
    <x:cfRule type="cellIs" dxfId="30" priority="12" operator="between">
      <x:formula>200</x:formula>
      <x:formula>300</x:formula>
    </x:cfRule>
  </x:conditionalFormatting>
  <x:conditionalFormatting sqref="I4:I28">
    <x:cfRule type="cellIs" dxfId="29" priority="29" operator="greaterThan">
      <x:formula>199</x:formula>
    </x:cfRule>
  </x:conditionalFormatting>
  <x:conditionalFormatting sqref="I56:I80">
    <x:cfRule type="cellIs" dxfId="28" priority="17" operator="greaterThan">
      <x:formula>199</x:formula>
    </x:cfRule>
  </x:conditionalFormatting>
  <x:conditionalFormatting sqref="G4:G28">
    <x:cfRule type="cellIs" dxfId="27" priority="2" operator="between">
      <x:formula>800</x:formula>
      <x:formula>1200</x:formula>
    </x:cfRule>
  </x:conditionalFormatting>
  <x:conditionalFormatting sqref="G56:G80">
    <x:cfRule type="cellIs" dxfId="26" priority="1" operator="between">
      <x:formula>800</x:formula>
      <x:formula>1200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78"/>
  <x:sheetViews>
    <x:sheetView topLeftCell="A40" zoomScale="85" zoomScaleNormal="85" zoomScaleSheetLayoutView="110" workbookViewId="0">
      <x:selection activeCell="Q55" activeCellId="0" sqref="Q55:Q55"/>
    </x:sheetView>
  </x:sheetViews>
  <x:sheetFormatPr defaultColWidth="9" defaultRowHeight="16.5"/>
  <x:cols>
    <x:col min="1" max="1" width="4.625" style="3" customWidth="1"/>
    <x:col min="2" max="2" width="12.625" style="3" customWidth="1"/>
    <x:col min="3" max="8" width="10.625" style="3" customWidth="1"/>
    <x:col min="9" max="9" width="12.625" style="3" customWidth="1"/>
    <x:col min="10" max="13" width="9.625" style="3" customWidth="1"/>
    <x:col min="14" max="14" width="9" style="3" customWidth="1"/>
    <x:col min="15" max="15" width="9" style="3" bestFit="1" customWidth="1"/>
    <x:col min="16" max="16" width="9.875" style="3" bestFit="1" customWidth="1"/>
    <x:col min="17" max="17" width="9.375" style="3" customWidth="1"/>
    <x:col min="19" max="19" width="10.625" style="3" customWidth="1"/>
    <x:col min="21" max="21" width="13.125" style="3" customWidth="1"/>
    <x:col min="22" max="22" width="10" style="3" bestFit="1" customWidth="1"/>
    <x:col min="23" max="23" width="15" style="3" customWidth="1"/>
    <x:col min="24" max="24" width="9" style="3" bestFit="1" customWidth="1"/>
  </x:cols>
  <x:sheetData>
    <x:row r="1" spans="1:15" ht="60" customHeight="1">
      <x:c r="A1" s="112" t="s">
        <x:v>62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</x:row>
    <x:row r="2" spans="1:24" ht="22.5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4" t="s">
        <x:v>48</x:v>
      </x:c>
      <x:c r="M2" s="34"/>
      <x:c r="N2" s="113">
        <x:v>46044</x:v>
      </x:c>
      <x:c r="O2" s="114"/>
      <x:c r="U2" s="35" t="s">
        <x:v>18</x:v>
      </x:c>
      <x:c r="V2" s="35">
        <x:v>1</x:v>
      </x:c>
      <x:c r="W2" s="35" t="s">
        <x:v>0</x:v>
      </x:c>
      <x:c r="X2" s="35">
        <x:v>1</x:v>
      </x:c>
    </x:row>
    <x:row r="3" spans="1:24" ht="24.949999999999999" customHeight="1">
      <x:c r="A3" s="13"/>
      <x:c r="B3" s="14" t="s">
        <x:v>14</x:v>
      </x:c>
      <x:c r="C3" s="14" t="s">
        <x:v>44</x:v>
      </x:c>
      <x:c r="D3" s="14" t="s">
        <x:v>55</x:v>
      </x:c>
      <x:c r="E3" s="14" t="s">
        <x:v>54</x:v>
      </x:c>
      <x:c r="F3" s="14" t="s">
        <x:v>53</x:v>
      </x:c>
      <x:c r="G3" s="14" t="s">
        <x:v>52</x:v>
      </x:c>
      <x:c r="H3" s="14" t="s">
        <x:v>47</x:v>
      </x:c>
      <x:c r="I3" s="15" t="s">
        <x:v>41</x:v>
      </x:c>
      <x:c r="J3" s="14" t="s">
        <x:v>44</x:v>
      </x:c>
      <x:c r="K3" s="14" t="s">
        <x:v>55</x:v>
      </x:c>
      <x:c r="L3" s="14" t="s">
        <x:v>54</x:v>
      </x:c>
      <x:c r="M3" s="14" t="s">
        <x:v>53</x:v>
      </x:c>
      <x:c r="N3" s="16" t="s">
        <x:v>52</x:v>
      </x:c>
      <x:c r="O3" s="17" t="s">
        <x:v>56</x:v>
      </x:c>
      <x:c r="U3" s="36" t="s">
        <x:v>58</x:v>
      </x:c>
      <x:c r="V3" s="36"/>
      <x:c r="W3" s="36"/>
      <x:c r="X3" s="36"/>
    </x:row>
    <x:row r="4" spans="1:24" ht="24.949999999999999" customHeight="1">
      <x:c r="A4" s="18">
        <x:v>1</x:v>
      </x:c>
      <x:c r="B4" s="19" t="s">
        <x:v>7</x:v>
      </x:c>
      <x:c r="C4" s="20">
        <x:v>204</x:v>
      </x:c>
      <x:c r="D4" s="20">
        <x:v>207</x:v>
      </x:c>
      <x:c r="E4" s="20">
        <x:v>235</x:v>
      </x:c>
      <x:c r="F4" s="20">
        <x:v>236</x:v>
      </x:c>
      <x:c r="G4" s="21">
        <x:f>F4+E4+D4+C4</x:f>
        <x:v>882</x:v>
      </x:c>
      <x:c r="H4" s="22">
        <x:f>G4/4</x:f>
        <x:v>220.5</x:v>
      </x:c>
      <x:c r="I4" s="23">
        <x:f>IF(B4="","",IFERROR(INDEX('회원명단 및 기준에버'!D:G,MATCH(B4,'회원명단 및 기준에버'!$C:$C,0),CHOOSE(INT((MONTH($N$2)-1)/3)+1,1,2,3,4)),""))</x:f>
        <x:v>200</x:v>
      </x:c>
      <x:c r="J4" s="5">
        <x:f>IFERROR(C4+-I4,0)</x:f>
        <x:v>4</x:v>
      </x:c>
      <x:c r="K4" s="5">
        <x:f>IFERROR(D4+-I4,0)</x:f>
        <x:v>7</x:v>
      </x:c>
      <x:c r="L4" s="5">
        <x:f>IFERROR(E4+-I4,0)</x:f>
        <x:v>35</x:v>
      </x:c>
      <x:c r="M4" s="5">
        <x:f>IFERROR(F4+-I4,0)</x:f>
        <x:v>36</x:v>
      </x:c>
      <x:c r="N4" s="6">
        <x:f>SUM(J4:M4)</x:f>
        <x:v>82</x:v>
      </x:c>
      <x:c r="O4" s="24">
        <x:f>IFERROR(H4+-I4,0)</x:f>
        <x:v>20.5</x:v>
      </x:c>
      <x:c r="P4" s="25"/>
      <x:c r="U4" s="59">
        <x:f t="shared" ref="U4:U23" si="0">MAX(C4:F4)-MIN(C4:F4)</x:f>
        <x:v>32</x:v>
      </x:c>
      <x:c r="V4" s="60">
        <x:f>IF($X$2=0,(G4*1000000+U4*1000+A4),(O4*1000000+U4*1000+A4))</x:f>
        <x:v>20532001</x:v>
      </x:c>
      <x:c r="W4" s="60">
        <x:f t="shared" ref="W4:W23" si="1">_xlfn.RANK.EQ(V4,$V$4:$V$23,0)</x:f>
        <x:v>5</x:v>
      </x:c>
      <x:c r="X4" s="61"/>
    </x:row>
    <x:row r="5" spans="1:24" ht="24.949999999999999" customHeight="1">
      <x:c r="A5" s="18">
        <x:v>2</x:v>
      </x:c>
      <x:c r="B5" s="19" t="s">
        <x:v>9</x:v>
      </x:c>
      <x:c r="C5" s="20">
        <x:v>219</x:v>
      </x:c>
      <x:c r="D5" s="20">
        <x:v>204</x:v>
      </x:c>
      <x:c r="E5" s="20">
        <x:v>192</x:v>
      </x:c>
      <x:c r="F5" s="20">
        <x:v>165</x:v>
      </x:c>
      <x:c r="G5" s="21">
        <x:f t="shared" ref="G5:G23" si="2">F5+E5+D5+C5</x:f>
        <x:v>780</x:v>
      </x:c>
      <x:c r="H5" s="22">
        <x:f t="shared" ref="H5:H23" si="3">G5/4</x:f>
        <x:v>195</x:v>
      </x:c>
      <x:c r="I5" s="23">
        <x:f>IF(B5="","",IFERROR(INDEX('회원명단 및 기준에버'!D:G,MATCH(B5,'회원명단 및 기준에버'!$C:$C,0),CHOOSE(INT((MONTH($N$2)-1)/3)+1,1,2,3,4)),""))</x:f>
        <x:v>191</x:v>
      </x:c>
      <x:c r="J5" s="5">
        <x:f>IFERROR(C5+-I5,0)</x:f>
        <x:v>28</x:v>
      </x:c>
      <x:c r="K5" s="5">
        <x:f>IFERROR(D5+-I5,0)</x:f>
        <x:v>13</x:v>
      </x:c>
      <x:c r="L5" s="5">
        <x:f>IFERROR(E5+-I5,0)</x:f>
        <x:v>1</x:v>
      </x:c>
      <x:c r="M5" s="5">
        <x:f t="shared" ref="M5:M23" si="4">IFERROR(F5+-I5,0)</x:f>
        <x:v>-26</x:v>
      </x:c>
      <x:c r="N5" s="6">
        <x:f t="shared" ref="N5:N23" si="5">SUM(J5:M5)</x:f>
        <x:v>16</x:v>
      </x:c>
      <x:c r="O5" s="24">
        <x:f>IFERROR(H5+-I5,0)</x:f>
        <x:v>4</x:v>
      </x:c>
      <x:c r="P5" s="25"/>
      <x:c r="U5" s="62">
        <x:f t="shared" si="0"/>
        <x:v>54</x:v>
      </x:c>
      <x:c r="V5" s="57">
        <x:f t="shared" ref="V5:V23" si="6">IF($X$2=0,(G5*1000000+U5*1000+A5),(O5*1000000+U5*1000+A5))</x:f>
        <x:v>4054002</x:v>
      </x:c>
      <x:c r="W5" s="57">
        <x:f t="shared" si="1"/>
        <x:v>11</x:v>
      </x:c>
      <x:c r="X5" s="63"/>
    </x:row>
    <x:row r="6" spans="1:24" ht="24.949999999999999" customHeight="1">
      <x:c r="A6" s="18">
        <x:v>3</x:v>
      </x:c>
      <x:c r="B6" s="19" t="s">
        <x:v>3</x:v>
      </x:c>
      <x:c r="C6" s="20">
        <x:v>201</x:v>
      </x:c>
      <x:c r="D6" s="20">
        <x:v>201</x:v>
      </x:c>
      <x:c r="E6" s="20">
        <x:v>211</x:v>
      </x:c>
      <x:c r="F6" s="20">
        <x:v>160</x:v>
      </x:c>
      <x:c r="G6" s="21">
        <x:f t="shared" si="2"/>
        <x:v>773</x:v>
      </x:c>
      <x:c r="H6" s="22">
        <x:f t="shared" si="3"/>
        <x:v>193.25</x:v>
      </x:c>
      <x:c r="I6" s="23">
        <x:f>IF(B6="","",IFERROR(INDEX('회원명단 및 기준에버'!D:G,MATCH(B6,'회원명단 및 기준에버'!$C:$C,0),CHOOSE(INT((MONTH($N$2)-1)/3)+1,1,2,3,4)),""))</x:f>
        <x:v>192</x:v>
      </x:c>
      <x:c r="J6" s="5">
        <x:f t="shared" ref="J6:J23" si="7">IFERROR(C6+-I6,0)</x:f>
        <x:v>9</x:v>
      </x:c>
      <x:c r="K6" s="5">
        <x:f t="shared" ref="K6:K23" si="8">IFERROR(D6+-I6,0)</x:f>
        <x:v>9</x:v>
      </x:c>
      <x:c r="L6" s="5">
        <x:f t="shared" ref="L6:L23" si="9">IFERROR(E6+-I6,0)</x:f>
        <x:v>19</x:v>
      </x:c>
      <x:c r="M6" s="5">
        <x:f t="shared" si="4"/>
        <x:v>-32</x:v>
      </x:c>
      <x:c r="N6" s="6">
        <x:f t="shared" si="5"/>
        <x:v>5</x:v>
      </x:c>
      <x:c r="O6" s="24">
        <x:f t="shared" ref="O6:O23" si="10">IFERROR(H6+-I6,0)</x:f>
        <x:v>1.25</x:v>
      </x:c>
      <x:c r="U6" s="62">
        <x:f t="shared" si="0"/>
        <x:v>51</x:v>
      </x:c>
      <x:c r="V6" s="57">
        <x:f t="shared" si="6"/>
        <x:v>1301003</x:v>
      </x:c>
      <x:c r="W6" s="57">
        <x:f t="shared" si="1"/>
        <x:v>12</x:v>
      </x:c>
      <x:c r="X6" s="63"/>
    </x:row>
    <x:row r="7" spans="1:24" ht="24.949999999999999" customHeight="1">
      <x:c r="A7" s="18">
        <x:v>4</x:v>
      </x:c>
      <x:c r="B7" s="19" t="s">
        <x:v>20</x:v>
      </x:c>
      <x:c r="C7" s="20">
        <x:v>211</x:v>
      </x:c>
      <x:c r="D7" s="20">
        <x:v>220</x:v>
      </x:c>
      <x:c r="E7" s="20">
        <x:v>171</x:v>
      </x:c>
      <x:c r="F7" s="20">
        <x:v>133</x:v>
      </x:c>
      <x:c r="G7" s="21">
        <x:f t="shared" si="2"/>
        <x:v>735</x:v>
      </x:c>
      <x:c r="H7" s="22">
        <x:f t="shared" si="3"/>
        <x:v>183.75</x:v>
      </x:c>
      <x:c r="I7" s="23">
        <x:f>IF(B7="","",IFERROR(INDEX('회원명단 및 기준에버'!D:G,MATCH(B7,'회원명단 및 기준에버'!$C:$C,0),CHOOSE(INT((MONTH($N$2)-1)/3)+1,1,2,3,4)),""))</x:f>
        <x:v>183</x:v>
      </x:c>
      <x:c r="J7" s="5">
        <x:f t="shared" si="7"/>
        <x:v>28</x:v>
      </x:c>
      <x:c r="K7" s="5">
        <x:f t="shared" si="8"/>
        <x:v>37</x:v>
      </x:c>
      <x:c r="L7" s="5">
        <x:f t="shared" si="9"/>
        <x:v>-12</x:v>
      </x:c>
      <x:c r="M7" s="5">
        <x:f t="shared" si="4"/>
        <x:v>-50</x:v>
      </x:c>
      <x:c r="N7" s="6">
        <x:f t="shared" si="5"/>
        <x:v>3</x:v>
      </x:c>
      <x:c r="O7" s="24">
        <x:f t="shared" si="10"/>
        <x:v>0.75</x:v>
      </x:c>
      <x:c r="U7" s="62">
        <x:f t="shared" si="0"/>
        <x:v>87</x:v>
      </x:c>
      <x:c r="V7" s="57">
        <x:f t="shared" si="6"/>
        <x:v>837004</x:v>
      </x:c>
      <x:c r="W7" s="57">
        <x:f t="shared" si="1"/>
        <x:v>13</x:v>
      </x:c>
      <x:c r="X7" s="63"/>
    </x:row>
    <x:row r="8" spans="1:24" ht="24.949999999999999" customHeight="1">
      <x:c r="A8" s="18">
        <x:v>5</x:v>
      </x:c>
      <x:c r="B8" s="19"/>
      <x:c r="C8" s="20"/>
      <x:c r="D8" s="20"/>
      <x:c r="E8" s="20"/>
      <x:c r="F8" s="20"/>
      <x:c r="G8" s="21">
        <x:f t="shared" si="2"/>
        <x:v>0</x:v>
      </x:c>
      <x:c r="H8" s="22">
        <x:f t="shared" si="3"/>
        <x:v>0</x:v>
      </x:c>
      <x:c r="I8" s="23" t="str">
        <x:f>IF(B8="","",IFERROR(INDEX('회원명단 및 기준에버'!D:G,MATCH(B8,'회원명단 및 기준에버'!$C:$C,0),CHOOSE(INT((MONTH($N$2)-1)/3)+1,1,2,3,4)),""))</x:f>
        <x:v/>
      </x:c>
      <x:c r="J8" s="5">
        <x:f t="shared" si="7"/>
        <x:v>0</x:v>
      </x:c>
      <x:c r="K8" s="5">
        <x:f t="shared" si="8"/>
        <x:v>0</x:v>
      </x:c>
      <x:c r="L8" s="5">
        <x:f t="shared" si="9"/>
        <x:v>0</x:v>
      </x:c>
      <x:c r="M8" s="5">
        <x:f t="shared" si="4"/>
        <x:v>0</x:v>
      </x:c>
      <x:c r="N8" s="6">
        <x:f t="shared" si="5"/>
        <x:v>0</x:v>
      </x:c>
      <x:c r="O8" s="24">
        <x:f t="shared" si="10"/>
        <x:v>0</x:v>
      </x:c>
      <x:c r="U8" s="62">
        <x:f t="shared" si="0"/>
        <x:v>0</x:v>
      </x:c>
      <x:c r="V8" s="57">
        <x:f t="shared" si="6"/>
        <x:v>5</x:v>
      </x:c>
      <x:c r="W8" s="57">
        <x:f t="shared" si="1"/>
        <x:v>15</x:v>
      </x:c>
      <x:c r="X8" s="63"/>
    </x:row>
    <x:row r="9" spans="1:24" ht="24.949999999999999" customHeight="1">
      <x:c r="A9" s="18">
        <x:v>6</x:v>
      </x:c>
      <x:c r="B9" s="19" t="s">
        <x:v>19</x:v>
      </x:c>
      <x:c r="C9" s="20">
        <x:v>266</x:v>
      </x:c>
      <x:c r="D9" s="20">
        <x:v>197</x:v>
      </x:c>
      <x:c r="E9" s="20">
        <x:v>222</x:v>
      </x:c>
      <x:c r="F9" s="20">
        <x:v>273</x:v>
      </x:c>
      <x:c r="G9" s="21">
        <x:f t="shared" si="2"/>
        <x:v>958</x:v>
      </x:c>
      <x:c r="H9" s="22">
        <x:f t="shared" si="3"/>
        <x:v>239.5</x:v>
      </x:c>
      <x:c r="I9" s="23">
        <x:f>IF(B9="","",IFERROR(INDEX('회원명단 및 기준에버'!D:G,MATCH(B9,'회원명단 및 기준에버'!$C:$C,0),CHOOSE(INT((MONTH($N$2)-1)/3)+1,1,2,3,4)),""))</x:f>
        <x:v>200</x:v>
      </x:c>
      <x:c r="J9" s="5">
        <x:f t="shared" si="7"/>
        <x:v>66</x:v>
      </x:c>
      <x:c r="K9" s="5">
        <x:f t="shared" si="8"/>
        <x:v>-3</x:v>
      </x:c>
      <x:c r="L9" s="5">
        <x:f t="shared" si="9"/>
        <x:v>22</x:v>
      </x:c>
      <x:c r="M9" s="5">
        <x:f t="shared" si="4"/>
        <x:v>73</x:v>
      </x:c>
      <x:c r="N9" s="6">
        <x:f t="shared" si="5"/>
        <x:v>158</x:v>
      </x:c>
      <x:c r="O9" s="24">
        <x:f t="shared" si="10"/>
        <x:v>39.5</x:v>
      </x:c>
      <x:c r="U9" s="62">
        <x:f t="shared" si="0"/>
        <x:v>76</x:v>
      </x:c>
      <x:c r="V9" s="57">
        <x:f t="shared" si="6"/>
        <x:v>39576006</x:v>
      </x:c>
      <x:c r="W9" s="57">
        <x:f t="shared" si="1"/>
        <x:v>1</x:v>
      </x:c>
      <x:c r="X9" s="63"/>
    </x:row>
    <x:row r="10" spans="1:24" ht="24.949999999999999" customHeight="1">
      <x:c r="A10" s="18">
        <x:v>7</x:v>
      </x:c>
      <x:c r="B10" s="19" t="s">
        <x:v>29</x:v>
      </x:c>
      <x:c r="C10" s="20">
        <x:v>184</x:v>
      </x:c>
      <x:c r="D10" s="20">
        <x:v>211</x:v>
      </x:c>
      <x:c r="E10" s="20">
        <x:v>212</x:v>
      </x:c>
      <x:c r="F10" s="20">
        <x:v>180</x:v>
      </x:c>
      <x:c r="G10" s="21">
        <x:f t="shared" si="2"/>
        <x:v>787</x:v>
      </x:c>
      <x:c r="H10" s="22">
        <x:f t="shared" si="3"/>
        <x:v>196.75</x:v>
      </x:c>
      <x:c r="I10" s="23">
        <x:f>IF(B10="","",IFERROR(INDEX('회원명단 및 기준에버'!D:G,MATCH(B10,'회원명단 및 기준에버'!$C:$C,0),CHOOSE(INT((MONTH($N$2)-1)/3)+1,1,2,3,4)),""))</x:f>
        <x:v>200</x:v>
      </x:c>
      <x:c r="J10" s="5">
        <x:f t="shared" si="7"/>
        <x:v>-16</x:v>
      </x:c>
      <x:c r="K10" s="5">
        <x:f t="shared" si="8"/>
        <x:v>11</x:v>
      </x:c>
      <x:c r="L10" s="5">
        <x:f t="shared" si="9"/>
        <x:v>12</x:v>
      </x:c>
      <x:c r="M10" s="5">
        <x:f t="shared" si="4"/>
        <x:v>-20</x:v>
      </x:c>
      <x:c r="N10" s="6">
        <x:f t="shared" si="5"/>
        <x:v>-13</x:v>
      </x:c>
      <x:c r="O10" s="24">
        <x:f t="shared" si="10"/>
        <x:v>-3.25</x:v>
      </x:c>
      <x:c r="U10" s="62">
        <x:f t="shared" si="0"/>
        <x:v>32</x:v>
      </x:c>
      <x:c r="V10" s="57">
        <x:f t="shared" si="6"/>
        <x:v>-3217993</x:v>
      </x:c>
      <x:c r="W10" s="57">
        <x:f t="shared" si="1"/>
        <x:v>18</x:v>
      </x:c>
      <x:c r="X10" s="63"/>
    </x:row>
    <x:row r="11" spans="1:24" ht="24.949999999999999" customHeight="1">
      <x:c r="A11" s="18">
        <x:v>8</x:v>
      </x:c>
      <x:c r="B11" s="19" t="s">
        <x:v>23</x:v>
      </x:c>
      <x:c r="C11" s="20">
        <x:v>254</x:v>
      </x:c>
      <x:c r="D11" s="20">
        <x:v>218</x:v>
      </x:c>
      <x:c r="E11" s="20">
        <x:v>166</x:v>
      </x:c>
      <x:c r="F11" s="20">
        <x:v>200</x:v>
      </x:c>
      <x:c r="G11" s="21">
        <x:f t="shared" si="2"/>
        <x:v>838</x:v>
      </x:c>
      <x:c r="H11" s="22">
        <x:f t="shared" si="3"/>
        <x:v>209.5</x:v>
      </x:c>
      <x:c r="I11" s="23">
        <x:f>IF(B11="","",IFERROR(INDEX('회원명단 및 기준에버'!D:G,MATCH(B11,'회원명단 및 기준에버'!$C:$C,0),CHOOSE(INT((MONTH($N$2)-1)/3)+1,1,2,3,4)),""))</x:f>
        <x:v>184</x:v>
      </x:c>
      <x:c r="J11" s="5">
        <x:f t="shared" si="7"/>
        <x:v>70</x:v>
      </x:c>
      <x:c r="K11" s="5">
        <x:f t="shared" si="8"/>
        <x:v>34</x:v>
      </x:c>
      <x:c r="L11" s="5">
        <x:f t="shared" si="9"/>
        <x:v>-18</x:v>
      </x:c>
      <x:c r="M11" s="5">
        <x:f t="shared" si="4"/>
        <x:v>16</x:v>
      </x:c>
      <x:c r="N11" s="6">
        <x:f t="shared" si="5"/>
        <x:v>102</x:v>
      </x:c>
      <x:c r="O11" s="24">
        <x:f t="shared" si="10"/>
        <x:v>25.5</x:v>
      </x:c>
      <x:c r="U11" s="62">
        <x:f t="shared" si="0"/>
        <x:v>88</x:v>
      </x:c>
      <x:c r="V11" s="57">
        <x:f t="shared" si="6"/>
        <x:v>25588008</x:v>
      </x:c>
      <x:c r="W11" s="57">
        <x:f t="shared" si="1"/>
        <x:v>2</x:v>
      </x:c>
      <x:c r="X11" s="63"/>
    </x:row>
    <x:row r="12" spans="1:24" ht="24.949999999999999" customHeight="1">
      <x:c r="A12" s="18">
        <x:v>9</x:v>
      </x:c>
      <x:c r="B12" s="19" t="s">
        <x:v>8</x:v>
      </x:c>
      <x:c r="C12" s="20">
        <x:v>170</x:v>
      </x:c>
      <x:c r="D12" s="20">
        <x:v>157</x:v>
      </x:c>
      <x:c r="E12" s="20">
        <x:v>186</x:v>
      </x:c>
      <x:c r="F12" s="20">
        <x:v>195</x:v>
      </x:c>
      <x:c r="G12" s="21">
        <x:f t="shared" si="2"/>
        <x:v>708</x:v>
      </x:c>
      <x:c r="H12" s="22">
        <x:f t="shared" si="3"/>
        <x:v>177</x:v>
      </x:c>
      <x:c r="I12" s="23">
        <x:f>IF(B12="","",IFERROR(INDEX('회원명단 및 기준에버'!D:G,MATCH(B12,'회원명단 및 기준에버'!$C:$C,0),CHOOSE(INT((MONTH($N$2)-1)/3)+1,1,2,3,4)),""))</x:f>
        <x:v>184</x:v>
      </x:c>
      <x:c r="J12" s="5">
        <x:f t="shared" si="7"/>
        <x:v>-14</x:v>
      </x:c>
      <x:c r="K12" s="5">
        <x:f t="shared" si="8"/>
        <x:v>-27</x:v>
      </x:c>
      <x:c r="L12" s="5">
        <x:f t="shared" si="9"/>
        <x:v>2</x:v>
      </x:c>
      <x:c r="M12" s="5">
        <x:f t="shared" si="4"/>
        <x:v>11</x:v>
      </x:c>
      <x:c r="N12" s="6">
        <x:f t="shared" si="5"/>
        <x:v>-28</x:v>
      </x:c>
      <x:c r="O12" s="24">
        <x:f t="shared" si="10"/>
        <x:v>-7</x:v>
      </x:c>
      <x:c r="U12" s="62">
        <x:f t="shared" si="0"/>
        <x:v>38</x:v>
      </x:c>
      <x:c r="V12" s="57">
        <x:f t="shared" si="6"/>
        <x:v>-6961991</x:v>
      </x:c>
      <x:c r="W12" s="57">
        <x:f t="shared" si="1"/>
        <x:v>19</x:v>
      </x:c>
      <x:c r="X12" s="63"/>
    </x:row>
    <x:row r="13" spans="1:24" ht="24.949999999999999" customHeight="1">
      <x:c r="A13" s="18">
        <x:v>10</x:v>
      </x:c>
      <x:c r="B13" s="19" t="s">
        <x:v>13</x:v>
      </x:c>
      <x:c r="C13" s="20">
        <x:v>127</x:v>
      </x:c>
      <x:c r="D13" s="20">
        <x:v>137</x:v>
      </x:c>
      <x:c r="E13" s="20">
        <x:v>192</x:v>
      </x:c>
      <x:c r="F13" s="20">
        <x:v>154</x:v>
      </x:c>
      <x:c r="G13" s="21">
        <x:f t="shared" si="2"/>
        <x:v>610</x:v>
      </x:c>
      <x:c r="H13" s="22">
        <x:f t="shared" si="3"/>
        <x:v>152.5</x:v>
      </x:c>
      <x:c r="I13" s="23">
        <x:f>IF(B13="","",IFERROR(INDEX('회원명단 및 기준에버'!D:G,MATCH(B13,'회원명단 및 기준에버'!$C:$C,0),CHOOSE(INT((MONTH($N$2)-1)/3)+1,1,2,3,4)),""))</x:f>
        <x:v>165</x:v>
      </x:c>
      <x:c r="J13" s="5">
        <x:f t="shared" si="7"/>
        <x:v>-38</x:v>
      </x:c>
      <x:c r="K13" s="5">
        <x:f t="shared" si="8"/>
        <x:v>-28</x:v>
      </x:c>
      <x:c r="L13" s="5">
        <x:f t="shared" si="9"/>
        <x:v>27</x:v>
      </x:c>
      <x:c r="M13" s="5">
        <x:f t="shared" si="4"/>
        <x:v>-11</x:v>
      </x:c>
      <x:c r="N13" s="6">
        <x:f t="shared" si="5"/>
        <x:v>-50</x:v>
      </x:c>
      <x:c r="O13" s="24">
        <x:f t="shared" si="10"/>
        <x:v>-12.5</x:v>
      </x:c>
      <x:c r="U13" s="62">
        <x:f t="shared" si="0"/>
        <x:v>65</x:v>
      </x:c>
      <x:c r="V13" s="57">
        <x:f t="shared" si="6"/>
        <x:v>-12434990</x:v>
      </x:c>
      <x:c r="W13" s="57">
        <x:f t="shared" si="1"/>
        <x:v>20</x:v>
      </x:c>
      <x:c r="X13" s="63"/>
    </x:row>
    <x:row r="14" spans="1:24" ht="24.949999999999999" customHeight="1">
      <x:c r="A14" s="18">
        <x:v>11</x:v>
      </x:c>
      <x:c r="B14" s="19" t="s">
        <x:v>16</x:v>
      </x:c>
      <x:c r="C14" s="20">
        <x:v>232</x:v>
      </x:c>
      <x:c r="D14" s="20">
        <x:v>214</x:v>
      </x:c>
      <x:c r="E14" s="20">
        <x:v>230</x:v>
      </x:c>
      <x:c r="F14" s="20">
        <x:v>217</x:v>
      </x:c>
      <x:c r="G14" s="21">
        <x:f t="shared" si="2"/>
        <x:v>893</x:v>
      </x:c>
      <x:c r="H14" s="22">
        <x:f t="shared" si="3"/>
        <x:v>223.25</x:v>
      </x:c>
      <x:c r="I14" s="23">
        <x:f>IF(B14="","",IFERROR(INDEX('회원명단 및 기준에버'!D:G,MATCH(B14,'회원명단 및 기준에버'!$C:$C,0),CHOOSE(INT((MONTH($N$2)-1)/3)+1,1,2,3,4)),""))</x:f>
        <x:v>200</x:v>
      </x:c>
      <x:c r="J14" s="5">
        <x:f t="shared" si="7"/>
        <x:v>32</x:v>
      </x:c>
      <x:c r="K14" s="5">
        <x:f t="shared" si="8"/>
        <x:v>14</x:v>
      </x:c>
      <x:c r="L14" s="5">
        <x:f t="shared" si="9"/>
        <x:v>30</x:v>
      </x:c>
      <x:c r="M14" s="5">
        <x:f t="shared" si="4"/>
        <x:v>17</x:v>
      </x:c>
      <x:c r="N14" s="6">
        <x:f t="shared" si="5"/>
        <x:v>93</x:v>
      </x:c>
      <x:c r="O14" s="24">
        <x:f t="shared" si="10"/>
        <x:v>23.25</x:v>
      </x:c>
      <x:c r="U14" s="62">
        <x:f t="shared" si="0"/>
        <x:v>18</x:v>
      </x:c>
      <x:c r="V14" s="57">
        <x:f t="shared" si="6"/>
        <x:v>23268011</x:v>
      </x:c>
      <x:c r="W14" s="57">
        <x:f t="shared" si="1"/>
        <x:v>3</x:v>
      </x:c>
      <x:c r="X14" s="63"/>
    </x:row>
    <x:row r="15" spans="1:24" ht="24.949999999999999" customHeight="1">
      <x:c r="A15" s="18">
        <x:v>12</x:v>
      </x:c>
      <x:c r="B15" s="19" t="s">
        <x:v>22</x:v>
      </x:c>
      <x:c r="C15" s="20">
        <x:v>178</x:v>
      </x:c>
      <x:c r="D15" s="20">
        <x:v>214</x:v>
      </x:c>
      <x:c r="E15" s="20">
        <x:v>176</x:v>
      </x:c>
      <x:c r="F15" s="20">
        <x:v>198</x:v>
      </x:c>
      <x:c r="G15" s="21">
        <x:f t="shared" si="2"/>
        <x:v>766</x:v>
      </x:c>
      <x:c r="H15" s="22">
        <x:f t="shared" si="3"/>
        <x:v>191.5</x:v>
      </x:c>
      <x:c r="I15" s="23">
        <x:f>IF(B15="","",IFERROR(INDEX('회원명단 및 기준에버'!D:G,MATCH(B15,'회원명단 및 기준에버'!$C:$C,0),CHOOSE(INT((MONTH($N$2)-1)/3)+1,1,2,3,4)),""))</x:f>
        <x:v>194</x:v>
      </x:c>
      <x:c r="J15" s="5">
        <x:f t="shared" si="7"/>
        <x:v>-16</x:v>
      </x:c>
      <x:c r="K15" s="5">
        <x:f t="shared" si="8"/>
        <x:v>20</x:v>
      </x:c>
      <x:c r="L15" s="5">
        <x:f t="shared" si="9"/>
        <x:v>-18</x:v>
      </x:c>
      <x:c r="M15" s="5">
        <x:f t="shared" si="4"/>
        <x:v>4</x:v>
      </x:c>
      <x:c r="N15" s="6">
        <x:f t="shared" si="5"/>
        <x:v>-10</x:v>
      </x:c>
      <x:c r="O15" s="24">
        <x:f t="shared" si="10"/>
        <x:v>-2.5</x:v>
      </x:c>
      <x:c r="U15" s="62">
        <x:f t="shared" si="0"/>
        <x:v>38</x:v>
      </x:c>
      <x:c r="V15" s="57">
        <x:f t="shared" si="6"/>
        <x:v>-2461988</x:v>
      </x:c>
      <x:c r="W15" s="57">
        <x:f t="shared" si="1"/>
        <x:v>17</x:v>
      </x:c>
      <x:c r="X15" s="63"/>
    </x:row>
    <x:row r="16" spans="1:24" ht="24.949999999999999" customHeight="1">
      <x:c r="A16" s="18">
        <x:v>13</x:v>
      </x:c>
      <x:c r="B16" s="19" t="s">
        <x:v>31</x:v>
      </x:c>
      <x:c r="C16" s="20">
        <x:v>227</x:v>
      </x:c>
      <x:c r="D16" s="20">
        <x:v>240</x:v>
      </x:c>
      <x:c r="E16" s="20">
        <x:v>183</x:v>
      </x:c>
      <x:c r="F16" s="20">
        <x:v>200</x:v>
      </x:c>
      <x:c r="G16" s="21">
        <x:f t="shared" si="2"/>
        <x:v>850</x:v>
      </x:c>
      <x:c r="H16" s="22">
        <x:f t="shared" si="3"/>
        <x:v>212.5</x:v>
      </x:c>
      <x:c r="I16" s="23">
        <x:f>IF(B16="","",IFERROR(INDEX('회원명단 및 기준에버'!D:G,MATCH(B16,'회원명단 및 기준에버'!$C:$C,0),CHOOSE(INT((MONTH($N$2)-1)/3)+1,1,2,3,4)),""))</x:f>
        <x:v>198</x:v>
      </x:c>
      <x:c r="J16" s="5">
        <x:f t="shared" si="7"/>
        <x:v>29</x:v>
      </x:c>
      <x:c r="K16" s="5">
        <x:f t="shared" si="8"/>
        <x:v>42</x:v>
      </x:c>
      <x:c r="L16" s="5">
        <x:f t="shared" si="9"/>
        <x:v>-15</x:v>
      </x:c>
      <x:c r="M16" s="5">
        <x:f t="shared" si="4"/>
        <x:v>2</x:v>
      </x:c>
      <x:c r="N16" s="6">
        <x:f t="shared" si="5"/>
        <x:v>58</x:v>
      </x:c>
      <x:c r="O16" s="24">
        <x:f t="shared" si="10"/>
        <x:v>14.5</x:v>
      </x:c>
      <x:c r="U16" s="62">
        <x:f t="shared" si="0"/>
        <x:v>57</x:v>
      </x:c>
      <x:c r="V16" s="57">
        <x:f t="shared" si="6"/>
        <x:v>14557013</x:v>
      </x:c>
      <x:c r="W16" s="57">
        <x:f t="shared" si="1"/>
        <x:v>9</x:v>
      </x:c>
      <x:c r="X16" s="63"/>
    </x:row>
    <x:row r="17" spans="1:24" ht="24.949999999999999" customHeight="1">
      <x:c r="A17" s="18">
        <x:v>14</x:v>
      </x:c>
      <x:c r="B17" s="19" t="s">
        <x:v>34</x:v>
      </x:c>
      <x:c r="C17" s="20">
        <x:v>189</x:v>
      </x:c>
      <x:c r="D17" s="20">
        <x:v>211</x:v>
      </x:c>
      <x:c r="E17" s="20">
        <x:v>170</x:v>
      </x:c>
      <x:c r="F17" s="20">
        <x:v>200</x:v>
      </x:c>
      <x:c r="G17" s="21">
        <x:f t="shared" si="2"/>
        <x:v>770</x:v>
      </x:c>
      <x:c r="H17" s="22">
        <x:f t="shared" si="3"/>
        <x:v>192.5</x:v>
      </x:c>
      <x:c r="I17" s="23">
        <x:f>IF(B17="","",IFERROR(INDEX('회원명단 및 기준에버'!D:G,MATCH(B17,'회원명단 및 기준에버'!$C:$C,0),CHOOSE(INT((MONTH($N$2)-1)/3)+1,1,2,3,4)),""))</x:f>
        <x:v>182</x:v>
      </x:c>
      <x:c r="J17" s="5">
        <x:f t="shared" si="7"/>
        <x:v>7</x:v>
      </x:c>
      <x:c r="K17" s="5">
        <x:f t="shared" si="8"/>
        <x:v>29</x:v>
      </x:c>
      <x:c r="L17" s="5">
        <x:f t="shared" si="9"/>
        <x:v>-12</x:v>
      </x:c>
      <x:c r="M17" s="5">
        <x:f t="shared" si="4"/>
        <x:v>18</x:v>
      </x:c>
      <x:c r="N17" s="6">
        <x:f t="shared" si="5"/>
        <x:v>42</x:v>
      </x:c>
      <x:c r="O17" s="24">
        <x:f t="shared" si="10"/>
        <x:v>10.5</x:v>
      </x:c>
      <x:c r="U17" s="62">
        <x:f t="shared" si="0"/>
        <x:v>41</x:v>
      </x:c>
      <x:c r="V17" s="57">
        <x:f t="shared" si="6"/>
        <x:v>10541014</x:v>
      </x:c>
      <x:c r="W17" s="57">
        <x:f t="shared" si="1"/>
        <x:v>10</x:v>
      </x:c>
      <x:c r="X17" s="63"/>
    </x:row>
    <x:row r="18" spans="1:24" ht="24.949999999999999" customHeight="1">
      <x:c r="A18" s="18">
        <x:v>15</x:v>
      </x:c>
      <x:c r="B18" s="19" t="s">
        <x:v>17</x:v>
      </x:c>
      <x:c r="C18" s="20">
        <x:v>179</x:v>
      </x:c>
      <x:c r="D18" s="20">
        <x:v>218</x:v>
      </x:c>
      <x:c r="E18" s="20">
        <x:v>193</x:v>
      </x:c>
      <x:c r="F18" s="20">
        <x:v>206</x:v>
      </x:c>
      <x:c r="G18" s="21">
        <x:f t="shared" si="2"/>
        <x:v>796</x:v>
      </x:c>
      <x:c r="H18" s="22">
        <x:f t="shared" si="3"/>
        <x:v>199</x:v>
      </x:c>
      <x:c r="I18" s="23">
        <x:f>IF(B18="","",IFERROR(INDEX('회원명단 및 기준에버'!D:G,MATCH(B18,'회원명단 및 기준에버'!$C:$C,0),CHOOSE(INT((MONTH($N$2)-1)/3)+1,1,2,3,4)),""))</x:f>
        <x:v>184</x:v>
      </x:c>
      <x:c r="J18" s="5">
        <x:f t="shared" si="7"/>
        <x:v>-5</x:v>
      </x:c>
      <x:c r="K18" s="5">
        <x:f t="shared" si="8"/>
        <x:v>34</x:v>
      </x:c>
      <x:c r="L18" s="5">
        <x:f t="shared" si="9"/>
        <x:v>9</x:v>
      </x:c>
      <x:c r="M18" s="5">
        <x:f t="shared" si="4"/>
        <x:v>22</x:v>
      </x:c>
      <x:c r="N18" s="6">
        <x:f t="shared" si="5"/>
        <x:v>60</x:v>
      </x:c>
      <x:c r="O18" s="24">
        <x:f t="shared" si="10"/>
        <x:v>15</x:v>
      </x:c>
      <x:c r="U18" s="62">
        <x:f t="shared" si="0"/>
        <x:v>39</x:v>
      </x:c>
      <x:c r="V18" s="57">
        <x:f t="shared" si="6"/>
        <x:v>15039015</x:v>
      </x:c>
      <x:c r="W18" s="57">
        <x:f t="shared" si="1"/>
        <x:v>8</x:v>
      </x:c>
      <x:c r="X18" s="63"/>
    </x:row>
    <x:row r="19" spans="1:24" ht="24.949999999999999" customHeight="1">
      <x:c r="A19" s="18">
        <x:v>16</x:v>
      </x:c>
      <x:c r="B19" s="19" t="s">
        <x:v>33</x:v>
      </x:c>
      <x:c r="C19" s="20">
        <x:v>187</x:v>
      </x:c>
      <x:c r="D19" s="20">
        <x:v>201</x:v>
      </x:c>
      <x:c r="E19" s="20">
        <x:v>188</x:v>
      </x:c>
      <x:c r="F19" s="20">
        <x:v>225</x:v>
      </x:c>
      <x:c r="G19" s="21">
        <x:f t="shared" si="2"/>
        <x:v>801</x:v>
      </x:c>
      <x:c r="H19" s="22">
        <x:f t="shared" si="3"/>
        <x:v>200.25</x:v>
      </x:c>
      <x:c r="I19" s="23">
        <x:f>IF(B19="","",IFERROR(INDEX('회원명단 및 기준에버'!D:G,MATCH(B19,'회원명단 및 기준에버'!$C:$C,0),CHOOSE(INT((MONTH($N$2)-1)/3)+1,1,2,3,4)),""))</x:f>
        <x:v>200</x:v>
      </x:c>
      <x:c r="J19" s="5">
        <x:f t="shared" si="7"/>
        <x:v>-13</x:v>
      </x:c>
      <x:c r="K19" s="5">
        <x:f t="shared" si="8"/>
        <x:v>1</x:v>
      </x:c>
      <x:c r="L19" s="5">
        <x:f t="shared" si="9"/>
        <x:v>-12</x:v>
      </x:c>
      <x:c r="M19" s="5">
        <x:f t="shared" si="4"/>
        <x:v>25</x:v>
      </x:c>
      <x:c r="N19" s="6">
        <x:f t="shared" si="5"/>
        <x:v>1</x:v>
      </x:c>
      <x:c r="O19" s="24">
        <x:f t="shared" si="10"/>
        <x:v>0.25</x:v>
      </x:c>
      <x:c r="U19" s="62">
        <x:f t="shared" si="0"/>
        <x:v>38</x:v>
      </x:c>
      <x:c r="V19" s="57">
        <x:f t="shared" si="6"/>
        <x:v>288016</x:v>
      </x:c>
      <x:c r="W19" s="57">
        <x:f t="shared" si="1"/>
        <x:v>14</x:v>
      </x:c>
      <x:c r="X19" s="63"/>
    </x:row>
    <x:row r="20" spans="1:24" ht="24.949999999999999" customHeight="1">
      <x:c r="A20" s="18">
        <x:v>17</x:v>
      </x:c>
      <x:c r="B20" s="19" t="s">
        <x:v>25</x:v>
      </x:c>
      <x:c r="C20" s="20">
        <x:v>191</x:v>
      </x:c>
      <x:c r="D20" s="20">
        <x:v>246</x:v>
      </x:c>
      <x:c r="E20" s="20">
        <x:v>190</x:v>
      </x:c>
      <x:c r="F20" s="20">
        <x:v>223</x:v>
      </x:c>
      <x:c r="G20" s="21">
        <x:f t="shared" si="2"/>
        <x:v>850</x:v>
      </x:c>
      <x:c r="H20" s="22">
        <x:f t="shared" si="3"/>
        <x:v>212.5</x:v>
      </x:c>
      <x:c r="I20" s="23">
        <x:f>IF(B20="","",IFERROR(INDEX('회원명단 및 기준에버'!D:G,MATCH(B20,'회원명단 및 기준에버'!$C:$C,0),CHOOSE(INT((MONTH($N$2)-1)/3)+1,1,2,3,4)),""))</x:f>
        <x:v>194</x:v>
      </x:c>
      <x:c r="J20" s="5">
        <x:f t="shared" si="7"/>
        <x:v>-3</x:v>
      </x:c>
      <x:c r="K20" s="5">
        <x:f t="shared" si="8"/>
        <x:v>52</x:v>
      </x:c>
      <x:c r="L20" s="5">
        <x:f t="shared" si="9"/>
        <x:v>-4</x:v>
      </x:c>
      <x:c r="M20" s="5">
        <x:f t="shared" si="4"/>
        <x:v>29</x:v>
      </x:c>
      <x:c r="N20" s="6">
        <x:f t="shared" si="5"/>
        <x:v>74</x:v>
      </x:c>
      <x:c r="O20" s="24">
        <x:f t="shared" si="10"/>
        <x:v>18.5</x:v>
      </x:c>
      <x:c r="U20" s="62">
        <x:f t="shared" si="0"/>
        <x:v>56</x:v>
      </x:c>
      <x:c r="V20" s="57">
        <x:f t="shared" si="6"/>
        <x:v>18556017</x:v>
      </x:c>
      <x:c r="W20" s="57">
        <x:f t="shared" si="1"/>
        <x:v>6</x:v>
      </x:c>
      <x:c r="X20" s="63"/>
    </x:row>
    <x:row r="21" spans="1:24" ht="24.949999999999999" customHeight="1">
      <x:c r="A21" s="18">
        <x:v>18</x:v>
      </x:c>
      <x:c r="B21" s="19" t="s">
        <x:v>10</x:v>
      </x:c>
      <x:c r="C21" s="20">
        <x:v>234</x:v>
      </x:c>
      <x:c r="D21" s="20">
        <x:v>245</x:v>
      </x:c>
      <x:c r="E21" s="20">
        <x:v>214</x:v>
      </x:c>
      <x:c r="F21" s="20">
        <x:v>189</x:v>
      </x:c>
      <x:c r="G21" s="21">
        <x:f t="shared" si="2"/>
        <x:v>882</x:v>
      </x:c>
      <x:c r="H21" s="22">
        <x:f t="shared" si="3"/>
        <x:v>220.5</x:v>
      </x:c>
      <x:c r="I21" s="23">
        <x:f>IF(B21="","",IFERROR(INDEX('회원명단 및 기준에버'!D:G,MATCH(B21,'회원명단 및 기준에버'!$C:$C,0),CHOOSE(INT((MONTH($N$2)-1)/3)+1,1,2,3,4)),""))</x:f>
        <x:v>200</x:v>
      </x:c>
      <x:c r="J21" s="5">
        <x:f t="shared" si="7"/>
        <x:v>34</x:v>
      </x:c>
      <x:c r="K21" s="5">
        <x:f t="shared" si="8"/>
        <x:v>45</x:v>
      </x:c>
      <x:c r="L21" s="5">
        <x:f t="shared" si="9"/>
        <x:v>14</x:v>
      </x:c>
      <x:c r="M21" s="5">
        <x:f t="shared" si="4"/>
        <x:v>-11</x:v>
      </x:c>
      <x:c r="N21" s="6">
        <x:f t="shared" si="5"/>
        <x:v>82</x:v>
      </x:c>
      <x:c r="O21" s="24">
        <x:f t="shared" si="10"/>
        <x:v>20.5</x:v>
      </x:c>
      <x:c r="U21" s="62">
        <x:f t="shared" si="0"/>
        <x:v>56</x:v>
      </x:c>
      <x:c r="V21" s="57">
        <x:f t="shared" si="6"/>
        <x:v>20556018</x:v>
      </x:c>
      <x:c r="W21" s="57">
        <x:f t="shared" si="1"/>
        <x:v>4</x:v>
      </x:c>
      <x:c r="X21" s="63"/>
    </x:row>
    <x:row r="22" spans="1:24" ht="24.949999999999999" customHeight="1">
      <x:c r="A22" s="18">
        <x:v>19</x:v>
      </x:c>
      <x:c r="B22" s="19" t="s">
        <x:v>5</x:v>
      </x:c>
      <x:c r="C22" s="20">
        <x:v>158</x:v>
      </x:c>
      <x:c r="D22" s="20">
        <x:v>216</x:v>
      </x:c>
      <x:c r="E22" s="20">
        <x:v>128</x:v>
      </x:c>
      <x:c r="F22" s="20">
        <x:v>140</x:v>
      </x:c>
      <x:c r="G22" s="21">
        <x:f t="shared" si="2"/>
        <x:v>642</x:v>
      </x:c>
      <x:c r="H22" s="22">
        <x:f t="shared" si="3"/>
        <x:v>160.5</x:v>
      </x:c>
      <x:c r="I22" s="23">
        <x:f>IF(B22="","",IFERROR(INDEX('회원명단 및 기준에버'!D:G,MATCH(B22,'회원명단 및 기준에버'!$C:$C,0),CHOOSE(INT((MONTH($N$2)-1)/3)+1,1,2,3,4)),""))</x:f>
        <x:v>161</x:v>
      </x:c>
      <x:c r="J22" s="5">
        <x:f t="shared" si="7"/>
        <x:v>-3</x:v>
      </x:c>
      <x:c r="K22" s="5">
        <x:f t="shared" si="8"/>
        <x:v>55</x:v>
      </x:c>
      <x:c r="L22" s="5">
        <x:f t="shared" si="9"/>
        <x:v>-33</x:v>
      </x:c>
      <x:c r="M22" s="5">
        <x:f t="shared" si="4"/>
        <x:v>-21</x:v>
      </x:c>
      <x:c r="N22" s="6">
        <x:f t="shared" si="5"/>
        <x:v>-2</x:v>
      </x:c>
      <x:c r="O22" s="24">
        <x:f t="shared" si="10"/>
        <x:v>-0.5</x:v>
      </x:c>
      <x:c r="U22" s="62">
        <x:f t="shared" si="0"/>
        <x:v>88</x:v>
      </x:c>
      <x:c r="V22" s="57">
        <x:f t="shared" si="6"/>
        <x:v>-411981</x:v>
      </x:c>
      <x:c r="W22" s="57">
        <x:f t="shared" si="1"/>
        <x:v>16</x:v>
      </x:c>
      <x:c r="X22" s="63"/>
    </x:row>
    <x:row r="23" spans="1:24" ht="24.949999999999999" customHeight="1">
      <x:c r="A23" s="18">
        <x:v>20</x:v>
      </x:c>
      <x:c r="B23" s="19" t="s">
        <x:v>12</x:v>
      </x:c>
      <x:c r="C23" s="20">
        <x:v>202</x:v>
      </x:c>
      <x:c r="D23" s="20">
        <x:v>184</x:v>
      </x:c>
      <x:c r="E23" s="20">
        <x:v>225</x:v>
      </x:c>
      <x:c r="F23" s="20">
        <x:v>235</x:v>
      </x:c>
      <x:c r="G23" s="21">
        <x:f t="shared" si="2"/>
        <x:v>846</x:v>
      </x:c>
      <x:c r="H23" s="22">
        <x:f t="shared" si="3"/>
        <x:v>211.5</x:v>
      </x:c>
      <x:c r="I23" s="23">
        <x:f>IF(B23="","",IFERROR(INDEX('회원명단 및 기준에버'!D:G,MATCH(B23,'회원명단 및 기준에버'!$C:$C,0),CHOOSE(INT((MONTH($N$2)-1)/3)+1,1,2,3,4)),""))</x:f>
        <x:v>196</x:v>
      </x:c>
      <x:c r="J23" s="5">
        <x:f t="shared" si="7"/>
        <x:v>6</x:v>
      </x:c>
      <x:c r="K23" s="5">
        <x:f t="shared" si="8"/>
        <x:v>-12</x:v>
      </x:c>
      <x:c r="L23" s="5">
        <x:f t="shared" si="9"/>
        <x:v>29</x:v>
      </x:c>
      <x:c r="M23" s="5">
        <x:f t="shared" si="4"/>
        <x:v>39</x:v>
      </x:c>
      <x:c r="N23" s="6">
        <x:f t="shared" si="5"/>
        <x:v>62</x:v>
      </x:c>
      <x:c r="O23" s="24">
        <x:f t="shared" si="10"/>
        <x:v>15.5</x:v>
      </x:c>
      <x:c r="U23" s="64">
        <x:f t="shared" si="0"/>
        <x:v>51</x:v>
      </x:c>
      <x:c r="V23" s="58">
        <x:f t="shared" si="6"/>
        <x:v>15551020</x:v>
      </x:c>
      <x:c r="W23" s="58">
        <x:f t="shared" si="1"/>
        <x:v>7</x:v>
      </x:c>
      <x:c r="X23" s="65"/>
    </x:row>
    <x:row r="24" spans="1:15" s="11" customFormat="1" ht="24.949999999999999" customHeight="1">
      <x:c r="A24" s="12"/>
      <x:c r="B24" s="120" t="s">
        <x:v>21</x:v>
      </x:c>
      <x:c r="C24" s="121"/>
      <x:c r="D24" s="121"/>
      <x:c r="E24" s="121"/>
      <x:c r="F24" s="120"/>
      <x:c r="G24" s="121"/>
      <x:c r="H24" s="121"/>
      <x:c r="I24" s="121"/>
      <x:c r="J24" s="121"/>
      <x:c r="K24" s="121"/>
      <x:c r="L24" s="121"/>
      <x:c r="M24" s="120"/>
      <x:c r="N24" s="121"/>
      <x:c r="O24" s="122"/>
    </x:row>
    <x:row r="25" spans="2:15" s="11" customFormat="1" ht="24.949999999999999" customHeight="1">
      <x:c r="B25" s="26" t="str">
        <x:f>$B4</x:f>
        <x:v>장 영 민</x:v>
      </x:c>
      <x:c r="C25" s="27">
        <x:f>IF($V$2=0,$C4,$J4)</x:f>
        <x:v>4</x:v>
      </x:c>
      <x:c r="D25" s="27">
        <x:f>IF($V$2=0,$D4,$K4)</x:f>
        <x:v>7</x:v>
      </x:c>
      <x:c r="E25" s="27">
        <x:f>IF($V$2=0,$E4,$L4)</x:f>
        <x:v>35</x:v>
      </x:c>
      <x:c r="F25" s="27">
        <x:f>IF($V$2=0,$F4,$M4)</x:f>
        <x:v>36</x:v>
      </x:c>
      <x:c r="G25" s="123">
        <x:f>E30+D30+C30+F30</x:f>
        <x:v>106</x:v>
      </x:c>
      <x:c r="H25" s="115"/>
      <x:c r="I25" s="28" t="str">
        <x:f>$B9</x:f>
        <x:v>최 현 수</x:v>
      </x:c>
      <x:c r="J25" s="27">
        <x:f>IF($V$2=0,$C9,$J9)</x:f>
        <x:v>66</x:v>
      </x:c>
      <x:c r="K25" s="27">
        <x:f>IF($V$2=0,$D9,$K9)</x:f>
        <x:v>-3</x:v>
      </x:c>
      <x:c r="L25" s="27">
        <x:f>IF($V$2=0,$E9,$L9)</x:f>
        <x:v>22</x:v>
      </x:c>
      <x:c r="M25" s="47">
        <x:f>IF($V$2=0,$F9,$M9)</x:f>
        <x:v>73</x:v>
      </x:c>
      <x:c r="N25" s="129">
        <x:f>L30+K30+J30+M30</x:f>
        <x:v>169</x:v>
      </x:c>
      <x:c r="O25" s="126"/>
    </x:row>
    <x:row r="26" spans="2:15" s="11" customFormat="1" ht="24.949999999999999" customHeight="1">
      <x:c r="B26" s="29" t="str">
        <x:f>$B5</x:f>
        <x:v>천 성 일</x:v>
      </x:c>
      <x:c r="C26" s="4">
        <x:f>IF($V$2=0,$C5,$J5)</x:f>
        <x:v>28</x:v>
      </x:c>
      <x:c r="D26" s="4">
        <x:f>IF($V$2=0,$D5,$K5)</x:f>
        <x:v>13</x:v>
      </x:c>
      <x:c r="E26" s="4">
        <x:f>IF($V$2=0,$E5,$L5)</x:f>
        <x:v>1</x:v>
      </x:c>
      <x:c r="F26" s="4">
        <x:f>IF($V$2=0,$F5,$M5)</x:f>
        <x:v>-26</x:v>
      </x:c>
      <x:c r="G26" s="124"/>
      <x:c r="H26" s="116"/>
      <x:c r="I26" s="29" t="str">
        <x:f>$B10</x:f>
        <x:v>이 대 용</x:v>
      </x:c>
      <x:c r="J26" s="4">
        <x:f>IF($V$2=0,$C10,$J10)</x:f>
        <x:v>-16</x:v>
      </x:c>
      <x:c r="K26" s="4">
        <x:f>IF($V$2=0,$D10,$K10)</x:f>
        <x:v>11</x:v>
      </x:c>
      <x:c r="L26" s="4">
        <x:f>IF($V$2=0,$E10,$L10)</x:f>
        <x:v>12</x:v>
      </x:c>
      <x:c r="M26" s="4">
        <x:f>IF($V$2=0,$F10,$M10)</x:f>
        <x:v>-20</x:v>
      </x:c>
      <x:c r="N26" s="130"/>
      <x:c r="O26" s="127"/>
    </x:row>
    <x:row r="27" spans="2:15" s="11" customFormat="1" ht="24.949999999999999" customHeight="1">
      <x:c r="B27" s="29" t="str">
        <x:f>$B6</x:f>
        <x:v>나 경 주</x:v>
      </x:c>
      <x:c r="C27" s="4">
        <x:f>IF($V$2=0,$C6,$J6)</x:f>
        <x:v>9</x:v>
      </x:c>
      <x:c r="D27" s="4">
        <x:f>IF($V$2=0,$D6,$K6)</x:f>
        <x:v>9</x:v>
      </x:c>
      <x:c r="E27" s="4">
        <x:f>IF($V$2=0,$E6,$L6)</x:f>
        <x:v>19</x:v>
      </x:c>
      <x:c r="F27" s="4">
        <x:f>IF($V$2=0,$F6,$M6)</x:f>
        <x:v>-32</x:v>
      </x:c>
      <x:c r="G27" s="124"/>
      <x:c r="H27" s="116"/>
      <x:c r="I27" s="29" t="str">
        <x:f>$B11</x:f>
        <x:v>정 영 우</x:v>
      </x:c>
      <x:c r="J27" s="4">
        <x:f>IF($V$2=0,$C11,$J11)</x:f>
        <x:v>70</x:v>
      </x:c>
      <x:c r="K27" s="4">
        <x:f>IF($V$2=0,$D11,$K11)</x:f>
        <x:v>34</x:v>
      </x:c>
      <x:c r="L27" s="4">
        <x:f>IF($V$2=0,$E11,$L11)</x:f>
        <x:v>-18</x:v>
      </x:c>
      <x:c r="M27" s="4">
        <x:f>IF($V$2=0,$F11,$M11)</x:f>
        <x:v>16</x:v>
      </x:c>
      <x:c r="N27" s="130"/>
      <x:c r="O27" s="127"/>
    </x:row>
    <x:row r="28" spans="2:15" s="11" customFormat="1" ht="24.949999999999999" customHeight="1">
      <x:c r="B28" s="29" t="str">
        <x:f>$B7</x:f>
        <x:v>지 옥 명</x:v>
      </x:c>
      <x:c r="C28" s="4">
        <x:f>IF($V$2=0,$C7,$J7)</x:f>
        <x:v>28</x:v>
      </x:c>
      <x:c r="D28" s="4">
        <x:f>IF($V$2=0,$D7,$K7)</x:f>
        <x:v>37</x:v>
      </x:c>
      <x:c r="E28" s="4">
        <x:f>IF($V$2=0,$E7,$L7)</x:f>
        <x:v>-12</x:v>
      </x:c>
      <x:c r="F28" s="4">
        <x:f>IF($V$2=0,$F7,$M7)</x:f>
        <x:v>-50</x:v>
      </x:c>
      <x:c r="G28" s="124"/>
      <x:c r="H28" s="116"/>
      <x:c r="I28" s="29" t="str">
        <x:f>$B12</x:f>
        <x:v>엄 정 도</x:v>
      </x:c>
      <x:c r="J28" s="4">
        <x:f>IF($V$2=0,$C12,$J12)</x:f>
        <x:v>-14</x:v>
      </x:c>
      <x:c r="K28" s="4">
        <x:f>IF($V$2=0,$D12,$K12)</x:f>
        <x:v>-27</x:v>
      </x:c>
      <x:c r="L28" s="4">
        <x:f>IF($V$2=0,$E12,$L12)</x:f>
        <x:v>2</x:v>
      </x:c>
      <x:c r="M28" s="4">
        <x:f>IF($V$2=0,$F12,$M12)</x:f>
        <x:v>11</x:v>
      </x:c>
      <x:c r="N28" s="130"/>
      <x:c r="O28" s="127"/>
    </x:row>
    <x:row r="29" spans="2:15" s="11" customFormat="1" ht="24.949999999999999" customHeight="1">
      <x:c r="B29" s="29">
        <x:f>$B8</x:f>
        <x:v>0</x:v>
      </x:c>
      <x:c r="C29" s="4">
        <x:f>IF($V$2=0,$C8,$J8)</x:f>
        <x:v>0</x:v>
      </x:c>
      <x:c r="D29" s="4">
        <x:f>IF($V$2=0,$D8,$K8)</x:f>
        <x:v>0</x:v>
      </x:c>
      <x:c r="E29" s="4">
        <x:f>IF($V$2=0,$E8,$L8)</x:f>
        <x:v>0</x:v>
      </x:c>
      <x:c r="F29" s="4">
        <x:f>IF($V$2=0,$F8,$M8)</x:f>
        <x:v>0</x:v>
      </x:c>
      <x:c r="G29" s="124"/>
      <x:c r="H29" s="116"/>
      <x:c r="I29" s="29" t="str">
        <x:f>$B13</x:f>
        <x:v>이 승 미</x:v>
      </x:c>
      <x:c r="J29" s="4">
        <x:f>IF($V$2=0,$C13,$J13)</x:f>
        <x:v>-38</x:v>
      </x:c>
      <x:c r="K29" s="4">
        <x:f>IF($V$2=0,$D13,$K13)</x:f>
        <x:v>-28</x:v>
      </x:c>
      <x:c r="L29" s="4">
        <x:f>IF($V$2=0,$E13,$L13)</x:f>
        <x:v>27</x:v>
      </x:c>
      <x:c r="M29" s="4">
        <x:f>IF($V$2=0,$F13,$M13)</x:f>
        <x:v>-11</x:v>
      </x:c>
      <x:c r="N29" s="130"/>
      <x:c r="O29" s="127"/>
    </x:row>
    <x:row r="30" spans="2:15" s="11" customFormat="1" ht="24.949999999999999" customHeight="1">
      <x:c r="B30" s="30"/>
      <x:c r="C30" s="31">
        <x:f>SUM(C25:C29)</x:f>
        <x:v>69</x:v>
      </x:c>
      <x:c r="D30" s="31">
        <x:f>SUM(D25:D29)</x:f>
        <x:v>66</x:v>
      </x:c>
      <x:c r="E30" s="31">
        <x:f>SUM(E25:E29)</x:f>
        <x:v>43</x:v>
      </x:c>
      <x:c r="F30" s="31">
        <x:f>SUM(F25:F29)</x:f>
        <x:v>-72</x:v>
      </x:c>
      <x:c r="G30" s="125"/>
      <x:c r="H30" s="117"/>
      <x:c r="I30" s="30"/>
      <x:c r="J30" s="31">
        <x:f>SUM(J25:J29)</x:f>
        <x:v>68</x:v>
      </x:c>
      <x:c r="K30" s="31">
        <x:f>SUM(K25:K29)</x:f>
        <x:v>-13</x:v>
      </x:c>
      <x:c r="L30" s="31">
        <x:f>SUM(L25:L29)</x:f>
        <x:v>45</x:v>
      </x:c>
      <x:c r="M30" s="31">
        <x:f>SUM(M25:M29)</x:f>
        <x:v>69</x:v>
      </x:c>
      <x:c r="N30" s="131"/>
      <x:c r="O30" s="128"/>
    </x:row>
    <x:row r="31" s="11" customFormat="1" ht="9.9499999999999993" customHeight="1"/>
    <x:row r="32" spans="2:15" s="11" customFormat="1" ht="24.949999999999999" customHeight="1">
      <x:c r="B32" s="26" t="str">
        <x:f>$B14</x:f>
        <x:v>변 상 필</x:v>
      </x:c>
      <x:c r="C32" s="27">
        <x:f>IF($V$2=0,$C14,$J14)</x:f>
        <x:v>32</x:v>
      </x:c>
      <x:c r="D32" s="27">
        <x:f>IF($V$2=0,$D14,$K14)</x:f>
        <x:v>14</x:v>
      </x:c>
      <x:c r="E32" s="27">
        <x:f>IF($V$2=0,$E14,$L14)</x:f>
        <x:v>30</x:v>
      </x:c>
      <x:c r="F32" s="27">
        <x:f>IF($V$2=0,$F14,$M14)</x:f>
        <x:v>17</x:v>
      </x:c>
      <x:c r="G32" s="123">
        <x:f>E37+D37+C37+F37</x:f>
        <x:v>185</x:v>
      </x:c>
      <x:c r="H32" s="115"/>
      <x:c r="I32" s="28" t="str">
        <x:f>$B19</x:f>
        <x:v>이 우 석</x:v>
      </x:c>
      <x:c r="J32" s="27">
        <x:f>IF($V$2=0,$C19,$J19)</x:f>
        <x:v>-13</x:v>
      </x:c>
      <x:c r="K32" s="27">
        <x:f>IF($V$2=0,$D19,$K19)</x:f>
        <x:v>1</x:v>
      </x:c>
      <x:c r="L32" s="27">
        <x:f>IF($V$2=0,$E19,$L19)</x:f>
        <x:v>-12</x:v>
      </x:c>
      <x:c r="M32" s="47">
        <x:f>IF($V$2=0,$F19,$M19)</x:f>
        <x:v>25</x:v>
      </x:c>
      <x:c r="N32" s="129">
        <x:f>L37+K37+J37+M37</x:f>
        <x:v>135</x:v>
      </x:c>
      <x:c r="O32" s="126"/>
    </x:row>
    <x:row r="33" spans="2:15" s="12" customFormat="1" ht="24.949999999999999" customHeight="1">
      <x:c r="B33" s="29" t="str">
        <x:f>$B15</x:f>
        <x:v>강 완 규</x:v>
      </x:c>
      <x:c r="C33" s="4">
        <x:f>IF($V$2=0,$C15,$J15)</x:f>
        <x:v>-16</x:v>
      </x:c>
      <x:c r="D33" s="4">
        <x:f>IF($V$2=0,$D15,$K15)</x:f>
        <x:v>20</x:v>
      </x:c>
      <x:c r="E33" s="4">
        <x:f>IF($V$2=0,$E15,$L15)</x:f>
        <x:v>-18</x:v>
      </x:c>
      <x:c r="F33" s="4">
        <x:f>IF($V$2=0,$F15,$M15)</x:f>
        <x:v>4</x:v>
      </x:c>
      <x:c r="G33" s="124"/>
      <x:c r="H33" s="116"/>
      <x:c r="I33" s="29" t="str">
        <x:f>$B20</x:f>
        <x:v>임 연 진</x:v>
      </x:c>
      <x:c r="J33" s="4">
        <x:f>IF($V$2=0,$C20,$J20)</x:f>
        <x:v>-3</x:v>
      </x:c>
      <x:c r="K33" s="4">
        <x:f>IF($V$2=0,$D20,$K20)</x:f>
        <x:v>52</x:v>
      </x:c>
      <x:c r="L33" s="4">
        <x:f>IF($V$2=0,$E20,$L20)</x:f>
        <x:v>-4</x:v>
      </x:c>
      <x:c r="M33" s="4">
        <x:f>IF($V$2=0,$F20,$M20)</x:f>
        <x:v>29</x:v>
      </x:c>
      <x:c r="N33" s="130"/>
      <x:c r="O33" s="127"/>
    </x:row>
    <x:row r="34" spans="2:15" s="12" customFormat="1" ht="24.949999999999999" customHeight="1">
      <x:c r="B34" s="29" t="str">
        <x:f>$B16</x:f>
        <x:v>김 태 환</x:v>
      </x:c>
      <x:c r="C34" s="4">
        <x:v>0</x:v>
      </x:c>
      <x:c r="D34" s="4">
        <x:v>0</x:v>
      </x:c>
      <x:c r="E34" s="4">
        <x:v>0</x:v>
      </x:c>
      <x:c r="F34" s="4">
        <x:v>0</x:v>
      </x:c>
      <x:c r="G34" s="124"/>
      <x:c r="H34" s="116"/>
      <x:c r="I34" s="29" t="str">
        <x:f>$B21</x:f>
        <x:v>임 승 기</x:v>
      </x:c>
      <x:c r="J34" s="4">
        <x:v>0</x:v>
      </x:c>
      <x:c r="K34" s="4">
        <x:v>0</x:v>
      </x:c>
      <x:c r="L34" s="4">
        <x:v>0</x:v>
      </x:c>
      <x:c r="M34" s="4">
        <x:v>0</x:v>
      </x:c>
      <x:c r="N34" s="130"/>
      <x:c r="O34" s="127"/>
    </x:row>
    <x:row r="35" spans="2:15" s="12" customFormat="1" ht="24.949999999999999" customHeight="1">
      <x:c r="B35" s="29" t="str">
        <x:f>$B17</x:f>
        <x:v>김 미 란</x:v>
      </x:c>
      <x:c r="C35" s="4">
        <x:f>IF($V$2=0,$C17,$J17)</x:f>
        <x:v>7</x:v>
      </x:c>
      <x:c r="D35" s="4">
        <x:f>IF($V$2=0,$D17,$K17)</x:f>
        <x:v>29</x:v>
      </x:c>
      <x:c r="E35" s="4">
        <x:f>IF($V$2=0,$E17,$L17)</x:f>
        <x:v>-12</x:v>
      </x:c>
      <x:c r="F35" s="4">
        <x:f>IF($V$2=0,$F17,$M17)</x:f>
        <x:v>18</x:v>
      </x:c>
      <x:c r="G35" s="124"/>
      <x:c r="H35" s="116"/>
      <x:c r="I35" s="29" t="str">
        <x:f>$B22</x:f>
        <x:v>김 선 미</x:v>
      </x:c>
      <x:c r="J35" s="4">
        <x:f>IF($V$2=0,$C22,$J22)</x:f>
        <x:v>-3</x:v>
      </x:c>
      <x:c r="K35" s="4">
        <x:f>IF($V$2=0,$D22,$K22)</x:f>
        <x:v>55</x:v>
      </x:c>
      <x:c r="L35" s="4">
        <x:f>IF($V$2=0,$E22,$L22)</x:f>
        <x:v>-33</x:v>
      </x:c>
      <x:c r="M35" s="4">
        <x:f>IF($V$2=0,$F22,$M22)</x:f>
        <x:v>-21</x:v>
      </x:c>
      <x:c r="N35" s="130"/>
      <x:c r="O35" s="127"/>
    </x:row>
    <x:row r="36" spans="2:15" s="12" customFormat="1" ht="24.949999999999999" customHeight="1">
      <x:c r="B36" s="29" t="str">
        <x:f>$B18</x:f>
        <x:v>황 인 교</x:v>
      </x:c>
      <x:c r="C36" s="4">
        <x:f>IF($V$2=0,$C18,$J18)</x:f>
        <x:v>-5</x:v>
      </x:c>
      <x:c r="D36" s="4">
        <x:f>IF($V$2=0,$D18,$K18)</x:f>
        <x:v>34</x:v>
      </x:c>
      <x:c r="E36" s="4">
        <x:f>IF($V$2=0,$E18,$L18)</x:f>
        <x:v>9</x:v>
      </x:c>
      <x:c r="F36" s="4">
        <x:f>IF($V$2=0,$F18,$M18)</x:f>
        <x:v>22</x:v>
      </x:c>
      <x:c r="G36" s="124"/>
      <x:c r="H36" s="116"/>
      <x:c r="I36" s="29" t="str">
        <x:f>$B23</x:f>
        <x:v>이 정 석</x:v>
      </x:c>
      <x:c r="J36" s="4">
        <x:f>IF($V$2=0,$C23,$J23)</x:f>
        <x:v>6</x:v>
      </x:c>
      <x:c r="K36" s="4">
        <x:f>IF($V$2=0,$D23,$K23)</x:f>
        <x:v>-12</x:v>
      </x:c>
      <x:c r="L36" s="4">
        <x:f>IF($V$2=0,$E23,$L23)</x:f>
        <x:v>29</x:v>
      </x:c>
      <x:c r="M36" s="4">
        <x:f>IF($V$2=0,$F23,$M23)</x:f>
        <x:v>39</x:v>
      </x:c>
      <x:c r="N36" s="130"/>
      <x:c r="O36" s="127"/>
    </x:row>
    <x:row r="37" spans="2:15" s="12" customFormat="1" ht="24.949999999999999" customHeight="1">
      <x:c r="B37" s="30"/>
      <x:c r="C37" s="31">
        <x:f>SUM(C32:C36)</x:f>
        <x:v>18</x:v>
      </x:c>
      <x:c r="D37" s="31">
        <x:f>SUM(D32:D36)</x:f>
        <x:v>97</x:v>
      </x:c>
      <x:c r="E37" s="31">
        <x:f>SUM(E32:E36)</x:f>
        <x:v>9</x:v>
      </x:c>
      <x:c r="F37" s="31">
        <x:f>SUM(F32:F36)</x:f>
        <x:v>61</x:v>
      </x:c>
      <x:c r="G37" s="125"/>
      <x:c r="H37" s="117"/>
      <x:c r="I37" s="30"/>
      <x:c r="J37" s="31">
        <x:f>SUM(J32:J36)</x:f>
        <x:v>-13</x:v>
      </x:c>
      <x:c r="K37" s="31">
        <x:f>SUM(K32:K36)</x:f>
        <x:v>96</x:v>
      </x:c>
      <x:c r="L37" s="31">
        <x:f>SUM(L32:L36)</x:f>
        <x:v>-20</x:v>
      </x:c>
      <x:c r="M37" s="31">
        <x:f>SUM(M32:M36)</x:f>
        <x:v>72</x:v>
      </x:c>
      <x:c r="N37" s="131"/>
      <x:c r="O37" s="128"/>
    </x:row>
    <x:row r="38" ht="9.9499999999999993" customHeight="1"/>
    <x:row r="39" ht="24.949999999999999" customHeight="1"/>
    <x:row r="40" ht="24.949999999999999" customHeight="1"/>
    <x:row r="41" ht="24.949999999999999" customHeight="1"/>
    <x:row r="42" spans="1:15" ht="60" customHeight="1">
      <x:c r="A42" s="112" t="str">
        <x:f>A1</x:f>
        <x:v>2026 아르케 존 01회 번개 모임 점수</x:v>
      </x:c>
      <x:c r="B42" s="112"/>
      <x:c r="C42" s="112"/>
      <x:c r="D42" s="112"/>
      <x:c r="E42" s="112"/>
      <x:c r="F42" s="112"/>
      <x:c r="G42" s="112"/>
      <x:c r="H42" s="112"/>
      <x:c r="I42" s="112"/>
      <x:c r="J42" s="112"/>
      <x:c r="K42" s="112"/>
      <x:c r="L42" s="112"/>
      <x:c r="M42" s="112"/>
      <x:c r="N42" s="112"/>
      <x:c r="O42" s="112"/>
    </x:row>
    <x:row r="43" spans="1:15" ht="24.949999999999999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4" t="s">
        <x:v>48</x:v>
      </x:c>
      <x:c r="M43" s="34"/>
      <x:c r="N43" s="113">
        <x:f>N2</x:f>
        <x:v>46044</x:v>
      </x:c>
      <x:c r="O43" s="114"/>
    </x:row>
    <x:row r="44" spans="1:15" ht="24.949999999999999" customHeight="1">
      <x:c r="A44" s="13"/>
      <x:c r="B44" s="14" t="s">
        <x:v>14</x:v>
      </x:c>
      <x:c r="C44" s="14" t="s">
        <x:v>44</x:v>
      </x:c>
      <x:c r="D44" s="14" t="s">
        <x:v>55</x:v>
      </x:c>
      <x:c r="E44" s="14" t="s">
        <x:v>54</x:v>
      </x:c>
      <x:c r="F44" s="14" t="s">
        <x:v>53</x:v>
      </x:c>
      <x:c r="G44" s="14" t="s">
        <x:v>52</x:v>
      </x:c>
      <x:c r="H44" s="14" t="s">
        <x:v>47</x:v>
      </x:c>
      <x:c r="I44" s="15" t="s">
        <x:v>41</x:v>
      </x:c>
      <x:c r="J44" s="14" t="s">
        <x:v>44</x:v>
      </x:c>
      <x:c r="K44" s="14" t="s">
        <x:v>55</x:v>
      </x:c>
      <x:c r="L44" s="14" t="s">
        <x:v>54</x:v>
      </x:c>
      <x:c r="M44" s="14" t="s">
        <x:v>53</x:v>
      </x:c>
      <x:c r="N44" s="16" t="s">
        <x:v>52</x:v>
      </x:c>
      <x:c r="O44" s="17" t="s">
        <x:v>56</x:v>
      </x:c>
    </x:row>
    <x:row r="45" spans="1:15" ht="24.949999999999999" customHeight="1">
      <x:c r="A45" s="18">
        <x:v>1</x:v>
      </x:c>
      <x:c r="B45" s="19" t="str">
        <x:f t="array" ref="B45:B45">INDEX($B$4:$O$23,MATCH($A45,$W$4:$W$23,0),COLUMN(A$1))</x:f>
        <x:v>최 현 수</x:v>
      </x:c>
      <x:c r="C45" s="20">
        <x:f t="array" ref="C45:C45">INDEX($B$4:$O$23,MATCH($A45,$W$4:$W$23,0),COLUMN(B$1))</x:f>
        <x:v>266</x:v>
      </x:c>
      <x:c r="D45" s="20">
        <x:f t="array" ref="D45:D45">INDEX($B$4:$O$23,MATCH($A45,$W$4:$W$23,0),COLUMN(C$1))</x:f>
        <x:v>197</x:v>
      </x:c>
      <x:c r="E45" s="20">
        <x:f t="array" ref="E45:E45">INDEX($B$4:$O$23,MATCH($A45,$W$4:$W$23,0),COLUMN(D$1))</x:f>
        <x:v>222</x:v>
      </x:c>
      <x:c r="F45" s="20">
        <x:f t="array" ref="F45:F45">INDEX($B$4:$O$23,MATCH($A45,$W$4:$W$23,0),COLUMN(E$1))</x:f>
        <x:v>273</x:v>
      </x:c>
      <x:c r="G45" s="21">
        <x:f>SUM(C45:F45)</x:f>
        <x:v>958</x:v>
      </x:c>
      <x:c r="H45" s="22">
        <x:f>G45/4</x:f>
        <x:v>239.5</x:v>
      </x:c>
      <x:c r="I45" s="23">
        <x:f>IF(B45="","",IFERROR(INDEX('회원명단 및 기준에버'!D:G,MATCH(B45,'회원명단 및 기준에버'!$C:$C,0),CHOOSE(INT((MONTH($N$2)-1)/3)+1,1,2,3,4)),""))</x:f>
        <x:v>200</x:v>
      </x:c>
      <x:c r="J45" s="5">
        <x:f>IFERROR(C45+-I45,0)</x:f>
        <x:v>66</x:v>
      </x:c>
      <x:c r="K45" s="5">
        <x:f>IFERROR(D45+-I45,0)</x:f>
        <x:v>-3</x:v>
      </x:c>
      <x:c r="L45" s="5">
        <x:f>IFERROR(E45+-I45,0)</x:f>
        <x:v>22</x:v>
      </x:c>
      <x:c r="M45" s="5">
        <x:f>IFERROR(F45+-I45,0)</x:f>
        <x:v>73</x:v>
      </x:c>
      <x:c r="N45" s="6">
        <x:f>SUM(J45:M45)</x:f>
        <x:v>158</x:v>
      </x:c>
      <x:c r="O45" s="24">
        <x:f>IFERROR(H45+-I45,0)</x:f>
        <x:v>39.5</x:v>
      </x:c>
    </x:row>
    <x:row r="46" spans="1:15" ht="24.949999999999999" customHeight="1">
      <x:c r="A46" s="18">
        <x:v>2</x:v>
      </x:c>
      <x:c r="B46" s="19" t="str">
        <x:f t="array" ref="B46:B46">INDEX($B$4:$O$23,MATCH($A46,$W$4:$W$23,0),COLUMN(A$1))</x:f>
        <x:v>정 영 우</x:v>
      </x:c>
      <x:c r="C46" s="20">
        <x:f t="array" ref="C46:C46">INDEX($B$4:$O$23,MATCH($A46,$W$4:$W$23,0),COLUMN(B$1))</x:f>
        <x:v>254</x:v>
      </x:c>
      <x:c r="D46" s="20">
        <x:f t="array" ref="D46:D46">INDEX($B$4:$O$23,MATCH($A46,$W$4:$W$23,0),COLUMN(C$1))</x:f>
        <x:v>218</x:v>
      </x:c>
      <x:c r="E46" s="20">
        <x:f t="array" ref="E46:E46">INDEX($B$4:$O$23,MATCH($A46,$W$4:$W$23,0),COLUMN(D$1))</x:f>
        <x:v>166</x:v>
      </x:c>
      <x:c r="F46" s="20">
        <x:f t="array" ref="F46:F46">INDEX($B$4:$O$23,MATCH($A46,$W$4:$W$23,0),COLUMN(E$1))</x:f>
        <x:v>200</x:v>
      </x:c>
      <x:c r="G46" s="21">
        <x:f t="shared" ref="G46:G64" si="11">SUM(C46:F46)</x:f>
        <x:v>838</x:v>
      </x:c>
      <x:c r="H46" s="22">
        <x:f t="shared" ref="H46:H64" si="12">G46/4</x:f>
        <x:v>209.5</x:v>
      </x:c>
      <x:c r="I46" s="23">
        <x:f>IF(B46="","",IFERROR(INDEX('회원명단 및 기준에버'!D:G,MATCH(B46,'회원명단 및 기준에버'!$C:$C,0),CHOOSE(INT((MONTH($N$2)-1)/3)+1,1,2,3,4)),""))</x:f>
        <x:v>184</x:v>
      </x:c>
      <x:c r="J46" s="5">
        <x:f>IFERROR(C46+-I46,0)</x:f>
        <x:v>70</x:v>
      </x:c>
      <x:c r="K46" s="5">
        <x:f>IFERROR(D46+-I46,0)</x:f>
        <x:v>34</x:v>
      </x:c>
      <x:c r="L46" s="5">
        <x:f>IFERROR(E46+-I46,0)</x:f>
        <x:v>-18</x:v>
      </x:c>
      <x:c r="M46" s="5">
        <x:f t="shared" ref="M46:M64" si="13">IFERROR(F46+-I46,0)</x:f>
        <x:v>16</x:v>
      </x:c>
      <x:c r="N46" s="6">
        <x:f t="shared" ref="N46:N64" si="14">SUM(J46:M46)</x:f>
        <x:v>102</x:v>
      </x:c>
      <x:c r="O46" s="24">
        <x:f>IFERROR(H46+-I46,0)</x:f>
        <x:v>25.5</x:v>
      </x:c>
    </x:row>
    <x:row r="47" spans="1:15" ht="24.949999999999999" customHeight="1">
      <x:c r="A47" s="18">
        <x:v>3</x:v>
      </x:c>
      <x:c r="B47" s="19" t="str">
        <x:f t="array" ref="B47:B47">INDEX($B$4:$O$23,MATCH($A47,$W$4:$W$23,0),COLUMN(A$1))</x:f>
        <x:v>변 상 필</x:v>
      </x:c>
      <x:c r="C47" s="20">
        <x:f t="array" ref="C47:C47">INDEX($B$4:$O$23,MATCH($A47,$W$4:$W$23,0),COLUMN(B$1))</x:f>
        <x:v>232</x:v>
      </x:c>
      <x:c r="D47" s="20">
        <x:f t="array" ref="D47:D47">INDEX($B$4:$O$23,MATCH($A47,$W$4:$W$23,0),COLUMN(C$1))</x:f>
        <x:v>214</x:v>
      </x:c>
      <x:c r="E47" s="20">
        <x:f t="array" ref="E47:E47">INDEX($B$4:$O$23,MATCH($A47,$W$4:$W$23,0),COLUMN(D$1))</x:f>
        <x:v>230</x:v>
      </x:c>
      <x:c r="F47" s="20">
        <x:f t="array" ref="F47:F47">INDEX($B$4:$O$23,MATCH($A47,$W$4:$W$23,0),COLUMN(E$1))</x:f>
        <x:v>217</x:v>
      </x:c>
      <x:c r="G47" s="21">
        <x:f t="shared" si="11"/>
        <x:v>893</x:v>
      </x:c>
      <x:c r="H47" s="22">
        <x:f t="shared" si="12"/>
        <x:v>223.25</x:v>
      </x:c>
      <x:c r="I47" s="23">
        <x:f>IF(B47="","",IFERROR(INDEX('회원명단 및 기준에버'!D:G,MATCH(B47,'회원명단 및 기준에버'!$C:$C,0),CHOOSE(INT((MONTH($N$2)-1)/3)+1,1,2,3,4)),""))</x:f>
        <x:v>200</x:v>
      </x:c>
      <x:c r="J47" s="5">
        <x:f t="shared" ref="J47:J64" si="15">IFERROR(C47+-I47,0)</x:f>
        <x:v>32</x:v>
      </x:c>
      <x:c r="K47" s="5">
        <x:f t="shared" ref="K47:K64" si="16">IFERROR(D47+-I47,0)</x:f>
        <x:v>14</x:v>
      </x:c>
      <x:c r="L47" s="5">
        <x:f t="shared" ref="L47:L64" si="17">IFERROR(E47+-I47,0)</x:f>
        <x:v>30</x:v>
      </x:c>
      <x:c r="M47" s="5">
        <x:f t="shared" si="13"/>
        <x:v>17</x:v>
      </x:c>
      <x:c r="N47" s="6">
        <x:f t="shared" si="14"/>
        <x:v>93</x:v>
      </x:c>
      <x:c r="O47" s="24">
        <x:f t="shared" ref="O47:O64" si="18">IFERROR(H47+-I47,0)</x:f>
        <x:v>23.25</x:v>
      </x:c>
    </x:row>
    <x:row r="48" spans="1:15" ht="24.949999999999999" customHeight="1">
      <x:c r="A48" s="18">
        <x:v>4</x:v>
      </x:c>
      <x:c r="B48" s="19" t="str">
        <x:f t="array" ref="B48:B48">INDEX($B$4:$O$23,MATCH($A48,$W$4:$W$23,0),COLUMN(A$1))</x:f>
        <x:v>임 승 기</x:v>
      </x:c>
      <x:c r="C48" s="20">
        <x:f t="array" ref="C48:C48">INDEX($B$4:$O$23,MATCH($A48,$W$4:$W$23,0),COLUMN(B$1))</x:f>
        <x:v>234</x:v>
      </x:c>
      <x:c r="D48" s="20">
        <x:f t="array" ref="D48:D48">INDEX($B$4:$O$23,MATCH($A48,$W$4:$W$23,0),COLUMN(C$1))</x:f>
        <x:v>245</x:v>
      </x:c>
      <x:c r="E48" s="20">
        <x:f t="array" ref="E48:E48">INDEX($B$4:$O$23,MATCH($A48,$W$4:$W$23,0),COLUMN(D$1))</x:f>
        <x:v>214</x:v>
      </x:c>
      <x:c r="F48" s="20">
        <x:f t="array" ref="F48:F48">INDEX($B$4:$O$23,MATCH($A48,$W$4:$W$23,0),COLUMN(E$1))</x:f>
        <x:v>189</x:v>
      </x:c>
      <x:c r="G48" s="21">
        <x:f t="shared" si="11"/>
        <x:v>882</x:v>
      </x:c>
      <x:c r="H48" s="22">
        <x:f t="shared" si="12"/>
        <x:v>220.5</x:v>
      </x:c>
      <x:c r="I48" s="23">
        <x:f>IF(B48="","",IFERROR(INDEX('회원명단 및 기준에버'!D:G,MATCH(B48,'회원명단 및 기준에버'!$C:$C,0),CHOOSE(INT((MONTH($N$2)-1)/3)+1,1,2,3,4)),""))</x:f>
        <x:v>200</x:v>
      </x:c>
      <x:c r="J48" s="5">
        <x:f t="shared" si="15"/>
        <x:v>34</x:v>
      </x:c>
      <x:c r="K48" s="5">
        <x:f t="shared" si="16"/>
        <x:v>45</x:v>
      </x:c>
      <x:c r="L48" s="5">
        <x:f t="shared" si="17"/>
        <x:v>14</x:v>
      </x:c>
      <x:c r="M48" s="5">
        <x:f t="shared" si="13"/>
        <x:v>-11</x:v>
      </x:c>
      <x:c r="N48" s="6">
        <x:f t="shared" si="14"/>
        <x:v>82</x:v>
      </x:c>
      <x:c r="O48" s="24">
        <x:f t="shared" si="18"/>
        <x:v>20.5</x:v>
      </x:c>
    </x:row>
    <x:row r="49" spans="1:15" ht="24.949999999999999" customHeight="1">
      <x:c r="A49" s="18">
        <x:v>5</x:v>
      </x:c>
      <x:c r="B49" s="19" t="str">
        <x:f t="array" ref="B49:B49">INDEX($B$4:$O$23,MATCH($A49,$W$4:$W$23,0),COLUMN(A$1))</x:f>
        <x:v>장 영 민</x:v>
      </x:c>
      <x:c r="C49" s="20">
        <x:f t="array" ref="C49:C49">INDEX($B$4:$O$23,MATCH($A49,$W$4:$W$23,0),COLUMN(B$1))</x:f>
        <x:v>204</x:v>
      </x:c>
      <x:c r="D49" s="20">
        <x:f t="array" ref="D49:D49">INDEX($B$4:$O$23,MATCH($A49,$W$4:$W$23,0),COLUMN(C$1))</x:f>
        <x:v>207</x:v>
      </x:c>
      <x:c r="E49" s="20">
        <x:f t="array" ref="E49:E49">INDEX($B$4:$O$23,MATCH($A49,$W$4:$W$23,0),COLUMN(D$1))</x:f>
        <x:v>235</x:v>
      </x:c>
      <x:c r="F49" s="20">
        <x:f t="array" ref="F49:F49">INDEX($B$4:$O$23,MATCH($A49,$W$4:$W$23,0),COLUMN(E$1))</x:f>
        <x:v>236</x:v>
      </x:c>
      <x:c r="G49" s="21">
        <x:f t="shared" si="11"/>
        <x:v>882</x:v>
      </x:c>
      <x:c r="H49" s="22">
        <x:f t="shared" si="12"/>
        <x:v>220.5</x:v>
      </x:c>
      <x:c r="I49" s="23">
        <x:f>IF(B49="","",IFERROR(INDEX('회원명단 및 기준에버'!D:G,MATCH(B49,'회원명단 및 기준에버'!$C:$C,0),CHOOSE(INT((MONTH($N$2)-1)/3)+1,1,2,3,4)),""))</x:f>
        <x:v>200</x:v>
      </x:c>
      <x:c r="J49" s="5">
        <x:f t="shared" si="15"/>
        <x:v>4</x:v>
      </x:c>
      <x:c r="K49" s="5">
        <x:f t="shared" si="16"/>
        <x:v>7</x:v>
      </x:c>
      <x:c r="L49" s="5">
        <x:f t="shared" si="17"/>
        <x:v>35</x:v>
      </x:c>
      <x:c r="M49" s="5">
        <x:f t="shared" si="13"/>
        <x:v>36</x:v>
      </x:c>
      <x:c r="N49" s="6">
        <x:f t="shared" si="14"/>
        <x:v>82</x:v>
      </x:c>
      <x:c r="O49" s="24">
        <x:f t="shared" si="18"/>
        <x:v>20.5</x:v>
      </x:c>
    </x:row>
    <x:row r="50" spans="1:15" ht="24.949999999999999" customHeight="1">
      <x:c r="A50" s="18">
        <x:v>6</x:v>
      </x:c>
      <x:c r="B50" s="19" t="str">
        <x:f t="array" ref="B50:B50">INDEX($B$4:$O$23,MATCH($A50,$W$4:$W$23,0),COLUMN(A$1))</x:f>
        <x:v>임 연 진</x:v>
      </x:c>
      <x:c r="C50" s="20">
        <x:f t="array" ref="C50:C50">INDEX($B$4:$O$23,MATCH($A50,$W$4:$W$23,0),COLUMN(B$1))</x:f>
        <x:v>191</x:v>
      </x:c>
      <x:c r="D50" s="20">
        <x:f t="array" ref="D50:D50">INDEX($B$4:$O$23,MATCH($A50,$W$4:$W$23,0),COLUMN(C$1))</x:f>
        <x:v>246</x:v>
      </x:c>
      <x:c r="E50" s="20">
        <x:f t="array" ref="E50:E50">INDEX($B$4:$O$23,MATCH($A50,$W$4:$W$23,0),COLUMN(D$1))</x:f>
        <x:v>190</x:v>
      </x:c>
      <x:c r="F50" s="20">
        <x:f t="array" ref="F50:F50">INDEX($B$4:$O$23,MATCH($A50,$W$4:$W$23,0),COLUMN(E$1))</x:f>
        <x:v>223</x:v>
      </x:c>
      <x:c r="G50" s="21">
        <x:f t="shared" si="11"/>
        <x:v>850</x:v>
      </x:c>
      <x:c r="H50" s="22">
        <x:f t="shared" si="12"/>
        <x:v>212.5</x:v>
      </x:c>
      <x:c r="I50" s="23">
        <x:f>IF(B50="","",IFERROR(INDEX('회원명단 및 기준에버'!D:G,MATCH(B50,'회원명단 및 기준에버'!$C:$C,0),CHOOSE(INT((MONTH($N$2)-1)/3)+1,1,2,3,4)),""))</x:f>
        <x:v>194</x:v>
      </x:c>
      <x:c r="J50" s="5">
        <x:f t="shared" si="15"/>
        <x:v>-3</x:v>
      </x:c>
      <x:c r="K50" s="5">
        <x:f t="shared" si="16"/>
        <x:v>52</x:v>
      </x:c>
      <x:c r="L50" s="5">
        <x:f t="shared" si="17"/>
        <x:v>-4</x:v>
      </x:c>
      <x:c r="M50" s="5">
        <x:f t="shared" si="13"/>
        <x:v>29</x:v>
      </x:c>
      <x:c r="N50" s="6">
        <x:f t="shared" si="14"/>
        <x:v>74</x:v>
      </x:c>
      <x:c r="O50" s="24">
        <x:f t="shared" si="18"/>
        <x:v>18.5</x:v>
      </x:c>
    </x:row>
    <x:row r="51" spans="1:15" ht="24.949999999999999" customHeight="1">
      <x:c r="A51" s="18">
        <x:v>7</x:v>
      </x:c>
      <x:c r="B51" s="19" t="str">
        <x:f t="array" ref="B51:B51">INDEX($B$4:$O$23,MATCH($A51,$W$4:$W$23,0),COLUMN(A$1))</x:f>
        <x:v>이 정 석</x:v>
      </x:c>
      <x:c r="C51" s="20">
        <x:f t="array" ref="C51:C51">INDEX($B$4:$O$23,MATCH($A51,$W$4:$W$23,0),COLUMN(B$1))</x:f>
        <x:v>202</x:v>
      </x:c>
      <x:c r="D51" s="20">
        <x:f t="array" ref="D51:D51">INDEX($B$4:$O$23,MATCH($A51,$W$4:$W$23,0),COLUMN(C$1))</x:f>
        <x:v>184</x:v>
      </x:c>
      <x:c r="E51" s="20">
        <x:f t="array" ref="E51:E51">INDEX($B$4:$O$23,MATCH($A51,$W$4:$W$23,0),COLUMN(D$1))</x:f>
        <x:v>225</x:v>
      </x:c>
      <x:c r="F51" s="20">
        <x:f t="array" ref="F51:F51">INDEX($B$4:$O$23,MATCH($A51,$W$4:$W$23,0),COLUMN(E$1))</x:f>
        <x:v>235</x:v>
      </x:c>
      <x:c r="G51" s="21">
        <x:f t="shared" si="11"/>
        <x:v>846</x:v>
      </x:c>
      <x:c r="H51" s="22">
        <x:f t="shared" si="12"/>
        <x:v>211.5</x:v>
      </x:c>
      <x:c r="I51" s="23">
        <x:f>IF(B51="","",IFERROR(INDEX('회원명단 및 기준에버'!D:G,MATCH(B51,'회원명단 및 기준에버'!$C:$C,0),CHOOSE(INT((MONTH($N$2)-1)/3)+1,1,2,3,4)),""))</x:f>
        <x:v>196</x:v>
      </x:c>
      <x:c r="J51" s="5">
        <x:f t="shared" si="15"/>
        <x:v>6</x:v>
      </x:c>
      <x:c r="K51" s="5">
        <x:f t="shared" si="16"/>
        <x:v>-12</x:v>
      </x:c>
      <x:c r="L51" s="5">
        <x:f t="shared" si="17"/>
        <x:v>29</x:v>
      </x:c>
      <x:c r="M51" s="5">
        <x:f t="shared" si="13"/>
        <x:v>39</x:v>
      </x:c>
      <x:c r="N51" s="6">
        <x:f t="shared" si="14"/>
        <x:v>62</x:v>
      </x:c>
      <x:c r="O51" s="24">
        <x:f t="shared" si="18"/>
        <x:v>15.5</x:v>
      </x:c>
    </x:row>
    <x:row r="52" spans="1:15" ht="24.949999999999999" customHeight="1">
      <x:c r="A52" s="18">
        <x:v>8</x:v>
      </x:c>
      <x:c r="B52" s="19" t="str">
        <x:f t="array" ref="B52:B52">INDEX($B$4:$O$23,MATCH($A52,$W$4:$W$23,0),COLUMN(A$1))</x:f>
        <x:v>황 인 교</x:v>
      </x:c>
      <x:c r="C52" s="20">
        <x:f t="array" ref="C52:C52">INDEX($B$4:$O$23,MATCH($A52,$W$4:$W$23,0),COLUMN(B$1))</x:f>
        <x:v>179</x:v>
      </x:c>
      <x:c r="D52" s="20">
        <x:f t="array" ref="D52:D52">INDEX($B$4:$O$23,MATCH($A52,$W$4:$W$23,0),COLUMN(C$1))</x:f>
        <x:v>218</x:v>
      </x:c>
      <x:c r="E52" s="20">
        <x:f t="array" ref="E52:E52">INDEX($B$4:$O$23,MATCH($A52,$W$4:$W$23,0),COLUMN(D$1))</x:f>
        <x:v>193</x:v>
      </x:c>
      <x:c r="F52" s="20">
        <x:f t="array" ref="F52:F52">INDEX($B$4:$O$23,MATCH($A52,$W$4:$W$23,0),COLUMN(E$1))</x:f>
        <x:v>206</x:v>
      </x:c>
      <x:c r="G52" s="21">
        <x:f t="shared" si="11"/>
        <x:v>796</x:v>
      </x:c>
      <x:c r="H52" s="22">
        <x:f t="shared" si="12"/>
        <x:v>199</x:v>
      </x:c>
      <x:c r="I52" s="23">
        <x:f>IF(B52="","",IFERROR(INDEX('회원명단 및 기준에버'!D:G,MATCH(B52,'회원명단 및 기준에버'!$C:$C,0),CHOOSE(INT((MONTH($N$2)-1)/3)+1,1,2,3,4)),""))</x:f>
        <x:v>184</x:v>
      </x:c>
      <x:c r="J52" s="5">
        <x:f t="shared" si="15"/>
        <x:v>-5</x:v>
      </x:c>
      <x:c r="K52" s="5">
        <x:f t="shared" si="16"/>
        <x:v>34</x:v>
      </x:c>
      <x:c r="L52" s="5">
        <x:f t="shared" si="17"/>
        <x:v>9</x:v>
      </x:c>
      <x:c r="M52" s="5">
        <x:f t="shared" si="13"/>
        <x:v>22</x:v>
      </x:c>
      <x:c r="N52" s="6">
        <x:f t="shared" si="14"/>
        <x:v>60</x:v>
      </x:c>
      <x:c r="O52" s="24">
        <x:f t="shared" si="18"/>
        <x:v>15</x:v>
      </x:c>
    </x:row>
    <x:row r="53" spans="1:15" ht="24.949999999999999" customHeight="1">
      <x:c r="A53" s="18">
        <x:v>9</x:v>
      </x:c>
      <x:c r="B53" s="19" t="str">
        <x:f t="array" ref="B53:B53">INDEX($B$4:$O$23,MATCH($A53,$W$4:$W$23,0),COLUMN(A$1))</x:f>
        <x:v>김 태 환</x:v>
      </x:c>
      <x:c r="C53" s="20">
        <x:f t="array" ref="C53:C53">INDEX($B$4:$O$23,MATCH($A53,$W$4:$W$23,0),COLUMN(B$1))</x:f>
        <x:v>227</x:v>
      </x:c>
      <x:c r="D53" s="20">
        <x:f t="array" ref="D53:D53">INDEX($B$4:$O$23,MATCH($A53,$W$4:$W$23,0),COLUMN(C$1))</x:f>
        <x:v>240</x:v>
      </x:c>
      <x:c r="E53" s="20">
        <x:f t="array" ref="E53:E53">INDEX($B$4:$O$23,MATCH($A53,$W$4:$W$23,0),COLUMN(D$1))</x:f>
        <x:v>183</x:v>
      </x:c>
      <x:c r="F53" s="20">
        <x:f t="array" ref="F53:F53">INDEX($B$4:$O$23,MATCH($A53,$W$4:$W$23,0),COLUMN(E$1))</x:f>
        <x:v>200</x:v>
      </x:c>
      <x:c r="G53" s="21">
        <x:f t="shared" si="11"/>
        <x:v>850</x:v>
      </x:c>
      <x:c r="H53" s="22">
        <x:f t="shared" si="12"/>
        <x:v>212.5</x:v>
      </x:c>
      <x:c r="I53" s="23">
        <x:f>IF(B53="","",IFERROR(INDEX('회원명단 및 기준에버'!D:G,MATCH(B53,'회원명단 및 기준에버'!$C:$C,0),CHOOSE(INT((MONTH($N$2)-1)/3)+1,1,2,3,4)),""))</x:f>
        <x:v>198</x:v>
      </x:c>
      <x:c r="J53" s="5">
        <x:f t="shared" si="15"/>
        <x:v>29</x:v>
      </x:c>
      <x:c r="K53" s="5">
        <x:f t="shared" si="16"/>
        <x:v>42</x:v>
      </x:c>
      <x:c r="L53" s="5">
        <x:f t="shared" si="17"/>
        <x:v>-15</x:v>
      </x:c>
      <x:c r="M53" s="5">
        <x:f t="shared" si="13"/>
        <x:v>2</x:v>
      </x:c>
      <x:c r="N53" s="6">
        <x:f t="shared" si="14"/>
        <x:v>58</x:v>
      </x:c>
      <x:c r="O53" s="24">
        <x:f t="shared" si="18"/>
        <x:v>14.5</x:v>
      </x:c>
    </x:row>
    <x:row r="54" spans="1:15" ht="24.949999999999999" customHeight="1">
      <x:c r="A54" s="18">
        <x:v>10</x:v>
      </x:c>
      <x:c r="B54" s="19" t="str">
        <x:f t="array" ref="B54:B54">INDEX($B$4:$O$23,MATCH($A54,$W$4:$W$23,0),COLUMN(A$1))</x:f>
        <x:v>김 미 란</x:v>
      </x:c>
      <x:c r="C54" s="20">
        <x:f t="array" ref="C54:C54">INDEX($B$4:$O$23,MATCH($A54,$W$4:$W$23,0),COLUMN(B$1))</x:f>
        <x:v>189</x:v>
      </x:c>
      <x:c r="D54" s="20">
        <x:f t="array" ref="D54:D54">INDEX($B$4:$O$23,MATCH($A54,$W$4:$W$23,0),COLUMN(C$1))</x:f>
        <x:v>211</x:v>
      </x:c>
      <x:c r="E54" s="20">
        <x:f t="array" ref="E54:E54">INDEX($B$4:$O$23,MATCH($A54,$W$4:$W$23,0),COLUMN(D$1))</x:f>
        <x:v>170</x:v>
      </x:c>
      <x:c r="F54" s="20">
        <x:f t="array" ref="F54:F54">INDEX($B$4:$O$23,MATCH($A54,$W$4:$W$23,0),COLUMN(E$1))</x:f>
        <x:v>200</x:v>
      </x:c>
      <x:c r="G54" s="21">
        <x:f t="shared" si="11"/>
        <x:v>770</x:v>
      </x:c>
      <x:c r="H54" s="22">
        <x:f t="shared" si="12"/>
        <x:v>192.5</x:v>
      </x:c>
      <x:c r="I54" s="23">
        <x:f>IF(B54="","",IFERROR(INDEX('회원명단 및 기준에버'!D:G,MATCH(B54,'회원명단 및 기준에버'!$C:$C,0),CHOOSE(INT((MONTH($N$2)-1)/3)+1,1,2,3,4)),""))</x:f>
        <x:v>182</x:v>
      </x:c>
      <x:c r="J54" s="5">
        <x:f t="shared" si="15"/>
        <x:v>7</x:v>
      </x:c>
      <x:c r="K54" s="5">
        <x:f t="shared" si="16"/>
        <x:v>29</x:v>
      </x:c>
      <x:c r="L54" s="5">
        <x:f t="shared" si="17"/>
        <x:v>-12</x:v>
      </x:c>
      <x:c r="M54" s="5">
        <x:f t="shared" si="13"/>
        <x:v>18</x:v>
      </x:c>
      <x:c r="N54" s="6">
        <x:f t="shared" si="14"/>
        <x:v>42</x:v>
      </x:c>
      <x:c r="O54" s="24">
        <x:f t="shared" si="18"/>
        <x:v>10.5</x:v>
      </x:c>
    </x:row>
    <x:row r="55" spans="1:15" ht="24.949999999999999" customHeight="1">
      <x:c r="A55" s="18">
        <x:v>11</x:v>
      </x:c>
      <x:c r="B55" s="19" t="str">
        <x:f t="array" ref="B55:B55">INDEX($B$4:$O$23,MATCH($A55,$W$4:$W$23,0),COLUMN(A$1))</x:f>
        <x:v>천 성 일</x:v>
      </x:c>
      <x:c r="C55" s="20">
        <x:f t="array" ref="C55:C55">INDEX($B$4:$O$23,MATCH($A55,$W$4:$W$23,0),COLUMN(B$1))</x:f>
        <x:v>219</x:v>
      </x:c>
      <x:c r="D55" s="20">
        <x:f t="array" ref="D55:D55">INDEX($B$4:$O$23,MATCH($A55,$W$4:$W$23,0),COLUMN(C$1))</x:f>
        <x:v>204</x:v>
      </x:c>
      <x:c r="E55" s="20">
        <x:f t="array" ref="E55:E55">INDEX($B$4:$O$23,MATCH($A55,$W$4:$W$23,0),COLUMN(D$1))</x:f>
        <x:v>192</x:v>
      </x:c>
      <x:c r="F55" s="20">
        <x:f t="array" ref="F55:F55">INDEX($B$4:$O$23,MATCH($A55,$W$4:$W$23,0),COLUMN(E$1))</x:f>
        <x:v>165</x:v>
      </x:c>
      <x:c r="G55" s="21">
        <x:f t="shared" si="11"/>
        <x:v>780</x:v>
      </x:c>
      <x:c r="H55" s="22">
        <x:f t="shared" si="12"/>
        <x:v>195</x:v>
      </x:c>
      <x:c r="I55" s="23">
        <x:f>IF(B55="","",IFERROR(INDEX('회원명단 및 기준에버'!D:G,MATCH(B55,'회원명단 및 기준에버'!$C:$C,0),CHOOSE(INT((MONTH($N$2)-1)/3)+1,1,2,3,4)),""))</x:f>
        <x:v>191</x:v>
      </x:c>
      <x:c r="J55" s="5">
        <x:f t="shared" si="15"/>
        <x:v>28</x:v>
      </x:c>
      <x:c r="K55" s="5">
        <x:f t="shared" si="16"/>
        <x:v>13</x:v>
      </x:c>
      <x:c r="L55" s="5">
        <x:f t="shared" si="17"/>
        <x:v>1</x:v>
      </x:c>
      <x:c r="M55" s="5">
        <x:f t="shared" si="13"/>
        <x:v>-26</x:v>
      </x:c>
      <x:c r="N55" s="6">
        <x:f t="shared" si="14"/>
        <x:v>16</x:v>
      </x:c>
      <x:c r="O55" s="24">
        <x:f t="shared" si="18"/>
        <x:v>4</x:v>
      </x:c>
    </x:row>
    <x:row r="56" spans="1:15" ht="24.949999999999999" customHeight="1">
      <x:c r="A56" s="18">
        <x:v>12</x:v>
      </x:c>
      <x:c r="B56" s="19" t="str">
        <x:f t="array" ref="B56:B56">INDEX($B$4:$O$23,MATCH($A56,$W$4:$W$23,0),COLUMN(A$1))</x:f>
        <x:v>나 경 주</x:v>
      </x:c>
      <x:c r="C56" s="20">
        <x:f t="array" ref="C56:C56">INDEX($B$4:$O$23,MATCH($A56,$W$4:$W$23,0),COLUMN(B$1))</x:f>
        <x:v>201</x:v>
      </x:c>
      <x:c r="D56" s="20">
        <x:f t="array" ref="D56:D56">INDEX($B$4:$O$23,MATCH($A56,$W$4:$W$23,0),COLUMN(C$1))</x:f>
        <x:v>201</x:v>
      </x:c>
      <x:c r="E56" s="20">
        <x:f t="array" ref="E56:E56">INDEX($B$4:$O$23,MATCH($A56,$W$4:$W$23,0),COLUMN(D$1))</x:f>
        <x:v>211</x:v>
      </x:c>
      <x:c r="F56" s="20">
        <x:f t="array" ref="F56:F56">INDEX($B$4:$O$23,MATCH($A56,$W$4:$W$23,0),COLUMN(E$1))</x:f>
        <x:v>160</x:v>
      </x:c>
      <x:c r="G56" s="21">
        <x:f t="shared" si="11"/>
        <x:v>773</x:v>
      </x:c>
      <x:c r="H56" s="22">
        <x:f t="shared" si="12"/>
        <x:v>193.25</x:v>
      </x:c>
      <x:c r="I56" s="23">
        <x:f>IF(B56="","",IFERROR(INDEX('회원명단 및 기준에버'!D:G,MATCH(B56,'회원명단 및 기준에버'!$C:$C,0),CHOOSE(INT((MONTH($N$2)-1)/3)+1,1,2,3,4)),""))</x:f>
        <x:v>192</x:v>
      </x:c>
      <x:c r="J56" s="5">
        <x:f t="shared" si="15"/>
        <x:v>9</x:v>
      </x:c>
      <x:c r="K56" s="5">
        <x:f t="shared" si="16"/>
        <x:v>9</x:v>
      </x:c>
      <x:c r="L56" s="5">
        <x:f t="shared" si="17"/>
        <x:v>19</x:v>
      </x:c>
      <x:c r="M56" s="5">
        <x:f t="shared" si="13"/>
        <x:v>-32</x:v>
      </x:c>
      <x:c r="N56" s="6">
        <x:f t="shared" si="14"/>
        <x:v>5</x:v>
      </x:c>
      <x:c r="O56" s="24">
        <x:f t="shared" si="18"/>
        <x:v>1.25</x:v>
      </x:c>
    </x:row>
    <x:row r="57" spans="1:15" ht="24.949999999999999" customHeight="1">
      <x:c r="A57" s="18">
        <x:v>13</x:v>
      </x:c>
      <x:c r="B57" s="19" t="str">
        <x:f t="array" ref="B57:B57">INDEX($B$4:$O$23,MATCH($A57,$W$4:$W$23,0),COLUMN(A$1))</x:f>
        <x:v>지 옥 명</x:v>
      </x:c>
      <x:c r="C57" s="20">
        <x:f t="array" ref="C57:C57">INDEX($B$4:$O$23,MATCH($A57,$W$4:$W$23,0),COLUMN(B$1))</x:f>
        <x:v>211</x:v>
      </x:c>
      <x:c r="D57" s="20">
        <x:f t="array" ref="D57:D57">INDEX($B$4:$O$23,MATCH($A57,$W$4:$W$23,0),COLUMN(C$1))</x:f>
        <x:v>220</x:v>
      </x:c>
      <x:c r="E57" s="20">
        <x:f t="array" ref="E57:E57">INDEX($B$4:$O$23,MATCH($A57,$W$4:$W$23,0),COLUMN(D$1))</x:f>
        <x:v>171</x:v>
      </x:c>
      <x:c r="F57" s="20">
        <x:f t="array" ref="F57:F57">INDEX($B$4:$O$23,MATCH($A57,$W$4:$W$23,0),COLUMN(E$1))</x:f>
        <x:v>133</x:v>
      </x:c>
      <x:c r="G57" s="21">
        <x:f t="shared" si="11"/>
        <x:v>735</x:v>
      </x:c>
      <x:c r="H57" s="22">
        <x:f t="shared" si="12"/>
        <x:v>183.75</x:v>
      </x:c>
      <x:c r="I57" s="23">
        <x:f>IF(B57="","",IFERROR(INDEX('회원명단 및 기준에버'!D:G,MATCH(B57,'회원명단 및 기준에버'!$C:$C,0),CHOOSE(INT((MONTH($N$2)-1)/3)+1,1,2,3,4)),""))</x:f>
        <x:v>183</x:v>
      </x:c>
      <x:c r="J57" s="5">
        <x:f t="shared" si="15"/>
        <x:v>28</x:v>
      </x:c>
      <x:c r="K57" s="5">
        <x:f t="shared" si="16"/>
        <x:v>37</x:v>
      </x:c>
      <x:c r="L57" s="5">
        <x:f t="shared" si="17"/>
        <x:v>-12</x:v>
      </x:c>
      <x:c r="M57" s="5">
        <x:f t="shared" si="13"/>
        <x:v>-50</x:v>
      </x:c>
      <x:c r="N57" s="6">
        <x:f t="shared" si="14"/>
        <x:v>3</x:v>
      </x:c>
      <x:c r="O57" s="24">
        <x:f t="shared" si="18"/>
        <x:v>0.75</x:v>
      </x:c>
    </x:row>
    <x:row r="58" spans="1:15" ht="24.949999999999999" customHeight="1">
      <x:c r="A58" s="18">
        <x:v>14</x:v>
      </x:c>
      <x:c r="B58" s="19" t="str">
        <x:f t="array" ref="B58:B58">INDEX($B$4:$O$23,MATCH($A58,$W$4:$W$23,0),COLUMN(A$1))</x:f>
        <x:v>이 우 석</x:v>
      </x:c>
      <x:c r="C58" s="20">
        <x:f t="array" ref="C58:C58">INDEX($B$4:$O$23,MATCH($A58,$W$4:$W$23,0),COLUMN(B$1))</x:f>
        <x:v>187</x:v>
      </x:c>
      <x:c r="D58" s="20">
        <x:f t="array" ref="D58:D58">INDEX($B$4:$O$23,MATCH($A58,$W$4:$W$23,0),COLUMN(C$1))</x:f>
        <x:v>201</x:v>
      </x:c>
      <x:c r="E58" s="20">
        <x:f t="array" ref="E58:E58">INDEX($B$4:$O$23,MATCH($A58,$W$4:$W$23,0),COLUMN(D$1))</x:f>
        <x:v>188</x:v>
      </x:c>
      <x:c r="F58" s="20">
        <x:f t="array" ref="F58:F58">INDEX($B$4:$O$23,MATCH($A58,$W$4:$W$23,0),COLUMN(E$1))</x:f>
        <x:v>225</x:v>
      </x:c>
      <x:c r="G58" s="21">
        <x:f t="shared" si="11"/>
        <x:v>801</x:v>
      </x:c>
      <x:c r="H58" s="22">
        <x:f t="shared" si="12"/>
        <x:v>200.25</x:v>
      </x:c>
      <x:c r="I58" s="23">
        <x:f>IF(B58="","",IFERROR(INDEX('회원명단 및 기준에버'!D:G,MATCH(B58,'회원명단 및 기준에버'!$C:$C,0),CHOOSE(INT((MONTH($N$2)-1)/3)+1,1,2,3,4)),""))</x:f>
        <x:v>200</x:v>
      </x:c>
      <x:c r="J58" s="5">
        <x:f t="shared" si="15"/>
        <x:v>-13</x:v>
      </x:c>
      <x:c r="K58" s="5">
        <x:f t="shared" si="16"/>
        <x:v>1</x:v>
      </x:c>
      <x:c r="L58" s="5">
        <x:f t="shared" si="17"/>
        <x:v>-12</x:v>
      </x:c>
      <x:c r="M58" s="5">
        <x:f t="shared" si="13"/>
        <x:v>25</x:v>
      </x:c>
      <x:c r="N58" s="6">
        <x:f t="shared" si="14"/>
        <x:v>1</x:v>
      </x:c>
      <x:c r="O58" s="24">
        <x:f t="shared" si="18"/>
        <x:v>0.25</x:v>
      </x:c>
    </x:row>
    <x:row r="59" spans="1:15" ht="24.949999999999999" customHeight="1">
      <x:c r="A59" s="18">
        <x:v>15</x:v>
      </x:c>
      <x:c r="B59" s="19">
        <x:f t="array" ref="B59:B59">INDEX($B$4:$O$23,MATCH($A59,$W$4:$W$23,0),COLUMN(A$1))</x:f>
        <x:v>0</x:v>
      </x:c>
      <x:c r="C59" s="20">
        <x:f t="array" ref="C59:C59">INDEX($B$4:$O$23,MATCH($A59,$W$4:$W$23,0),COLUMN(B$1))</x:f>
        <x:v>0</x:v>
      </x:c>
      <x:c r="D59" s="20">
        <x:f t="array" ref="D59:D59">INDEX($B$4:$O$23,MATCH($A59,$W$4:$W$23,0),COLUMN(C$1))</x:f>
        <x:v>0</x:v>
      </x:c>
      <x:c r="E59" s="20">
        <x:f t="array" ref="E59:E59">INDEX($B$4:$O$23,MATCH($A59,$W$4:$W$23,0),COLUMN(D$1))</x:f>
        <x:v>0</x:v>
      </x:c>
      <x:c r="F59" s="20">
        <x:f t="array" ref="F59:F59">INDEX($B$4:$O$23,MATCH($A59,$W$4:$W$23,0),COLUMN(E$1))</x:f>
        <x:v>0</x:v>
      </x:c>
      <x:c r="G59" s="21">
        <x:f t="shared" si="11"/>
        <x:v>0</x:v>
      </x:c>
      <x:c r="H59" s="22">
        <x:f t="shared" si="12"/>
        <x:v>0</x:v>
      </x:c>
      <x:c r="I59" s="23" t="str">
        <x:f>IF(B59="","",IFERROR(INDEX('회원명단 및 기준에버'!D:G,MATCH(B59,'회원명단 및 기준에버'!$C:$C,0),CHOOSE(INT((MONTH($N$2)-1)/3)+1,1,2,3,4)),""))</x:f>
        <x:v/>
      </x:c>
      <x:c r="J59" s="5">
        <x:f t="shared" si="15"/>
        <x:v>0</x:v>
      </x:c>
      <x:c r="K59" s="5">
        <x:f t="shared" si="16"/>
        <x:v>0</x:v>
      </x:c>
      <x:c r="L59" s="5">
        <x:f t="shared" si="17"/>
        <x:v>0</x:v>
      </x:c>
      <x:c r="M59" s="5">
        <x:f t="shared" si="13"/>
        <x:v>0</x:v>
      </x:c>
      <x:c r="N59" s="6">
        <x:f t="shared" si="14"/>
        <x:v>0</x:v>
      </x:c>
      <x:c r="O59" s="24">
        <x:f t="shared" si="18"/>
        <x:v>0</x:v>
      </x:c>
    </x:row>
    <x:row r="60" spans="1:15" ht="24.949999999999999" customHeight="1">
      <x:c r="A60" s="18">
        <x:v>16</x:v>
      </x:c>
      <x:c r="B60" s="19" t="str">
        <x:f t="array" ref="B60:B60">INDEX($B$4:$O$23,MATCH($A60,$W$4:$W$23,0),COLUMN(A$1))</x:f>
        <x:v>김 선 미</x:v>
      </x:c>
      <x:c r="C60" s="20">
        <x:f t="array" ref="C60:C60">INDEX($B$4:$O$23,MATCH($A60,$W$4:$W$23,0),COLUMN(B$1))</x:f>
        <x:v>158</x:v>
      </x:c>
      <x:c r="D60" s="20">
        <x:f t="array" ref="D60:D60">INDEX($B$4:$O$23,MATCH($A60,$W$4:$W$23,0),COLUMN(C$1))</x:f>
        <x:v>216</x:v>
      </x:c>
      <x:c r="E60" s="20">
        <x:f t="array" ref="E60:E60">INDEX($B$4:$O$23,MATCH($A60,$W$4:$W$23,0),COLUMN(D$1))</x:f>
        <x:v>128</x:v>
      </x:c>
      <x:c r="F60" s="20">
        <x:f t="array" ref="F60:F60">INDEX($B$4:$O$23,MATCH($A60,$W$4:$W$23,0),COLUMN(E$1))</x:f>
        <x:v>140</x:v>
      </x:c>
      <x:c r="G60" s="21">
        <x:f t="shared" si="11"/>
        <x:v>642</x:v>
      </x:c>
      <x:c r="H60" s="22">
        <x:f t="shared" si="12"/>
        <x:v>160.5</x:v>
      </x:c>
      <x:c r="I60" s="23">
        <x:f>IF(B60="","",IFERROR(INDEX('회원명단 및 기준에버'!D:G,MATCH(B60,'회원명단 및 기준에버'!$C:$C,0),CHOOSE(INT((MONTH($N$2)-1)/3)+1,1,2,3,4)),""))</x:f>
        <x:v>161</x:v>
      </x:c>
      <x:c r="J60" s="5">
        <x:f t="shared" si="15"/>
        <x:v>-3</x:v>
      </x:c>
      <x:c r="K60" s="5">
        <x:f t="shared" si="16"/>
        <x:v>55</x:v>
      </x:c>
      <x:c r="L60" s="5">
        <x:f t="shared" si="17"/>
        <x:v>-33</x:v>
      </x:c>
      <x:c r="M60" s="5">
        <x:f t="shared" si="13"/>
        <x:v>-21</x:v>
      </x:c>
      <x:c r="N60" s="6">
        <x:f t="shared" si="14"/>
        <x:v>-2</x:v>
      </x:c>
      <x:c r="O60" s="24">
        <x:f t="shared" si="18"/>
        <x:v>-0.5</x:v>
      </x:c>
    </x:row>
    <x:row r="61" spans="1:15" ht="24.949999999999999" customHeight="1">
      <x:c r="A61" s="18">
        <x:v>17</x:v>
      </x:c>
      <x:c r="B61" s="19" t="str">
        <x:f t="array" ref="B61:B61">INDEX($B$4:$O$23,MATCH($A61,$W$4:$W$23,0),COLUMN(A$1))</x:f>
        <x:v>강 완 규</x:v>
      </x:c>
      <x:c r="C61" s="20">
        <x:f t="array" ref="C61:C61">INDEX($B$4:$O$23,MATCH($A61,$W$4:$W$23,0),COLUMN(B$1))</x:f>
        <x:v>178</x:v>
      </x:c>
      <x:c r="D61" s="20">
        <x:f t="array" ref="D61:D61">INDEX($B$4:$O$23,MATCH($A61,$W$4:$W$23,0),COLUMN(C$1))</x:f>
        <x:v>214</x:v>
      </x:c>
      <x:c r="E61" s="20">
        <x:f t="array" ref="E61:E61">INDEX($B$4:$O$23,MATCH($A61,$W$4:$W$23,0),COLUMN(D$1))</x:f>
        <x:v>176</x:v>
      </x:c>
      <x:c r="F61" s="20">
        <x:f t="array" ref="F61:F61">INDEX($B$4:$O$23,MATCH($A61,$W$4:$W$23,0),COLUMN(E$1))</x:f>
        <x:v>198</x:v>
      </x:c>
      <x:c r="G61" s="21">
        <x:f t="shared" si="11"/>
        <x:v>766</x:v>
      </x:c>
      <x:c r="H61" s="22">
        <x:f t="shared" si="12"/>
        <x:v>191.5</x:v>
      </x:c>
      <x:c r="I61" s="23">
        <x:f>IF(B61="","",IFERROR(INDEX('회원명단 및 기준에버'!D:G,MATCH(B61,'회원명단 및 기준에버'!$C:$C,0),CHOOSE(INT((MONTH($N$2)-1)/3)+1,1,2,3,4)),""))</x:f>
        <x:v>194</x:v>
      </x:c>
      <x:c r="J61" s="5">
        <x:f t="shared" si="15"/>
        <x:v>-16</x:v>
      </x:c>
      <x:c r="K61" s="5">
        <x:f t="shared" si="16"/>
        <x:v>20</x:v>
      </x:c>
      <x:c r="L61" s="5">
        <x:f t="shared" si="17"/>
        <x:v>-18</x:v>
      </x:c>
      <x:c r="M61" s="5">
        <x:f t="shared" si="13"/>
        <x:v>4</x:v>
      </x:c>
      <x:c r="N61" s="6">
        <x:f t="shared" si="14"/>
        <x:v>-10</x:v>
      </x:c>
      <x:c r="O61" s="24">
        <x:f t="shared" si="18"/>
        <x:v>-2.5</x:v>
      </x:c>
    </x:row>
    <x:row r="62" spans="1:15" ht="24.949999999999999" customHeight="1">
      <x:c r="A62" s="18">
        <x:v>18</x:v>
      </x:c>
      <x:c r="B62" s="19" t="str">
        <x:f t="array" ref="B62:B62">INDEX($B$4:$O$23,MATCH($A62,$W$4:$W$23,0),COLUMN(A$1))</x:f>
        <x:v>이 대 용</x:v>
      </x:c>
      <x:c r="C62" s="20">
        <x:f t="array" ref="C62:C62">INDEX($B$4:$O$23,MATCH($A62,$W$4:$W$23,0),COLUMN(B$1))</x:f>
        <x:v>184</x:v>
      </x:c>
      <x:c r="D62" s="20">
        <x:f t="array" ref="D62:D62">INDEX($B$4:$O$23,MATCH($A62,$W$4:$W$23,0),COLUMN(C$1))</x:f>
        <x:v>211</x:v>
      </x:c>
      <x:c r="E62" s="20">
        <x:f t="array" ref="E62:E62">INDEX($B$4:$O$23,MATCH($A62,$W$4:$W$23,0),COLUMN(D$1))</x:f>
        <x:v>212</x:v>
      </x:c>
      <x:c r="F62" s="20">
        <x:f t="array" ref="F62:F62">INDEX($B$4:$O$23,MATCH($A62,$W$4:$W$23,0),COLUMN(E$1))</x:f>
        <x:v>180</x:v>
      </x:c>
      <x:c r="G62" s="21">
        <x:f t="shared" si="11"/>
        <x:v>787</x:v>
      </x:c>
      <x:c r="H62" s="22">
        <x:f t="shared" si="12"/>
        <x:v>196.75</x:v>
      </x:c>
      <x:c r="I62" s="23">
        <x:f>IF(B62="","",IFERROR(INDEX('회원명단 및 기준에버'!D:G,MATCH(B62,'회원명단 및 기준에버'!$C:$C,0),CHOOSE(INT((MONTH($N$2)-1)/3)+1,1,2,3,4)),""))</x:f>
        <x:v>200</x:v>
      </x:c>
      <x:c r="J62" s="5">
        <x:f t="shared" si="15"/>
        <x:v>-16</x:v>
      </x:c>
      <x:c r="K62" s="5">
        <x:f t="shared" si="16"/>
        <x:v>11</x:v>
      </x:c>
      <x:c r="L62" s="5">
        <x:f t="shared" si="17"/>
        <x:v>12</x:v>
      </x:c>
      <x:c r="M62" s="5">
        <x:f t="shared" si="13"/>
        <x:v>-20</x:v>
      </x:c>
      <x:c r="N62" s="6">
        <x:f t="shared" si="14"/>
        <x:v>-13</x:v>
      </x:c>
      <x:c r="O62" s="24">
        <x:f t="shared" si="18"/>
        <x:v>-3.25</x:v>
      </x:c>
    </x:row>
    <x:row r="63" spans="1:15" ht="24.949999999999999" customHeight="1">
      <x:c r="A63" s="18">
        <x:v>19</x:v>
      </x:c>
      <x:c r="B63" s="19" t="str">
        <x:f t="array" ref="B63:B63">INDEX($B$4:$O$23,MATCH($A63,$W$4:$W$23,0),COLUMN(A$1))</x:f>
        <x:v>엄 정 도</x:v>
      </x:c>
      <x:c r="C63" s="20">
        <x:f t="array" ref="C63:C63">INDEX($B$4:$O$23,MATCH($A63,$W$4:$W$23,0),COLUMN(B$1))</x:f>
        <x:v>170</x:v>
      </x:c>
      <x:c r="D63" s="20">
        <x:f t="array" ref="D63:D63">INDEX($B$4:$O$23,MATCH($A63,$W$4:$W$23,0),COLUMN(C$1))</x:f>
        <x:v>157</x:v>
      </x:c>
      <x:c r="E63" s="20">
        <x:f t="array" ref="E63:E63">INDEX($B$4:$O$23,MATCH($A63,$W$4:$W$23,0),COLUMN(D$1))</x:f>
        <x:v>186</x:v>
      </x:c>
      <x:c r="F63" s="20">
        <x:f t="array" ref="F63:F63">INDEX($B$4:$O$23,MATCH($A63,$W$4:$W$23,0),COLUMN(E$1))</x:f>
        <x:v>195</x:v>
      </x:c>
      <x:c r="G63" s="21">
        <x:f t="shared" si="11"/>
        <x:v>708</x:v>
      </x:c>
      <x:c r="H63" s="22">
        <x:f t="shared" si="12"/>
        <x:v>177</x:v>
      </x:c>
      <x:c r="I63" s="23">
        <x:f>IF(B63="","",IFERROR(INDEX('회원명단 및 기준에버'!D:G,MATCH(B63,'회원명단 및 기준에버'!$C:$C,0),CHOOSE(INT((MONTH($N$2)-1)/3)+1,1,2,3,4)),""))</x:f>
        <x:v>184</x:v>
      </x:c>
      <x:c r="J63" s="5">
        <x:f t="shared" si="15"/>
        <x:v>-14</x:v>
      </x:c>
      <x:c r="K63" s="5">
        <x:f t="shared" si="16"/>
        <x:v>-27</x:v>
      </x:c>
      <x:c r="L63" s="5">
        <x:f t="shared" si="17"/>
        <x:v>2</x:v>
      </x:c>
      <x:c r="M63" s="5">
        <x:f t="shared" si="13"/>
        <x:v>11</x:v>
      </x:c>
      <x:c r="N63" s="6">
        <x:f t="shared" si="14"/>
        <x:v>-28</x:v>
      </x:c>
      <x:c r="O63" s="24">
        <x:f t="shared" si="18"/>
        <x:v>-7</x:v>
      </x:c>
    </x:row>
    <x:row r="64" spans="1:15" ht="24.949999999999999" customHeight="1">
      <x:c r="A64" s="18">
        <x:v>20</x:v>
      </x:c>
      <x:c r="B64" s="19" t="str">
        <x:f t="array" ref="B64:B64">INDEX($B$4:$O$23,MATCH($A64,$W$4:$W$23,0),COLUMN(A$1))</x:f>
        <x:v>이 승 미</x:v>
      </x:c>
      <x:c r="C64" s="20">
        <x:f t="array" ref="C64:C64">INDEX($B$4:$O$23,MATCH($A64,$W$4:$W$23,0),COLUMN(B$1))</x:f>
        <x:v>127</x:v>
      </x:c>
      <x:c r="D64" s="20">
        <x:f t="array" ref="D64:D64">INDEX($B$4:$O$23,MATCH($A64,$W$4:$W$23,0),COLUMN(C$1))</x:f>
        <x:v>137</x:v>
      </x:c>
      <x:c r="E64" s="20">
        <x:f t="array" ref="E64:E64">INDEX($B$4:$O$23,MATCH($A64,$W$4:$W$23,0),COLUMN(D$1))</x:f>
        <x:v>192</x:v>
      </x:c>
      <x:c r="F64" s="20">
        <x:f t="array" ref="F64:F64">INDEX($B$4:$O$23,MATCH($A64,$W$4:$W$23,0),COLUMN(E$1))</x:f>
        <x:v>154</x:v>
      </x:c>
      <x:c r="G64" s="21">
        <x:f t="shared" si="11"/>
        <x:v>610</x:v>
      </x:c>
      <x:c r="H64" s="22">
        <x:f t="shared" si="12"/>
        <x:v>152.5</x:v>
      </x:c>
      <x:c r="I64" s="23">
        <x:f>IF(B64="","",IFERROR(INDEX('회원명단 및 기준에버'!D:G,MATCH(B64,'회원명단 및 기준에버'!$C:$C,0),CHOOSE(INT((MONTH($N$2)-1)/3)+1,1,2,3,4)),""))</x:f>
        <x:v>165</x:v>
      </x:c>
      <x:c r="J64" s="5">
        <x:f t="shared" si="15"/>
        <x:v>-38</x:v>
      </x:c>
      <x:c r="K64" s="5">
        <x:f t="shared" si="16"/>
        <x:v>-28</x:v>
      </x:c>
      <x:c r="L64" s="5">
        <x:f t="shared" si="17"/>
        <x:v>27</x:v>
      </x:c>
      <x:c r="M64" s="5">
        <x:f t="shared" si="13"/>
        <x:v>-11</x:v>
      </x:c>
      <x:c r="N64" s="6">
        <x:f t="shared" si="14"/>
        <x:v>-50</x:v>
      </x:c>
      <x:c r="O64" s="24">
        <x:f t="shared" si="18"/>
        <x:v>-12.5</x:v>
      </x:c>
    </x:row>
    <x:row r="65" spans="2:15" ht="24.949999999999999" customHeight="1">
      <x:c r="B65" s="120" t="s">
        <x:v>21</x:v>
      </x:c>
      <x:c r="C65" s="121"/>
      <x:c r="D65" s="121"/>
      <x:c r="E65" s="121"/>
      <x:c r="F65" s="120"/>
      <x:c r="G65" s="121"/>
      <x:c r="H65" s="121"/>
      <x:c r="I65" s="121"/>
      <x:c r="J65" s="121"/>
      <x:c r="K65" s="121"/>
      <x:c r="L65" s="121"/>
      <x:c r="M65" s="120"/>
      <x:c r="N65" s="121"/>
      <x:c r="O65" s="122"/>
    </x:row>
    <x:row r="66" spans="2:15" ht="24.949999999999999" customHeight="1">
      <x:c r="B66" s="13" t="str">
        <x:f t="shared" ref="B66:G70" si="19">IF(B25="","",B25)</x:f>
        <x:v>장 영 민</x:v>
      </x:c>
      <x:c r="C66" s="49">
        <x:f t="shared" si="19"/>
        <x:v>4</x:v>
      </x:c>
      <x:c r="D66" s="49">
        <x:f t="shared" si="19"/>
        <x:v>7</x:v>
      </x:c>
      <x:c r="E66" s="49">
        <x:f t="shared" si="19"/>
        <x:v>35</x:v>
      </x:c>
      <x:c r="F66" s="49">
        <x:f t="shared" si="19"/>
        <x:v>36</x:v>
      </x:c>
      <x:c r="G66" s="123">
        <x:f t="shared" si="19"/>
        <x:v>106</x:v>
      </x:c>
      <x:c r="H66" s="115"/>
      <x:c r="I66" s="50" t="str">
        <x:f t="shared" ref="I66:N70" si="20">IF(I25="","",I25)</x:f>
        <x:v>최 현 수</x:v>
      </x:c>
      <x:c r="J66" s="49">
        <x:f t="shared" si="20"/>
        <x:v>66</x:v>
      </x:c>
      <x:c r="K66" s="49">
        <x:f t="shared" si="20"/>
        <x:v>-3</x:v>
      </x:c>
      <x:c r="L66" s="49">
        <x:f t="shared" si="20"/>
        <x:v>22</x:v>
      </x:c>
      <x:c r="M66" s="49">
        <x:f t="shared" si="20"/>
        <x:v>73</x:v>
      </x:c>
      <x:c r="N66" s="129">
        <x:f t="shared" si="20"/>
        <x:v>169</x:v>
      </x:c>
      <x:c r="O66" s="126"/>
    </x:row>
    <x:row r="67" spans="2:15" ht="24.949999999999999" customHeight="1">
      <x:c r="B67" s="18" t="str">
        <x:f t="shared" si="19"/>
        <x:v>천 성 일</x:v>
      </x:c>
      <x:c r="C67" s="5">
        <x:f t="shared" si="19"/>
        <x:v>28</x:v>
      </x:c>
      <x:c r="D67" s="5">
        <x:f t="shared" si="19"/>
        <x:v>13</x:v>
      </x:c>
      <x:c r="E67" s="5">
        <x:f t="shared" si="19"/>
        <x:v>1</x:v>
      </x:c>
      <x:c r="F67" s="5">
        <x:f t="shared" si="19"/>
        <x:v>-26</x:v>
      </x:c>
      <x:c r="G67" s="124" t="str">
        <x:f t="shared" si="19"/>
        <x:v/>
      </x:c>
      <x:c r="H67" s="116"/>
      <x:c r="I67" s="18" t="str">
        <x:f t="shared" si="20"/>
        <x:v>이 대 용</x:v>
      </x:c>
      <x:c r="J67" s="5">
        <x:f t="shared" si="20"/>
        <x:v>-16</x:v>
      </x:c>
      <x:c r="K67" s="5">
        <x:f t="shared" si="20"/>
        <x:v>11</x:v>
      </x:c>
      <x:c r="L67" s="5">
        <x:f t="shared" si="20"/>
        <x:v>12</x:v>
      </x:c>
      <x:c r="M67" s="5">
        <x:f t="shared" si="20"/>
        <x:v>-20</x:v>
      </x:c>
      <x:c r="N67" s="130" t="str">
        <x:f t="shared" si="20"/>
        <x:v/>
      </x:c>
      <x:c r="O67" s="127"/>
    </x:row>
    <x:row r="68" spans="2:15" ht="24.949999999999999" customHeight="1">
      <x:c r="B68" s="18" t="str">
        <x:f t="shared" si="19"/>
        <x:v>나 경 주</x:v>
      </x:c>
      <x:c r="C68" s="5">
        <x:f t="shared" si="19"/>
        <x:v>9</x:v>
      </x:c>
      <x:c r="D68" s="5">
        <x:f t="shared" si="19"/>
        <x:v>9</x:v>
      </x:c>
      <x:c r="E68" s="5">
        <x:f t="shared" si="19"/>
        <x:v>19</x:v>
      </x:c>
      <x:c r="F68" s="5">
        <x:f t="shared" si="19"/>
        <x:v>-32</x:v>
      </x:c>
      <x:c r="G68" s="124" t="str">
        <x:f t="shared" si="19"/>
        <x:v/>
      </x:c>
      <x:c r="H68" s="116"/>
      <x:c r="I68" s="18" t="str">
        <x:f t="shared" si="20"/>
        <x:v>정 영 우</x:v>
      </x:c>
      <x:c r="J68" s="5">
        <x:f t="shared" si="20"/>
        <x:v>70</x:v>
      </x:c>
      <x:c r="K68" s="5">
        <x:f t="shared" si="20"/>
        <x:v>34</x:v>
      </x:c>
      <x:c r="L68" s="5">
        <x:f t="shared" si="20"/>
        <x:v>-18</x:v>
      </x:c>
      <x:c r="M68" s="5">
        <x:f t="shared" si="20"/>
        <x:v>16</x:v>
      </x:c>
      <x:c r="N68" s="130" t="str">
        <x:f t="shared" si="20"/>
        <x:v/>
      </x:c>
      <x:c r="O68" s="127"/>
    </x:row>
    <x:row r="69" spans="2:15" ht="24.949999999999999" customHeight="1">
      <x:c r="B69" s="18" t="str">
        <x:f t="shared" si="19"/>
        <x:v>지 옥 명</x:v>
      </x:c>
      <x:c r="C69" s="5">
        <x:f t="shared" si="19"/>
        <x:v>28</x:v>
      </x:c>
      <x:c r="D69" s="5">
        <x:f t="shared" si="19"/>
        <x:v>37</x:v>
      </x:c>
      <x:c r="E69" s="5">
        <x:f t="shared" si="19"/>
        <x:v>-12</x:v>
      </x:c>
      <x:c r="F69" s="5">
        <x:f t="shared" si="19"/>
        <x:v>-50</x:v>
      </x:c>
      <x:c r="G69" s="124" t="str">
        <x:f t="shared" si="19"/>
        <x:v/>
      </x:c>
      <x:c r="H69" s="116"/>
      <x:c r="I69" s="18" t="str">
        <x:f t="shared" si="20"/>
        <x:v>엄 정 도</x:v>
      </x:c>
      <x:c r="J69" s="5">
        <x:f t="shared" si="20"/>
        <x:v>-14</x:v>
      </x:c>
      <x:c r="K69" s="5">
        <x:f t="shared" si="20"/>
        <x:v>-27</x:v>
      </x:c>
      <x:c r="L69" s="5">
        <x:f t="shared" si="20"/>
        <x:v>2</x:v>
      </x:c>
      <x:c r="M69" s="5">
        <x:f t="shared" si="20"/>
        <x:v>11</x:v>
      </x:c>
      <x:c r="N69" s="130" t="str">
        <x:f t="shared" si="20"/>
        <x:v/>
      </x:c>
      <x:c r="O69" s="127"/>
    </x:row>
    <x:row r="70" spans="2:15" ht="24.949999999999999" customHeight="1">
      <x:c r="B70" s="18">
        <x:f t="shared" si="19"/>
        <x:v>0</x:v>
      </x:c>
      <x:c r="C70" s="5">
        <x:f t="shared" si="19"/>
        <x:v>0</x:v>
      </x:c>
      <x:c r="D70" s="5">
        <x:f t="shared" si="19"/>
        <x:v>0</x:v>
      </x:c>
      <x:c r="E70" s="5">
        <x:f t="shared" si="19"/>
        <x:v>0</x:v>
      </x:c>
      <x:c r="F70" s="5">
        <x:f t="shared" si="19"/>
        <x:v>0</x:v>
      </x:c>
      <x:c r="G70" s="124" t="str">
        <x:f t="shared" si="19"/>
        <x:v/>
      </x:c>
      <x:c r="H70" s="116"/>
      <x:c r="I70" s="18" t="str">
        <x:f t="shared" si="20"/>
        <x:v>이 승 미</x:v>
      </x:c>
      <x:c r="J70" s="5">
        <x:f t="shared" si="20"/>
        <x:v>-38</x:v>
      </x:c>
      <x:c r="K70" s="5">
        <x:f t="shared" si="20"/>
        <x:v>-28</x:v>
      </x:c>
      <x:c r="L70" s="5">
        <x:f t="shared" si="20"/>
        <x:v>27</x:v>
      </x:c>
      <x:c r="M70" s="5">
        <x:f t="shared" si="20"/>
        <x:v>-11</x:v>
      </x:c>
      <x:c r="N70" s="130" t="str">
        <x:f t="shared" si="20"/>
        <x:v/>
      </x:c>
      <x:c r="O70" s="127"/>
    </x:row>
    <x:row r="71" spans="2:15" ht="24.949999999999999" customHeight="1">
      <x:c r="B71" s="30" t="str">
        <x:f t="shared" ref="B71:G71" si="21">IF(B30="","",B30)</x:f>
        <x:v/>
      </x:c>
      <x:c r="C71" s="51">
        <x:f t="shared" si="21"/>
        <x:v>69</x:v>
      </x:c>
      <x:c r="D71" s="51">
        <x:f t="shared" si="21"/>
        <x:v>66</x:v>
      </x:c>
      <x:c r="E71" s="51">
        <x:f t="shared" si="21"/>
        <x:v>43</x:v>
      </x:c>
      <x:c r="F71" s="51">
        <x:f t="shared" si="21"/>
        <x:v>-72</x:v>
      </x:c>
      <x:c r="G71" s="125" t="str">
        <x:f t="shared" si="21"/>
        <x:v/>
      </x:c>
      <x:c r="H71" s="117"/>
      <x:c r="I71" s="30" t="str">
        <x:f t="shared" ref="I71:N71" si="22">IF(I30="","",I30)</x:f>
        <x:v/>
      </x:c>
      <x:c r="J71" s="51">
        <x:f t="shared" si="22"/>
        <x:v>68</x:v>
      </x:c>
      <x:c r="K71" s="51">
        <x:f t="shared" si="22"/>
        <x:v>-13</x:v>
      </x:c>
      <x:c r="L71" s="51">
        <x:f t="shared" si="22"/>
        <x:v>45</x:v>
      </x:c>
      <x:c r="M71" s="51">
        <x:f t="shared" si="22"/>
        <x:v>69</x:v>
      </x:c>
      <x:c r="N71" s="131" t="str">
        <x:f t="shared" si="22"/>
        <x:v/>
      </x:c>
      <x:c r="O71" s="128"/>
    </x:row>
    <x:row r="72" spans="2:15" ht="9.9499999999999993" customHeight="1"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</x:row>
    <x:row r="73" spans="2:15" ht="24.949999999999999" customHeight="1">
      <x:c r="B73" s="13" t="str">
        <x:f t="shared" ref="B73:O77" si="23">IF(B32="","",B32)</x:f>
        <x:v>변 상 필</x:v>
      </x:c>
      <x:c r="C73" s="49">
        <x:f t="shared" si="23"/>
        <x:v>32</x:v>
      </x:c>
      <x:c r="D73" s="49">
        <x:f t="shared" si="23"/>
        <x:v>14</x:v>
      </x:c>
      <x:c r="E73" s="49">
        <x:f t="shared" si="23"/>
        <x:v>30</x:v>
      </x:c>
      <x:c r="F73" s="49">
        <x:f t="shared" si="23"/>
        <x:v>17</x:v>
      </x:c>
      <x:c r="G73" s="129">
        <x:f t="shared" si="23"/>
        <x:v>185</x:v>
      </x:c>
      <x:c r="H73" s="126" t="str">
        <x:f t="shared" si="23"/>
        <x:v/>
      </x:c>
      <x:c r="I73" s="50" t="str">
        <x:f t="shared" si="23"/>
        <x:v>이 우 석</x:v>
      </x:c>
      <x:c r="J73" s="49">
        <x:f t="shared" si="23"/>
        <x:v>-13</x:v>
      </x:c>
      <x:c r="K73" s="49">
        <x:f t="shared" si="23"/>
        <x:v>1</x:v>
      </x:c>
      <x:c r="L73" s="49">
        <x:f t="shared" si="23"/>
        <x:v>-12</x:v>
      </x:c>
      <x:c r="M73" s="49">
        <x:f t="shared" si="23"/>
        <x:v>25</x:v>
      </x:c>
      <x:c r="N73" s="129">
        <x:f t="shared" si="23"/>
        <x:v>135</x:v>
      </x:c>
      <x:c r="O73" s="126" t="str">
        <x:f t="shared" si="23"/>
        <x:v/>
      </x:c>
    </x:row>
    <x:row r="74" spans="2:15" ht="24.949999999999999" customHeight="1">
      <x:c r="B74" s="18" t="str">
        <x:f t="shared" si="23"/>
        <x:v>강 완 규</x:v>
      </x:c>
      <x:c r="C74" s="5">
        <x:f t="shared" si="23"/>
        <x:v>-16</x:v>
      </x:c>
      <x:c r="D74" s="5">
        <x:f t="shared" si="23"/>
        <x:v>20</x:v>
      </x:c>
      <x:c r="E74" s="5">
        <x:f t="shared" si="23"/>
        <x:v>-18</x:v>
      </x:c>
      <x:c r="F74" s="5">
        <x:f t="shared" si="23"/>
        <x:v>4</x:v>
      </x:c>
      <x:c r="G74" s="130" t="str">
        <x:f t="shared" si="23"/>
        <x:v/>
      </x:c>
      <x:c r="H74" s="127" t="str">
        <x:f t="shared" si="23"/>
        <x:v/>
      </x:c>
      <x:c r="I74" s="18" t="str">
        <x:f t="shared" si="23"/>
        <x:v>임 연 진</x:v>
      </x:c>
      <x:c r="J74" s="5">
        <x:f t="shared" si="23"/>
        <x:v>-3</x:v>
      </x:c>
      <x:c r="K74" s="5">
        <x:f t="shared" si="23"/>
        <x:v>52</x:v>
      </x:c>
      <x:c r="L74" s="5">
        <x:f t="shared" si="23"/>
        <x:v>-4</x:v>
      </x:c>
      <x:c r="M74" s="5">
        <x:f t="shared" si="23"/>
        <x:v>29</x:v>
      </x:c>
      <x:c r="N74" s="130" t="str">
        <x:f t="shared" si="23"/>
        <x:v/>
      </x:c>
      <x:c r="O74" s="127" t="str">
        <x:f t="shared" si="23"/>
        <x:v/>
      </x:c>
    </x:row>
    <x:row r="75" spans="2:15" ht="24.949999999999999" customHeight="1">
      <x:c r="B75" s="18" t="str">
        <x:f t="shared" si="23"/>
        <x:v>김 태 환</x:v>
      </x:c>
      <x:c r="C75" s="5">
        <x:f t="shared" si="23"/>
        <x:v>0</x:v>
      </x:c>
      <x:c r="D75" s="5">
        <x:f t="shared" si="23"/>
        <x:v>0</x:v>
      </x:c>
      <x:c r="E75" s="5">
        <x:f t="shared" si="23"/>
        <x:v>0</x:v>
      </x:c>
      <x:c r="F75" s="5">
        <x:f t="shared" si="23"/>
        <x:v>0</x:v>
      </x:c>
      <x:c r="G75" s="130" t="str">
        <x:f t="shared" si="23"/>
        <x:v/>
      </x:c>
      <x:c r="H75" s="127" t="str">
        <x:f t="shared" si="23"/>
        <x:v/>
      </x:c>
      <x:c r="I75" s="18" t="str">
        <x:f t="shared" si="23"/>
        <x:v>임 승 기</x:v>
      </x:c>
      <x:c r="J75" s="5">
        <x:f t="shared" si="23"/>
        <x:v>0</x:v>
      </x:c>
      <x:c r="K75" s="5">
        <x:f t="shared" si="23"/>
        <x:v>0</x:v>
      </x:c>
      <x:c r="L75" s="5">
        <x:f t="shared" si="23"/>
        <x:v>0</x:v>
      </x:c>
      <x:c r="M75" s="5">
        <x:f t="shared" si="23"/>
        <x:v>0</x:v>
      </x:c>
      <x:c r="N75" s="130" t="str">
        <x:f t="shared" si="23"/>
        <x:v/>
      </x:c>
      <x:c r="O75" s="127" t="str">
        <x:f t="shared" si="23"/>
        <x:v/>
      </x:c>
    </x:row>
    <x:row r="76" spans="2:15" ht="24.949999999999999" customHeight="1">
      <x:c r="B76" s="18" t="str">
        <x:f t="shared" si="23"/>
        <x:v>김 미 란</x:v>
      </x:c>
      <x:c r="C76" s="5">
        <x:f t="shared" si="23"/>
        <x:v>7</x:v>
      </x:c>
      <x:c r="D76" s="5">
        <x:f t="shared" si="23"/>
        <x:v>29</x:v>
      </x:c>
      <x:c r="E76" s="5">
        <x:f t="shared" si="23"/>
        <x:v>-12</x:v>
      </x:c>
      <x:c r="F76" s="5">
        <x:f t="shared" si="23"/>
        <x:v>18</x:v>
      </x:c>
      <x:c r="G76" s="130" t="str">
        <x:f t="shared" si="23"/>
        <x:v/>
      </x:c>
      <x:c r="H76" s="127" t="str">
        <x:f t="shared" si="23"/>
        <x:v/>
      </x:c>
      <x:c r="I76" s="18" t="str">
        <x:f t="shared" si="23"/>
        <x:v>김 선 미</x:v>
      </x:c>
      <x:c r="J76" s="5">
        <x:f t="shared" si="23"/>
        <x:v>-3</x:v>
      </x:c>
      <x:c r="K76" s="5">
        <x:f t="shared" si="23"/>
        <x:v>55</x:v>
      </x:c>
      <x:c r="L76" s="5">
        <x:f t="shared" si="23"/>
        <x:v>-33</x:v>
      </x:c>
      <x:c r="M76" s="5">
        <x:f t="shared" si="23"/>
        <x:v>-21</x:v>
      </x:c>
      <x:c r="N76" s="130" t="str">
        <x:f t="shared" si="23"/>
        <x:v/>
      </x:c>
      <x:c r="O76" s="127" t="str">
        <x:f t="shared" si="23"/>
        <x:v/>
      </x:c>
    </x:row>
    <x:row r="77" spans="2:15" ht="24.949999999999999" customHeight="1">
      <x:c r="B77" s="18" t="str">
        <x:f t="shared" si="23"/>
        <x:v>황 인 교</x:v>
      </x:c>
      <x:c r="C77" s="5">
        <x:f t="shared" si="23"/>
        <x:v>-5</x:v>
      </x:c>
      <x:c r="D77" s="5">
        <x:f t="shared" si="23"/>
        <x:v>34</x:v>
      </x:c>
      <x:c r="E77" s="5">
        <x:f t="shared" si="23"/>
        <x:v>9</x:v>
      </x:c>
      <x:c r="F77" s="5">
        <x:f t="shared" si="23"/>
        <x:v>22</x:v>
      </x:c>
      <x:c r="G77" s="130" t="str">
        <x:f t="shared" si="23"/>
        <x:v/>
      </x:c>
      <x:c r="H77" s="127" t="str">
        <x:f t="shared" si="23"/>
        <x:v/>
      </x:c>
      <x:c r="I77" s="18" t="str">
        <x:f t="shared" si="23"/>
        <x:v>이 정 석</x:v>
      </x:c>
      <x:c r="J77" s="5">
        <x:f t="shared" si="23"/>
        <x:v>6</x:v>
      </x:c>
      <x:c r="K77" s="5">
        <x:f t="shared" si="23"/>
        <x:v>-12</x:v>
      </x:c>
      <x:c r="L77" s="5">
        <x:f t="shared" si="23"/>
        <x:v>29</x:v>
      </x:c>
      <x:c r="M77" s="5">
        <x:f t="shared" si="23"/>
        <x:v>39</x:v>
      </x:c>
      <x:c r="N77" s="130" t="str">
        <x:f t="shared" si="23"/>
        <x:v/>
      </x:c>
      <x:c r="O77" s="127" t="str">
        <x:f t="shared" si="23"/>
        <x:v/>
      </x:c>
    </x:row>
    <x:row r="78" spans="2:15" ht="24.949999999999999" customHeight="1">
      <x:c r="B78" s="30" t="str">
        <x:f t="shared" ref="B78:O78" si="24">IF(B37="","",B37)</x:f>
        <x:v/>
      </x:c>
      <x:c r="C78" s="51">
        <x:f t="shared" si="24"/>
        <x:v>18</x:v>
      </x:c>
      <x:c r="D78" s="51">
        <x:f t="shared" si="24"/>
        <x:v>97</x:v>
      </x:c>
      <x:c r="E78" s="51">
        <x:f t="shared" si="24"/>
        <x:v>9</x:v>
      </x:c>
      <x:c r="F78" s="51">
        <x:f t="shared" si="24"/>
        <x:v>61</x:v>
      </x:c>
      <x:c r="G78" s="131" t="str">
        <x:f t="shared" si="24"/>
        <x:v/>
      </x:c>
      <x:c r="H78" s="128" t="str">
        <x:f t="shared" si="24"/>
        <x:v/>
      </x:c>
      <x:c r="I78" s="30" t="str">
        <x:f t="shared" si="24"/>
        <x:v/>
      </x:c>
      <x:c r="J78" s="51">
        <x:f t="shared" si="24"/>
        <x:v>-13</x:v>
      </x:c>
      <x:c r="K78" s="51">
        <x:f t="shared" si="24"/>
        <x:v>96</x:v>
      </x:c>
      <x:c r="L78" s="51">
        <x:f t="shared" si="24"/>
        <x:v>-20</x:v>
      </x:c>
      <x:c r="M78" s="51">
        <x:f t="shared" si="24"/>
        <x:v>72</x:v>
      </x:c>
      <x:c r="N78" s="131" t="str">
        <x:f t="shared" si="24"/>
        <x:v/>
      </x:c>
      <x:c r="O78" s="128" t="str">
        <x:f t="shared" si="24"/>
        <x:v/>
      </x:c>
    </x:row>
    <x:row r="79" ht="24.949999999999999" customHeight="1"/>
    <x:row r="80" ht="24.949999999999999" customHeight="1"/>
  </x:sheetData>
  <x:mergeCells count="22">
    <x:mergeCell ref="G73:G78"/>
    <x:mergeCell ref="H73:H78"/>
    <x:mergeCell ref="N73:N78"/>
    <x:mergeCell ref="O73:O78"/>
    <x:mergeCell ref="A42:O42"/>
    <x:mergeCell ref="N43:O43"/>
    <x:mergeCell ref="B65:O65"/>
    <x:mergeCell ref="G66:G71"/>
    <x:mergeCell ref="H66:H71"/>
    <x:mergeCell ref="N66:N71"/>
    <x:mergeCell ref="O66:O71"/>
    <x:mergeCell ref="A1:O1"/>
    <x:mergeCell ref="N2:O2"/>
    <x:mergeCell ref="B24:O24"/>
    <x:mergeCell ref="H32:H37"/>
    <x:mergeCell ref="O32:O37"/>
    <x:mergeCell ref="G25:G30"/>
    <x:mergeCell ref="H25:H30"/>
    <x:mergeCell ref="N25:N30"/>
    <x:mergeCell ref="O25:O30"/>
    <x:mergeCell ref="G32:G37"/>
    <x:mergeCell ref="N32:N37"/>
  </x:mergeCells>
  <x:conditionalFormatting sqref="C4:E23">
    <x:cfRule type="cellIs" dxfId="25" priority="17" operator="between">
      <x:formula>200</x:formula>
      <x:formula>200</x:formula>
    </x:cfRule>
  </x:conditionalFormatting>
  <x:conditionalFormatting sqref="C4:F23">
    <x:cfRule type="cellIs" dxfId="24" priority="1" operator="between">
      <x:formula>200</x:formula>
      <x:formula>300</x:formula>
    </x:cfRule>
  </x:conditionalFormatting>
  <x:conditionalFormatting sqref="C45:F64">
    <x:cfRule type="cellIs" dxfId="22" priority="3" operator="between">
      <x:formula>200</x:formula>
      <x:formula>200</x:formula>
    </x:cfRule>
    <x:cfRule type="cellIs" dxfId="23" priority="2" operator="between">
      <x:formula>200</x:formula>
      <x:formula>300</x:formula>
    </x:cfRule>
  </x:conditionalFormatting>
  <x:conditionalFormatting sqref="G4:G23">
    <x:cfRule type="cellIs" dxfId="20" priority="25" operator="greaterThan">
      <x:formula>599</x:formula>
    </x:cfRule>
    <x:cfRule type="cellIs" dxfId="21" priority="15" operator="between">
      <x:formula>600</x:formula>
      <x:formula>900</x:formula>
    </x:cfRule>
  </x:conditionalFormatting>
  <x:conditionalFormatting sqref="G45:G64">
    <x:cfRule type="cellIs" dxfId="18" priority="13" operator="greaterThan">
      <x:formula>599</x:formula>
    </x:cfRule>
    <x:cfRule type="cellIs" dxfId="19" priority="8" operator="between">
      <x:formula>600</x:formula>
      <x:formula>900</x:formula>
    </x:cfRule>
  </x:conditionalFormatting>
  <x:conditionalFormatting sqref="H4:H23">
    <x:cfRule type="cellIs" dxfId="17" priority="23" operator="greaterThan">
      <x:formula>199.9</x:formula>
    </x:cfRule>
  </x:conditionalFormatting>
  <x:conditionalFormatting sqref="H45:H64">
    <x:cfRule type="cellIs" dxfId="16" priority="11" operator="greaterThan">
      <x:formula>199.9</x:formula>
    </x:cfRule>
  </x:conditionalFormatting>
  <x:conditionalFormatting sqref="H4:I23">
    <x:cfRule type="cellIs" dxfId="15" priority="14" operator="between">
      <x:formula>200</x:formula>
      <x:formula>300</x:formula>
    </x:cfRule>
  </x:conditionalFormatting>
  <x:conditionalFormatting sqref="H45:I64">
    <x:cfRule type="cellIs" dxfId="14" priority="7" operator="between">
      <x:formula>200</x:formula>
      <x:formula>300</x:formula>
    </x:cfRule>
  </x:conditionalFormatting>
  <x:conditionalFormatting sqref="I4:I23">
    <x:cfRule type="cellIs" dxfId="13" priority="24" operator="greaterThan">
      <x:formula>199</x:formula>
    </x:cfRule>
  </x:conditionalFormatting>
  <x:conditionalFormatting sqref="I45:I64">
    <x:cfRule type="cellIs" dxfId="12" priority="12" operator="greaterThan">
      <x:formula>199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1" baseType="lpstr">
      <vt:lpstr>회원명단 및 기준에버</vt:lpstr>
      <vt:lpstr>00회번개 6인팀</vt:lpstr>
      <vt:lpstr>00회번개 5인팀</vt:lpstr>
      <vt:lpstr>00회번개 4인팀</vt:lpstr>
      <vt:lpstr>07회번개</vt:lpstr>
      <vt:lpstr>06회번개</vt:lpstr>
      <vt:lpstr>05회번개</vt:lpstr>
      <vt:lpstr>04회번개</vt:lpstr>
      <vt:lpstr>03회번개</vt:lpstr>
      <vt:lpstr>02회번개</vt:lpstr>
      <vt:lpstr>01회번개</vt:lpstr>
    </vt:vector>
  </ep:TitlesOfParts>
  <ep:TotalTime>1965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천성일</dc:creator>
  <cp:lastModifiedBy>ok</cp:lastModifiedBy>
  <cp:revision>217</cp:revision>
  <cp:lastPrinted>2023-08-31T14:57:24.000</cp:lastPrinted>
  <dcterms:created xsi:type="dcterms:W3CDTF">2017-01-17T19:15:27.000</dcterms:created>
  <dcterms:modified xsi:type="dcterms:W3CDTF">2026-04-09T21:52:00.855</dcterms:modified>
  <cp:version>1100.0100.01</cp:version>
</cp:coreProperties>
</file>