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F:\일 산 아르케 존\2026년\아르케 존 점수현황\"/>
    </mc:Choice>
  </mc:AlternateContent>
  <x:bookViews>
    <x:workbookView xWindow="0" yWindow="0" windowWidth="17910" windowHeight="11190" tabRatio="694" activeTab="1"/>
  </x:bookViews>
  <x:sheets>
    <x:sheet name="회원명단 및 기준에버" sheetId="1" r:id="rId4"/>
    <x:sheet name="00회정모 6인팀" sheetId="2" r:id="rId5"/>
    <x:sheet name="00회정모 5인팀" sheetId="3" r:id="rId6"/>
    <x:sheet name="00회정모 4인팀" sheetId="4" r:id="rId7"/>
    <x:sheet name="07회정모" sheetId="5" r:id="rId8"/>
    <x:sheet name="06회정모" sheetId="6" r:id="rId9"/>
    <x:sheet name="05회정모" sheetId="7" r:id="rId10"/>
    <x:sheet name="04회정모" sheetId="8" r:id="rId11"/>
    <x:sheet name="03회정모" sheetId="9" r:id="rId12"/>
    <x:sheet name="02회정모" sheetId="10" r:id="rId13"/>
    <x:sheet name="01회정모 " sheetId="11" r:id="rId14"/>
  </x:sheets>
  <x:definedNames>
    <x:definedName name="_xlnm._FilterDatabase" hidden="1">#REF!</x:definedName>
  </x:definedNam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ThreadComment</x:author>
  </x:authors>
  <x:commentList>
    <x:comment ref="L2:L2" authorId="0">
      <x:text/>
    </x:comment>
    <x:comment ref="T2:T2" authorId="0">
      <x:text/>
    </x:comment>
    <x:comment ref="V2:V2" authorId="0">
      <x:text/>
    </x:comment>
  </x:commentList>
</x:comments>
</file>

<file path=xl/comments2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ThreadComment</x:author>
  </x:authors>
  <x:commentList>
    <x:comment ref="L2:L2" authorId="0">
      <x:text/>
    </x:comment>
    <x:comment ref="T2:T2" authorId="0">
      <x:text/>
    </x:comment>
    <x:comment ref="V2:V2" authorId="0">
      <x:text/>
    </x:comment>
  </x:commentList>
</x:comments>
</file>

<file path=xl/comments3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ThreadComment</x:author>
  </x:authors>
  <x:commentList>
    <x:comment ref="L2:L2" authorId="0">
      <x:text/>
    </x:comment>
    <x:comment ref="T2:T2" authorId="0">
      <x:text/>
    </x:comment>
    <x:comment ref="V2:V2" authorId="0">
      <x:text/>
    </x:comment>
  </x:commentList>
</x:comments>
</file>

<file path=xl/comments4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ThreadComment</x:author>
  </x:authors>
  <x:commentList>
    <x:comment ref="L2:L2" authorId="0">
      <x:text/>
    </x:comment>
    <x:comment ref="T2:T2" authorId="0">
      <x:text/>
    </x:comment>
    <x:comment ref="V2:V2" authorId="0">
      <x:text/>
    </x:comment>
  </x:commentList>
</x:comments>
</file>

<file path=xl/comments5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ThreadComment</x:author>
  </x:authors>
  <x:commentList>
    <x:comment ref="L2:L2" authorId="0">
      <x:text/>
    </x:comment>
    <x:comment ref="T2:T2" authorId="0">
      <x:text/>
    </x:comment>
    <x:comment ref="V2:V2" authorId="0">
      <x:text/>
    </x:comment>
  </x:commentList>
</x:comments>
</file>

<file path=xl/comments6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ThreadComment</x:author>
  </x:authors>
  <x:commentList>
    <x:comment ref="L2:L2" authorId="0">
      <x:text/>
    </x:comment>
    <x:comment ref="T2:T2" authorId="0">
      <x:text/>
    </x:comment>
    <x:comment ref="V2:V2" authorId="0">
      <x:text/>
    </x:comment>
  </x:commentList>
</x:comments>
</file>

<file path=xl/comments7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ThreadComment</x:author>
  </x:authors>
  <x:commentList>
    <x:comment ref="L2:L2" authorId="0">
      <x:text/>
    </x:comment>
    <x:comment ref="T2:T2" authorId="0">
      <x:text/>
    </x:comment>
    <x:comment ref="V2:V2" authorId="0">
      <x:text/>
    </x:comment>
  </x:commentList>
</x:comments>
</file>

<file path=xl/comments8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ThreadComment</x:author>
  </x:authors>
  <x:commentList>
    <x:comment ref="L2:L2" authorId="0">
      <x:text/>
    </x:comment>
    <x:comment ref="T2:T2" authorId="0">
      <x:text/>
    </x:comment>
    <x:comment ref="V2:V2" authorId="0">
      <x:text/>
    </x:comment>
  </x:commentList>
</x:comments>
</file>

<file path=xl/comments9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ThreadComment</x:author>
  </x:authors>
  <x:commentList>
    <x:comment ref="L2:L2" authorId="0">
      <x:text/>
    </x:comment>
    <x:comment ref="T2:T2" authorId="0">
      <x:text/>
    </x:comment>
    <x:comment ref="V2:V2" authorId="0">
      <x:text/>
    </x:comment>
  </x:commentList>
</x:comments>
</file>

<file path=xl/comments10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ThreadComment</x:author>
  </x:authors>
  <x:commentList>
    <x:comment ref="L2:L2" authorId="0">
      <x:text/>
    </x:comment>
    <x:comment ref="T2:T2" authorId="0">
      <x:text/>
    </x:comment>
    <x:comment ref="V2:V2" authorId="0">
      <x:text/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<x:sst xmlns:r="http://schemas.openxmlformats.org/officeDocument/2006/relationships" xmlns:c="http://schemas.openxmlformats.org/drawingml/2006/chart" xmlns:x="http://schemas.openxmlformats.org/spreadsheetml/2006/main" count="2314" uniqueCount="77">
  <x:si>
    <x:t>2 G</x:t>
  </x:si>
  <x:si>
    <x:t>이름</x:t>
  </x:si>
  <x:si>
    <x:t>1 G</x:t>
  </x:si>
  <x:si>
    <x:t>4분기</x:t>
  </x:si>
  <x:si>
    <x:t>순번</x:t>
  </x:si>
  <x:si>
    <x:t>2분기</x:t>
  </x:si>
  <x:si>
    <x:t>에 버</x:t>
  </x:si>
  <x:si>
    <x:t>1분기</x:t>
  </x:si>
  <x:si>
    <x:t>날짜</x:t>
  </x:si>
  <x:si>
    <x:t>합 계</x:t>
  </x:si>
  <x:si>
    <x:t>3 G</x:t>
  </x:si>
  <x:si>
    <x:t>3분기</x:t>
  </x:si>
  <x:si>
    <x:t/>
  </x:si>
  <x:si>
    <x:t>오 차</x:t>
  </x:si>
  <x:si>
    <x:t>정기전 만 해당 함</x:t>
  </x:si>
  <x:si>
    <x:t>이 범 수</x:t>
  </x:si>
  <x:si>
    <x:t>엄 정 도</x:t>
  </x:si>
  <x:si>
    <x:t>정 영 우</x:t>
  </x:si>
  <x:si>
    <x:t>나 경 주</x:t>
  </x:si>
  <x:si>
    <x:t>정 승 주</x:t>
  </x:si>
  <x:si>
    <x:t>이 정 석</x:t>
  </x:si>
  <x:si>
    <x:t>임 연 진</x:t>
  </x:si>
  <x:si>
    <x:t>강 완 규</x:t>
  </x:si>
  <x:si>
    <x:t>송 정 현</x:t>
  </x:si>
  <x:si>
    <x:t>김 규 희</x:t>
  </x:si>
  <x:si>
    <x:t>이 재 용</x:t>
  </x:si>
  <x:si>
    <x:t>임 승 기</x:t>
  </x:si>
  <x:si>
    <x:t>진 명 옥</x:t>
  </x:si>
  <x:si>
    <x:t>에버벌금</x:t>
  </x:si>
  <x:si>
    <x:t>올카바 상</x:t>
  </x:si>
  <x:si>
    <x:t>최    진</x:t>
  </x:si>
  <x:si>
    <x:t>손 은 주</x:t>
  </x:si>
  <x:si>
    <x:t>김 태 환</x:t>
  </x:si>
  <x:si>
    <x:t>기준 에버</x:t>
  </x:si>
  <x:si>
    <x:t>지 옥 명</x:t>
  </x:si>
  <x:si>
    <x:t>이 승 미</x:t>
  </x:si>
  <x:si>
    <x:t>변 상 필</x:t>
  </x:si>
  <x:si>
    <x:t>이 대 용</x:t>
  </x:si>
  <x:si>
    <x:t>박 성 현</x:t>
  </x:si>
  <x:si>
    <x:t>이 우 석</x:t>
  </x:si>
  <x:si>
    <x:t>김 태 호</x:t>
  </x:si>
  <x:si>
    <x:t>김 선 미</x:t>
  </x:si>
  <x:si>
    <x:t>황 인 교</x:t>
  </x:si>
  <x:si>
    <x:t>이 상 현</x:t>
  </x:si>
  <x:si>
    <x:t>팀전에버기준</x:t>
  </x:si>
  <x:si>
    <x:t>김 미 란</x:t>
  </x:si>
  <x:si>
    <x:t>강 희 태</x:t>
  </x:si>
  <x:si>
    <x:t>장 영 민</x:t>
  </x:si>
  <x:si>
    <x:t>천 성 일</x:t>
  </x:si>
  <x:si>
    <x:t>박 시 진</x:t>
  </x:si>
  <x:si>
    <x:t>고 경 훈</x:t>
  </x:si>
  <x:si>
    <x:t>팀    전</x:t>
  </x:si>
  <x:si>
    <x:t>채 윤 주</x:t>
  </x:si>
  <x:si>
    <x:t xml:space="preserve">이 름 </x:t>
  </x:si>
  <x:si>
    <x:t>최 현 수</x:t>
  </x:si>
  <x:si>
    <x:t>유니품 벌금</x:t>
  </x:si>
  <x:si>
    <x:t>김 종 훈</x:t>
  </x:si>
  <x:si>
    <x:t>기본에버</x:t>
  </x:si>
  <x:si>
    <x:t>김 정 희</x:t>
  </x:si>
  <x:si>
    <x:t>최  진</x:t>
  </x:si>
  <x:si>
    <x:t>김 남 주</x:t>
  </x:si>
  <x:si>
    <x:t>순위에버오차기준</x:t>
  </x:si>
  <x:si>
    <x:t>1점부터  2000원</x:t>
  </x:si>
  <x:si>
    <x:r>
      <x:t xml:space="preserve">시 상 및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궁서체"/>
            <x:sz val="14"/>
            <x:color rgb="ffff0000"/>
            <hs:size val="100"/>
            <hs:ratio val="100"/>
            <hs:spacing val="0"/>
            <hs:offset val="0"/>
          </x:rPr>
        </mc:Choice>
        <mc:Fallback>
          <x:rPr>
            <x:rFont val="궁서체"/>
            <x:sz val="14"/>
            <x:color rgb="ffff0000"/>
          </x:rPr>
        </mc:Fallback>
      </mc:AlternateContent>
      <x:t>벌 금</x:t>
    </x:r>
  </x:si>
  <x:si>
    <x:t>유니품 벌금(3.000원)</x:t>
  </x:si>
  <x:si>
    <x:t>수식입력부분 삭제하지마세요~</x:t>
  </x:si>
  <x:si>
    <x:t>초구가터벌금1회1000원</x:t>
  </x:si>
  <x:si>
    <x:t>광 박 1회 2000원</x:t>
  </x:si>
  <x:si>
    <x:t>에버상승상 남+20점,여+10점 이상 상위1명</x:t>
  </x:si>
  <x:si>
    <x:t>2026 아르케 존 00회 정기 모임 점수</x:t>
  </x:si>
  <x:si>
    <x:t>2026 아르케 존 01회 정기 모임 점수</x:t>
  </x:si>
  <x:si>
    <x:t>2026 아르케 존 02회 정기 모임 점수</x:t>
  </x:si>
  <x:si>
    <x:t>2026 아르케 존 05회 정기 모임 점수</x:t>
  </x:si>
  <x:si>
    <x:t>2026 아르케 존 06회 정기 모임 점수</x:t>
  </x:si>
  <x:si>
    <x:t>2026 아르케 존 03회 정기 모임 점수</x:t>
  </x:si>
  <x:si>
    <x:t>2026 아르케 존 07회 정기 모임 점수</x:t>
  </x:si>
  <x:si>
    <x:t>최 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</x:si>
</x:sst>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0.0"/>
    <x:numFmt numFmtId="165" formatCode="0_ ;[Red]\-0\ "/>
    <x:numFmt numFmtId="166" formatCode="0.0_ ;[Red]\-0.0\ "/>
    <x:numFmt numFmtId="167" formatCode="0;[Red]0"/>
    <x:numFmt numFmtId="168" formatCode="#,##0_);[Red]\(#,##0\)"/>
  </x:numFmts>
  <x:fonts count="2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궁서체"/>
      <x:sz val="12"/>
      <x:color rgb="ff000000"/>
    </x:font>
    <x:font>
      <x:name val="궁서체"/>
      <x:sz val="11"/>
      <x:color rgb="ff000000"/>
    </x:font>
    <x:font>
      <x:name val="궁서체"/>
      <x:sz val="11"/>
      <x:color rgb="ffff0000"/>
    </x:font>
    <x:font>
      <x:name val="궁서체"/>
      <x:sz val="11"/>
      <x:color rgb="ff0000ff"/>
    </x:font>
    <x:font>
      <x:name val="궁서체"/>
      <x:sz val="12"/>
      <x:color rgb="ff0000ff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19"/>
          <x:color rgb="ff00b0f0"/>
          <x:b val="1"/>
          <hs:size val="100"/>
          <hs:ratio val="100"/>
          <hs:spacing val="0"/>
          <hs:offset val="0"/>
        </x:font>
      </mc:Choice>
      <mc:Fallback>
        <x:font>
          <x:name val="궁서체"/>
          <x:sz val="19"/>
          <x:color rgb="ff00b0f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11"/>
          <x:color rgb="ff00b0f0"/>
          <x:b val="1"/>
          <hs:size val="100"/>
          <hs:ratio val="100"/>
          <hs:spacing val="0"/>
          <hs:offset val="0"/>
        </x:font>
      </mc:Choice>
      <mc:Fallback>
        <x:font>
          <x:name val="궁서체"/>
          <x:sz val="11"/>
          <x:color rgb="ff00b0f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13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궁서체"/>
          <x:sz val="13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16"/>
          <x:color rgb="ff0000ff"/>
          <hs:size val="100"/>
          <hs:ratio val="100"/>
          <hs:spacing val="0"/>
          <hs:offset val="0"/>
        </x:font>
      </mc:Choice>
      <mc:Fallback>
        <x:font>
          <x:name val="궁서체"/>
          <x:sz val="16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22"/>
          <x:color rgb="ffff33cc"/>
          <hs:size val="100"/>
          <hs:ratio val="100"/>
          <hs:spacing val="0"/>
          <hs:offset val="0"/>
        </x:font>
      </mc:Choice>
      <mc:Fallback>
        <x:font>
          <x:name val="궁서체"/>
          <x:sz val="22"/>
          <x:color rgb="ffff33cc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11"/>
          <x:color rgb="ff0070c0"/>
          <hs:size val="100"/>
          <hs:ratio val="100"/>
          <hs:spacing val="0"/>
          <hs:offset val="0"/>
        </x:font>
      </mc:Choice>
      <mc:Fallback>
        <x:font>
          <x:name val="궁서체"/>
          <x:sz val="11"/>
          <x:color rgb="ff0070c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9"/>
          <x:color rgb="ffff0000"/>
          <hs:size val="100"/>
          <hs:ratio val="100"/>
          <hs:spacing val="0"/>
          <hs:offset val="0"/>
        </x:font>
      </mc:Choice>
      <mc:Fallback>
        <x:font>
          <x:name val="궁서체"/>
          <x:sz val="9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11"/>
          <x:color rgb="ff00b0f0"/>
          <hs:size val="100"/>
          <hs:ratio val="100"/>
          <hs:spacing val="0"/>
          <hs:offset val="0"/>
        </x:font>
      </mc:Choice>
      <mc:Fallback>
        <x:font>
          <x:name val="궁서체"/>
          <x:sz val="11"/>
          <x:color rgb="ff00b0f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궁서체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10"/>
          <x:color rgb="ff0070c0"/>
          <hs:size val="100"/>
          <hs:ratio val="100"/>
          <hs:spacing val="0"/>
          <hs:offset val="0"/>
        </x:font>
      </mc:Choice>
      <mc:Fallback>
        <x:font>
          <x:name val="궁서체"/>
          <x:sz val="10"/>
          <x:color rgb="ff0070c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궁서체"/>
          <x:sz val="14"/>
          <x:color rgb="ffff0000"/>
          <hs:size val="100"/>
          <hs:ratio val="100"/>
          <hs:spacing val="0"/>
          <hs:offset val="0"/>
        </x:font>
      </mc:Choice>
      <mc:Fallback>
        <x:font>
          <x:name val="궁서체"/>
          <x:sz val="14"/>
          <x:color rgb="ffff0000"/>
        </x:font>
      </mc:Fallback>
    </mc:AlternateContent>
  </x:fonts>
  <x:fills count="12">
    <x:fill>
      <x:patternFill patternType="none"/>
    </x:fill>
    <x:fill>
      <x:patternFill patternType="gray125"/>
    </x:fill>
    <x:fill>
      <x:patternFill patternType="solid">
        <x:fgColor rgb="ffebf1de"/>
        <x:bgColor indexed="64"/>
      </x:patternFill>
    </x:fill>
    <x:fill>
      <x:patternFill patternType="solid">
        <x:fgColor rgb="ffe6e0ed"/>
        <x:bgColor indexed="64"/>
      </x:patternFill>
    </x:fill>
    <x:fill>
      <x:patternFill patternType="solid">
        <x:fgColor rgb="fffdeadb"/>
        <x:bgColor indexed="64"/>
      </x:patternFill>
    </x:fill>
    <x:fill>
      <x:patternFill patternType="solid">
        <x:fgColor rgb="ffdbeef3"/>
        <x:bgColor indexed="64"/>
      </x:patternFill>
    </x:fill>
    <x:fill>
      <x:patternFill patternType="solid">
        <x:fgColor rgb="ff96b3d7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cdf2e4"/>
        <x:bgColor indexed="64"/>
      </x:patternFill>
    </x:fill>
    <x:fill>
      <x:patternFill patternType="solid">
        <x:fgColor rgb="ffdfe6f7"/>
        <x:bgColor indexed="64"/>
      </x:patternFill>
    </x:fill>
    <x:fill>
      <x:patternFill patternType="solid">
        <x:fgColor rgb="fffff7cc"/>
        <x:bgColor indexed="64"/>
      </x:patternFill>
    </x:fill>
    <x:fill>
      <x:patternFill patternType="solid">
        <x:fgColor rgb="fff3dcdb"/>
        <x:bgColor indexed="64"/>
      </x:patternFill>
    </x:fill>
  </x:fills>
  <x:borders count="59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double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double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double"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double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double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 style="double">
        <x:color indexed="64"/>
      </x:right>
      <x:top style="thin"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>
        <x:color indexed="64"/>
      </x:bottom>
    </x:border>
    <x:border>
      <x:left style="thin">
        <x:color indexed="64"/>
      </x:left>
      <x:right style="medium"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medium"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>
        <x:color indexed="64"/>
      </x:right>
      <x:top style="medium"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thin">
        <x:color indexed="64"/>
      </x:bottom>
    </x:border>
    <x:border>
      <x:left style="double">
        <x:color indexed="64"/>
      </x:left>
      <x:right>
        <x:color indexed="64"/>
      </x:right>
      <x:top style="medium">
        <x:color indexed="64"/>
      </x:top>
      <x:bottom style="thin"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 style="double"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double"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right>
        <x:color indexed="64"/>
      </x:right>
      <x:top style="double"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 style="double">
        <x:color indexed="64"/>
      </x:top>
      <x:bottom style="thin">
        <x:color indexed="64"/>
      </x:bottom>
    </x:border>
    <x:border>
      <x:left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double">
        <x:color indexed="64"/>
      </x:top>
      <x:bottom>
        <x:color indexed="64"/>
      </x:bottom>
    </x:border>
    <x:border>
      <x:left style="medium">
        <x:color indexed="64"/>
      </x:left>
      <x:right style="thin"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>
        <x:color indexed="64"/>
      </x:right>
      <x:top style="double"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195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>
          <x:alignment horizontal="center" vertical="center"/>
        </x:xf>
      </mc:Fallback>
    </mc:AlternateContent>
    <x:xf numFmtId="0" fontId="7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" vertical="center"/>
        </x:xf>
      </mc:Fallback>
    </mc:AlternateContent>
    <x:xf numFmtId="164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" fontId="6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" fontId="6" fillId="2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6" fillId="4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6" fillId="4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10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10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1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1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1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1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5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5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5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5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0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0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6" xfId="0" applyNumberFormat="1" applyFont="1" applyFill="1" applyBorder="1" applyAlignment="1">
          <x:alignment horizontal="center" vertical="center"/>
        </x:xf>
      </mc:Fallback>
    </mc:AlternateContent>
    <x:xf numFmtId="0" fontId="11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6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6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8" fontId="7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7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5" borderId="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5" borderId="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5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5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5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5" borderId="7" xfId="0" applyNumberFormat="1" applyFont="1" applyFill="1" applyBorder="1" applyAlignment="1">
          <x:alignment horizontal="center" vertical="center"/>
        </x:xf>
      </mc:Fallback>
    </mc:AlternateContent>
    <x:xf numFmtId="168" fontId="15" fillId="0" borderId="0" xfId="0" applyNumberFormat="1" applyFont="1">
      <x:alignment horizontal="general" vertical="center"/>
    </x:xf>
    <x:xf numFmtId="0" fontId="15" fillId="0" borderId="0" xfId="0" applyNumberFormat="1" applyFont="1">
      <x:alignment horizontal="general" vertical="center"/>
    </x:xf>
    <x:xf numFmtId="0" fontId="0" fillId="0" borderId="0" xfId="0" applyNumberFormat="1" applyFont="1">
      <x:alignment horizontal="general" vertical="center"/>
    </x:xf>
    <x:xf numFmtId="168" fontId="0" fillId="0" borderId="0" xfId="0" applyNumberFormat="1" applyFont="1">
      <x:alignment horizontal="general" vertical="center"/>
    </x:xf>
    <x:xf numFmtId="0" fontId="0" fillId="7" borderId="2" xfId="0" applyNumberFormat="1" applyFont="1" applyFill="1" applyBorder="1">
      <x:alignment horizontal="general" vertical="center"/>
    </x:xf>
    <x:xf numFmtId="0" fontId="0" fillId="7" borderId="2" xfId="0" applyNumberFormat="1" applyFill="1" applyBorder="1">
      <x:alignment horizontal="general" vertical="center"/>
    </x:xf>
    <x:xf numFmtId="0" fontId="15" fillId="0" borderId="0" xfId="0" applyNumberFormat="1" applyFont="1" applyBorder="1">
      <x:alignment horizontal="general" vertical="center"/>
    </x:xf>
    <x:xf numFmtId="0" fontId="0" fillId="0" borderId="17" xfId="0" applyNumberFormat="1" applyFont="1" applyBorder="1">
      <x:alignment horizontal="general" vertical="center"/>
    </x:xf>
    <x:xf numFmtId="0" fontId="0" fillId="0" borderId="17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8" fontId="6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8" fontId="6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2" xfId="0" applyNumberFormat="1" applyFont="1" applyBorder="1" applyAlignment="1">
          <x:alignment horizontal="center" vertical="center"/>
        </x:xf>
      </mc:Fallback>
    </mc:AlternateContent>
    <x:xf numFmtId="0" fontId="15" fillId="0" borderId="0" xfId="0" applyNumberFormat="1" applyFont="1" applyBorder="1">
      <x:alignment horizontal="general" vertical="center"/>
    </x:xf>
    <x:xf numFmtId="168" fontId="15" fillId="0" borderId="19" xfId="0" applyNumberFormat="1" applyFont="1" applyBorder="1">
      <x:alignment horizontal="general" vertical="center"/>
    </x:xf>
    <x:xf numFmtId="0" fontId="15" fillId="0" borderId="24" xfId="0" applyNumberFormat="1" applyFont="1" applyBorder="1">
      <x:alignment horizontal="general" vertical="center"/>
    </x:xf>
    <x:xf numFmtId="0" fontId="15" fillId="0" borderId="16" xfId="0" applyNumberFormat="1" applyFont="1" applyBorder="1">
      <x:alignment horizontal="general" vertical="center"/>
    </x:xf>
    <x:xf numFmtId="168" fontId="15" fillId="0" borderId="25" xfId="0" applyNumberFormat="1" applyFont="1" applyBorder="1">
      <x:alignment horizontal="general" vertical="center"/>
    </x:xf>
    <x:xf numFmtId="0" fontId="15" fillId="0" borderId="26" xfId="0" applyNumberFormat="1" applyFont="1" applyBorder="1">
      <x:alignment horizontal="general" vertical="center"/>
    </x:xf>
    <x:xf numFmtId="0" fontId="15" fillId="0" borderId="27" xfId="0" applyNumberFormat="1" applyFont="1" applyBorder="1">
      <x:alignment horizontal="general" vertical="center"/>
    </x:xf>
    <x:xf numFmtId="168" fontId="15" fillId="0" borderId="19" xfId="0" applyNumberFormat="1" applyFont="1" applyBorder="1">
      <x:alignment horizontal="general" vertical="center"/>
    </x:xf>
    <x:xf numFmtId="0" fontId="15" fillId="0" borderId="24" xfId="0" applyNumberFormat="1" applyFont="1" applyBorder="1">
      <x:alignment horizontal="general" vertical="center"/>
    </x:xf>
    <x:xf numFmtId="0" fontId="15" fillId="0" borderId="16" xfId="0" applyNumberFormat="1" applyFont="1" applyBorder="1">
      <x:alignment horizontal="general" vertical="center"/>
    </x:xf>
    <x:xf numFmtId="168" fontId="15" fillId="0" borderId="25" xfId="0" applyNumberFormat="1" applyFont="1" applyBorder="1">
      <x:alignment horizontal="general" vertical="center"/>
    </x:xf>
    <x:xf numFmtId="0" fontId="15" fillId="0" borderId="26" xfId="0" applyNumberFormat="1" applyFont="1" applyBorder="1">
      <x:alignment horizontal="general" vertical="center"/>
    </x:xf>
    <x:xf numFmtId="168" fontId="15" fillId="0" borderId="28" xfId="0" applyNumberFormat="1" applyFont="1" applyBorder="1">
      <x:alignment horizontal="general" vertical="center"/>
    </x:xf>
    <x:xf numFmtId="0" fontId="15" fillId="0" borderId="27" xfId="0" applyNumberFormat="1" applyFont="1" applyBorder="1">
      <x:alignment horizontal="general" vertical="center"/>
    </x:xf>
    <x:xf numFmtId="0" fontId="15" fillId="0" borderId="29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7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7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8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8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8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8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5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5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3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3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165" fontId="18" fillId="0" borderId="31" xfId="0" applyNumberFormat="1" applyFont="1" applyFill="1" applyBorder="1" applyAlignment="1" applyProtection="1">
      <x:alignment horizontal="general" vertical="center"/>
    </x:xf>
    <x:xf numFmtId="0" fontId="19" fillId="0" borderId="31" xfId="0" applyNumberFormat="1" applyFont="1" applyFill="1" applyBorder="1" applyAlignment="1" applyProtection="1">
      <x:alignment horizontal="general" vertical="center"/>
    </x:xf>
    <x:xf numFmtId="165" fontId="18" fillId="0" borderId="0" xfId="0" applyNumberFormat="1" applyFont="1" applyFill="1" applyBorder="1" applyAlignment="1" applyProtection="1">
      <x:alignment horizontal="general" vertical="center"/>
    </x:xf>
    <x:xf numFmtId="0" fontId="19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5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20" xfId="0" applyNumberFormat="1" applyFont="1" applyFill="1" applyBorder="1" applyAlignment="1">
          <x:alignment horizontal="center" vertical="center"/>
        </x:xf>
      </mc:Fallback>
    </mc:AlternateContent>
    <x:xf numFmtId="0" fontId="7" fillId="0" borderId="32" xfId="0" applyNumberFormat="1" applyFont="1" applyFill="1" applyBorder="1" applyAlignment="1" applyProtection="1">
      <x:alignment horizontal="general" vertical="center"/>
    </x:xf>
    <x:xf numFmtId="165" fontId="7" fillId="0" borderId="0" xfId="0" applyNumberFormat="1" applyFont="1" applyFill="1" applyBorder="1" applyAlignment="1" applyProtection="1">
      <x:alignment horizontal="general" vertical="center"/>
    </x:xf>
    <x:xf numFmtId="165" fontId="9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6" fillId="9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6" fillId="9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10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10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7" fillId="10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10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1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3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33" xfId="0" applyNumberFormat="1" applyFont="1" applyFill="1" applyBorder="1" applyAlignment="1">
          <x:alignment horizontal="center" vertical="center"/>
        </x:xf>
      </mc:Fallback>
    </mc:AlternateContent>
    <x:xf numFmtId="0" fontId="7" fillId="0" borderId="25" xfId="0" applyNumberFormat="1" applyFont="1" applyFill="1" applyBorder="1" applyAlignment="1" applyProtection="1">
      <x:alignment horizontal="general" vertical="center"/>
    </x:xf>
    <x:xf numFmtId="0" fontId="17" fillId="7" borderId="2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18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8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8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8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8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8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8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8" fillId="0" borderId="3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8" fillId="0" borderId="3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8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8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8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8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3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3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3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3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5" borderId="4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5" borderId="4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5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5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4" borderId="4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4" borderId="4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4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4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4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4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4" fillId="0" borderId="4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4" fillId="0" borderId="4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4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4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11" borderId="4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11" borderId="4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11" borderId="4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11" borderId="4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11" borderId="5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11" borderId="5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5" borderId="5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5" borderId="5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5" borderId="5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5" borderId="5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5" borderId="5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5" borderId="5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5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5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5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5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5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5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5" borderId="5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5" borderId="5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5" borderId="5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5" borderId="5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5" borderId="5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5" borderId="5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4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0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0" fillId="0" borderId="6" xfId="0" applyNumberFormat="1" applyFont="1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16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0000"/>
            <hs:size val="0"/>
            <hs:ratio val="0"/>
            <hs:spacing val="0"/>
            <hs:offset val="0"/>
          </x:font>
        </x:dxf>
      </mc:Choice>
      <mc:Fallback>
        <x:dxf>
          <x:font>
            <x:color rgb="ffff0000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size val="0"/>
            <hs:ratio val="0"/>
            <hs:spacing val="0"/>
            <hs:offset val="0"/>
          </x:font>
        </x:dxf>
      </mc:Choice>
      <mc:Fallback>
        <x:dxf>
          <x:font>
            <x:color rgb="ff9c0006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hs:size val="0"/>
            <hs:ratio val="0"/>
            <hs:spacing val="0"/>
            <hs:offset val="0"/>
          </x:font>
          <x:fill>
            <x:patternFill>
              <x:bgColor rgb="ffff0000"/>
            </x:patternFill>
          </x:fill>
        </x:dxf>
      </mc:Choice>
      <mc:Fallback>
        <x:dxf>
          <x:font>
            <x:color rgb="ffffffff"/>
          </x:font>
          <x:fill>
            <x:patternFill>
              <x:bgColor rgb="ffff0000"/>
            </x:patternFill>
          </x:fill>
        </x:dxf>
      </mc:Fallback>
    </mc:AlternateContent>
    <x:dxf>
      <x:fill>
        <x:patternFill>
          <x:bgColor rgb="ffffc000"/>
        </x:patternFill>
      </x:fill>
    </x:dxf>
    <x:dxf>
      <x:fill>
        <x:patternFill>
          <x:bgColor rgb="ff00b0f0"/>
        </x:patternFill>
      </x:fill>
    </x:dxf>
    <x:dxf>
      <x:fill>
        <x:patternFill>
          <x:bgColor rgb="ff00b050"/>
        </x:patternFill>
      </x:fill>
    </x:dxf>
    <x:dxf>
      <x:fill>
        <x:patternFill>
          <x:bgColor rgb="ffffff00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hs:size val="0"/>
            <hs:ratio val="0"/>
            <hs:spacing val="0"/>
            <hs:offset val="0"/>
          </x:font>
          <x:fill>
            <x:patternFill>
              <x:bgColor rgb="ff7030a0"/>
            </x:patternFill>
          </x:fill>
        </x:dxf>
      </mc:Choice>
      <mc:Fallback>
        <x:dxf>
          <x:font>
            <x:color rgb="ffffffff"/>
          </x:font>
          <x:fill>
            <x:patternFill>
              <x:bgColor rgb="ff7030a0"/>
            </x:patternFill>
          </x:fill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2.vml"  /><Relationship Id="rId2" Type="http://schemas.openxmlformats.org/officeDocument/2006/relationships/comments" Target="../comments2.xml" 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3.vml"  /><Relationship Id="rId2" Type="http://schemas.openxmlformats.org/officeDocument/2006/relationships/comments" Target="../comments3.xml"  /></Relationships>
</file>

<file path=xl/worksheets/_rels/sheet5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4.vml"  /><Relationship Id="rId2" Type="http://schemas.openxmlformats.org/officeDocument/2006/relationships/comments" Target="../comments4.xml"  /></Relationships>
</file>

<file path=xl/worksheets/_rels/sheet6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5.vml"  /><Relationship Id="rId2" Type="http://schemas.openxmlformats.org/officeDocument/2006/relationships/comments" Target="../comments5.xml"  /></Relationships>
</file>

<file path=xl/worksheets/_rels/sheet7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6.vml"  /><Relationship Id="rId2" Type="http://schemas.openxmlformats.org/officeDocument/2006/relationships/comments" Target="../comments6.xml"  /></Relationships>
</file>

<file path=xl/worksheets/_rels/sheet8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7.vml"  /><Relationship Id="rId2" Type="http://schemas.openxmlformats.org/officeDocument/2006/relationships/comments" Target="../comments7.xml"  /></Relationships>
</file>

<file path=xl/worksheets/_rels/sheet9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8.vml"  /><Relationship Id="rId2" Type="http://schemas.openxmlformats.org/officeDocument/2006/relationships/comments" Target="../comments8.xml"  /></Relationships>
</file>

<file path=xl/worksheets/_rels/sheet10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9.vml"  /><Relationship Id="rId2" Type="http://schemas.openxmlformats.org/officeDocument/2006/relationships/comments" Target="../comments9.xml"  /></Relationships>
</file>

<file path=xl/worksheets/_rels/sheet1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0.vml"  /><Relationship Id="rId2" Type="http://schemas.openxmlformats.org/officeDocument/2006/relationships/comments" Target="../comments1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1"/>
  <x:dimension ref="B3:G42"/>
  <x:sheetViews>
    <x:sheetView topLeftCell="A19" zoomScale="85" zoomScaleNormal="85" zoomScaleSheetLayoutView="85" workbookViewId="0">
      <x:selection activeCell="K42" activeCellId="0" sqref="K42:K42"/>
    </x:sheetView>
  </x:sheetViews>
  <x:sheetFormatPr defaultColWidth="9" defaultRowHeight="17.800000000000001"/>
  <x:cols>
    <x:col min="2" max="2" width="10" style="73" customWidth="1"/>
    <x:col min="3" max="4" width="20.625" style="73" customWidth="1"/>
    <x:col min="5" max="7" width="20.625" style="11" customWidth="1"/>
    <x:col min="11" max="11" width="9" style="2" bestFit="1" customWidth="1"/>
  </x:cols>
  <x:sheetData>
    <x:row r="3" spans="2:4" ht="29.149999999999999">
      <x:c r="B3" s="186" t="s">
        <x:v>33</x:v>
      </x:c>
      <x:c r="C3" s="186"/>
      <x:c r="D3" s="186"/>
    </x:row>
    <x:row r="4" spans="2:7" ht="20.100000000000001" customHeight="1">
      <x:c r="B4" s="75" t="s">
        <x:v>4</x:v>
      </x:c>
      <x:c r="C4" s="75" t="s">
        <x:v>1</x:v>
      </x:c>
      <x:c r="D4" s="75" t="s">
        <x:v>7</x:v>
      </x:c>
      <x:c r="E4" s="75" t="s">
        <x:v>5</x:v>
      </x:c>
      <x:c r="F4" s="75" t="s">
        <x:v>11</x:v>
      </x:c>
      <x:c r="G4" s="75" t="s">
        <x:v>3</x:v>
      </x:c>
    </x:row>
    <x:row r="5" spans="2:7" s="2" customFormat="1" ht="20.100000000000001" customHeight="1">
      <x:c r="B5" s="74">
        <x:v>1</x:v>
      </x:c>
      <x:c r="C5" s="96" t="s">
        <x:v>54</x:v>
      </x:c>
      <x:c r="D5" s="76">
        <x:v>200</x:v>
      </x:c>
      <x:c r="E5" s="76">
        <x:v>200</x:v>
      </x:c>
      <x:c r="F5" s="76"/>
      <x:c r="G5" s="76"/>
    </x:row>
    <x:row r="6" spans="2:7" ht="24.949999999999999" customHeight="1">
      <x:c r="B6" s="74">
        <x:v>2</x:v>
      </x:c>
      <x:c r="C6" s="96" t="s">
        <x:v>26</x:v>
      </x:c>
      <x:c r="D6" s="76">
        <x:v>200</x:v>
      </x:c>
      <x:c r="E6" s="76">
        <x:v>200</x:v>
      </x:c>
      <x:c r="F6" s="76"/>
      <x:c r="G6" s="76"/>
    </x:row>
    <x:row r="7" spans="2:7" ht="24.949999999999999" customHeight="1">
      <x:c r="B7" s="74">
        <x:v>3</x:v>
      </x:c>
      <x:c r="C7" s="96" t="s">
        <x:v>15</x:v>
      </x:c>
      <x:c r="D7" s="76">
        <x:v>193</x:v>
      </x:c>
      <x:c r="E7" s="76">
        <x:v>200</x:v>
      </x:c>
      <x:c r="F7" s="76"/>
      <x:c r="G7" s="76"/>
    </x:row>
    <x:row r="8" spans="2:7" ht="24.949999999999999" customHeight="1">
      <x:c r="B8" s="74">
        <x:v>4</x:v>
      </x:c>
      <x:c r="C8" s="96" t="s">
        <x:v>46</x:v>
      </x:c>
      <x:c r="D8" s="76">
        <x:v>200</x:v>
      </x:c>
      <x:c r="E8" s="76">
        <x:v>200</x:v>
      </x:c>
      <x:c r="F8" s="76"/>
      <x:c r="G8" s="76"/>
    </x:row>
    <x:row r="9" spans="2:7" ht="24.949999999999999" customHeight="1">
      <x:c r="B9" s="74">
        <x:v>5</x:v>
      </x:c>
      <x:c r="C9" s="96" t="s">
        <x:v>49</x:v>
      </x:c>
      <x:c r="D9" s="76">
        <x:v>196</x:v>
      </x:c>
      <x:c r="E9" s="76">
        <x:v>200</x:v>
      </x:c>
      <x:c r="F9" s="76"/>
      <x:c r="G9" s="76"/>
    </x:row>
    <x:row r="10" spans="2:7" ht="24.949999999999999" customHeight="1">
      <x:c r="B10" s="74">
        <x:v>6</x:v>
      </x:c>
      <x:c r="C10" s="96" t="s">
        <x:v>60</x:v>
      </x:c>
      <x:c r="D10" s="76">
        <x:v>195</x:v>
      </x:c>
      <x:c r="E10" s="76">
        <x:v>200</x:v>
      </x:c>
      <x:c r="F10" s="76"/>
      <x:c r="G10" s="76"/>
    </x:row>
    <x:row r="11" spans="2:7" s="8" customFormat="1" ht="24.949999999999999" customHeight="1">
      <x:c r="B11" s="74">
        <x:v>7</x:v>
      </x:c>
      <x:c r="C11" s="96" t="s">
        <x:v>47</x:v>
      </x:c>
      <x:c r="D11" s="76">
        <x:v>200</x:v>
      </x:c>
      <x:c r="E11" s="76">
        <x:v>200</x:v>
      </x:c>
      <x:c r="F11" s="76"/>
      <x:c r="G11" s="76"/>
    </x:row>
    <x:row r="12" spans="2:7" s="8" customFormat="1" ht="24.949999999999999" customHeight="1">
      <x:c r="B12" s="74">
        <x:v>8</x:v>
      </x:c>
      <x:c r="C12" s="96" t="s">
        <x:v>36</x:v>
      </x:c>
      <x:c r="D12" s="76">
        <x:v>200</x:v>
      </x:c>
      <x:c r="E12" s="76">
        <x:v>200</x:v>
      </x:c>
      <x:c r="F12" s="76"/>
      <x:c r="G12" s="76"/>
    </x:row>
    <x:row r="13" spans="2:7" s="8" customFormat="1" ht="24.949999999999999" customHeight="1">
      <x:c r="B13" s="74">
        <x:v>9</x:v>
      </x:c>
      <x:c r="C13" s="96" t="s">
        <x:v>21</x:v>
      </x:c>
      <x:c r="D13" s="76">
        <x:v>194</x:v>
      </x:c>
      <x:c r="E13" s="76">
        <x:v>200</x:v>
      </x:c>
      <x:c r="F13" s="76"/>
      <x:c r="G13" s="76"/>
    </x:row>
    <x:row r="14" spans="2:7" ht="24.949999999999999" customHeight="1">
      <x:c r="B14" s="74">
        <x:v>10</x:v>
      </x:c>
      <x:c r="C14" s="96" t="s">
        <x:v>23</x:v>
      </x:c>
      <x:c r="D14" s="76">
        <x:v>187</x:v>
      </x:c>
      <x:c r="E14" s="76">
        <x:v>200</x:v>
      </x:c>
      <x:c r="F14" s="76"/>
      <x:c r="G14" s="76"/>
    </x:row>
    <x:row r="15" spans="2:7" s="10" customFormat="1" ht="24.949999999999999" customHeight="1">
      <x:c r="B15" s="74">
        <x:v>11</x:v>
      </x:c>
      <x:c r="C15" s="96" t="s">
        <x:v>58</x:v>
      </x:c>
      <x:c r="D15" s="76">
        <x:v>200</x:v>
      </x:c>
      <x:c r="E15" s="76">
        <x:v>200</x:v>
      </x:c>
      <x:c r="F15" s="76"/>
      <x:c r="G15" s="76"/>
    </x:row>
    <x:row r="16" spans="2:7" s="8" customFormat="1" ht="24.949999999999999" customHeight="1">
      <x:c r="B16" s="74">
        <x:v>12</x:v>
      </x:c>
      <x:c r="C16" s="96" t="s">
        <x:v>37</x:v>
      </x:c>
      <x:c r="D16" s="76">
        <x:v>200</x:v>
      </x:c>
      <x:c r="E16" s="76">
        <x:v>200</x:v>
      </x:c>
      <x:c r="F16" s="76"/>
      <x:c r="G16" s="76"/>
    </x:row>
    <x:row r="17" spans="2:7" ht="24.949999999999999" customHeight="1">
      <x:c r="B17" s="74">
        <x:v>13</x:v>
      </x:c>
      <x:c r="C17" s="96" t="s">
        <x:v>20</x:v>
      </x:c>
      <x:c r="D17" s="76">
        <x:v>196</x:v>
      </x:c>
      <x:c r="E17" s="76">
        <x:v>200</x:v>
      </x:c>
      <x:c r="F17" s="76"/>
      <x:c r="G17" s="76"/>
    </x:row>
    <x:row r="18" spans="2:7" ht="24.949999999999999" customHeight="1">
      <x:c r="B18" s="74">
        <x:v>14</x:v>
      </x:c>
      <x:c r="C18" s="96" t="s">
        <x:v>32</x:v>
      </x:c>
      <x:c r="D18" s="76">
        <x:v>198</x:v>
      </x:c>
      <x:c r="E18" s="76">
        <x:v>199</x:v>
      </x:c>
      <x:c r="F18" s="76"/>
      <x:c r="G18" s="76"/>
    </x:row>
    <x:row r="19" spans="2:7" ht="24.949999999999999" customHeight="1">
      <x:c r="B19" s="74">
        <x:v>15</x:v>
      </x:c>
      <x:c r="C19" s="96" t="s">
        <x:v>39</x:v>
      </x:c>
      <x:c r="D19" s="76">
        <x:v>200</x:v>
      </x:c>
      <x:c r="E19" s="76">
        <x:v>199</x:v>
      </x:c>
      <x:c r="F19" s="76"/>
      <x:c r="G19" s="76"/>
    </x:row>
    <x:row r="20" spans="2:7" ht="24.949999999999999" customHeight="1">
      <x:c r="B20" s="74">
        <x:v>16</x:v>
      </x:c>
      <x:c r="C20" s="96" t="s">
        <x:v>22</x:v>
      </x:c>
      <x:c r="D20" s="76">
        <x:v>194</x:v>
      </x:c>
      <x:c r="E20" s="76">
        <x:v>198</x:v>
      </x:c>
      <x:c r="F20" s="76"/>
      <x:c r="G20" s="76"/>
    </x:row>
    <x:row r="21" spans="2:7" ht="24.949999999999999" customHeight="1">
      <x:c r="B21" s="74">
        <x:v>17</x:v>
      </x:c>
      <x:c r="C21" s="96" t="s">
        <x:v>50</x:v>
      </x:c>
      <x:c r="D21" s="76">
        <x:v>195</x:v>
      </x:c>
      <x:c r="E21" s="76">
        <x:v>196</x:v>
      </x:c>
      <x:c r="F21" s="76"/>
      <x:c r="G21" s="76"/>
    </x:row>
    <x:row r="22" spans="2:7" ht="24.949999999999999" customHeight="1">
      <x:c r="B22" s="74">
        <x:v>18</x:v>
      </x:c>
      <x:c r="C22" s="96" t="s">
        <x:v>25</x:v>
      </x:c>
      <x:c r="D22" s="76">
        <x:v>190</x:v>
      </x:c>
      <x:c r="E22" s="76">
        <x:v>196</x:v>
      </x:c>
      <x:c r="F22" s="76"/>
      <x:c r="G22" s="76"/>
    </x:row>
    <x:row r="23" spans="2:7" s="3" customFormat="1" ht="24.949999999999999" customHeight="1">
      <x:c r="B23" s="74">
        <x:v>19</x:v>
      </x:c>
      <x:c r="C23" s="96" t="s">
        <x:v>18</x:v>
      </x:c>
      <x:c r="D23" s="76">
        <x:v>192</x:v>
      </x:c>
      <x:c r="E23" s="76">
        <x:v>195</x:v>
      </x:c>
      <x:c r="F23" s="76"/>
      <x:c r="G23" s="76"/>
    </x:row>
    <x:row r="24" spans="2:7" ht="24.949999999999999" customHeight="1">
      <x:c r="B24" s="74">
        <x:v>20</x:v>
      </x:c>
      <x:c r="C24" s="96" t="s">
        <x:v>43</x:v>
      </x:c>
      <x:c r="D24" s="76">
        <x:v>188</x:v>
      </x:c>
      <x:c r="E24" s="76">
        <x:v>195</x:v>
      </x:c>
      <x:c r="F24" s="76"/>
      <x:c r="G24" s="76"/>
    </x:row>
    <x:row r="25" spans="2:7" s="3" customFormat="1" ht="24.949999999999999" customHeight="1">
      <x:c r="B25" s="74">
        <x:v>21</x:v>
      </x:c>
      <x:c r="C25" s="96" t="s">
        <x:v>17</x:v>
      </x:c>
      <x:c r="D25" s="76">
        <x:v>184</x:v>
      </x:c>
      <x:c r="E25" s="76">
        <x:v>194</x:v>
      </x:c>
      <x:c r="F25" s="76"/>
      <x:c r="G25" s="76"/>
    </x:row>
    <x:row r="26" spans="2:7" s="3" customFormat="1" ht="24.949999999999999" customHeight="1">
      <x:c r="B26" s="74">
        <x:v>22</x:v>
      </x:c>
      <x:c r="C26" s="96" t="s">
        <x:v>48</x:v>
      </x:c>
      <x:c r="D26" s="76">
        <x:v>191</x:v>
      </x:c>
      <x:c r="E26" s="76">
        <x:v>191</x:v>
      </x:c>
      <x:c r="F26" s="76"/>
      <x:c r="G26" s="76"/>
    </x:row>
    <x:row r="27" spans="2:7" ht="24.949999999999999" customHeight="1">
      <x:c r="B27" s="74">
        <x:v>23</x:v>
      </x:c>
      <x:c r="C27" s="96" t="s">
        <x:v>38</x:v>
      </x:c>
      <x:c r="D27" s="76">
        <x:v>190</x:v>
      </x:c>
      <x:c r="E27" s="76">
        <x:v>191</x:v>
      </x:c>
      <x:c r="F27" s="76"/>
      <x:c r="G27" s="76"/>
    </x:row>
    <x:row r="28" spans="2:7" ht="24.949999999999999" customHeight="1">
      <x:c r="B28" s="74">
        <x:v>24</x:v>
      </x:c>
      <x:c r="C28" s="96" t="s">
        <x:v>56</x:v>
      </x:c>
      <x:c r="D28" s="76">
        <x:v>198</x:v>
      </x:c>
      <x:c r="E28" s="76">
        <x:v>190</x:v>
      </x:c>
      <x:c r="F28" s="76"/>
      <x:c r="G28" s="76"/>
    </x:row>
    <x:row r="29" spans="2:7" ht="24.949999999999999" customHeight="1">
      <x:c r="B29" s="74">
        <x:v>25</x:v>
      </x:c>
      <x:c r="C29" s="96" t="s">
        <x:v>76</x:v>
      </x:c>
      <x:c r="D29" s="76">
        <x:v>200</x:v>
      </x:c>
      <x:c r="E29" s="76">
        <x:v>186</x:v>
      </x:c>
      <x:c r="F29" s="76"/>
      <x:c r="G29" s="76"/>
    </x:row>
    <x:row r="30" spans="2:7" s="3" customFormat="1" ht="24.949999999999999" customHeight="1">
      <x:c r="B30" s="74">
        <x:v>26</x:v>
      </x:c>
      <x:c r="C30" s="96" t="s">
        <x:v>42</x:v>
      </x:c>
      <x:c r="D30" s="76">
        <x:v>184</x:v>
      </x:c>
      <x:c r="E30" s="76">
        <x:v>184</x:v>
      </x:c>
      <x:c r="F30" s="76"/>
      <x:c r="G30" s="76"/>
    </x:row>
    <x:row r="31" spans="2:7" ht="24.949999999999999" customHeight="1">
      <x:c r="B31" s="74">
        <x:v>27</x:v>
      </x:c>
      <x:c r="C31" s="96" t="s">
        <x:v>45</x:v>
      </x:c>
      <x:c r="D31" s="76">
        <x:v>182</x:v>
      </x:c>
      <x:c r="E31" s="76">
        <x:v>183</x:v>
      </x:c>
      <x:c r="F31" s="76"/>
      <x:c r="G31" s="76"/>
    </x:row>
    <x:row r="32" spans="2:7" ht="24.949999999999999" customHeight="1">
      <x:c r="B32" s="74">
        <x:v>28</x:v>
      </x:c>
      <x:c r="C32" s="96" t="s">
        <x:v>24</x:v>
      </x:c>
      <x:c r="D32" s="76">
        <x:v>182</x:v>
      </x:c>
      <x:c r="E32" s="76">
        <x:v>182</x:v>
      </x:c>
      <x:c r="F32" s="76"/>
      <x:c r="G32" s="76"/>
    </x:row>
    <x:row r="33" spans="2:7" s="3" customFormat="1" ht="24.949999999999999" customHeight="1">
      <x:c r="B33" s="74">
        <x:v>29</x:v>
      </x:c>
      <x:c r="C33" s="96" t="s">
        <x:v>27</x:v>
      </x:c>
      <x:c r="D33" s="76">
        <x:v>171</x:v>
      </x:c>
      <x:c r="E33" s="76">
        <x:v>179</x:v>
      </x:c>
      <x:c r="F33" s="76"/>
      <x:c r="G33" s="76"/>
    </x:row>
    <x:row r="34" spans="2:7" s="3" customFormat="1" ht="24.949999999999999" customHeight="1">
      <x:c r="B34" s="74">
        <x:v>30</x:v>
      </x:c>
      <x:c r="C34" s="96" t="s">
        <x:v>16</x:v>
      </x:c>
      <x:c r="D34" s="76">
        <x:v>184</x:v>
      </x:c>
      <x:c r="E34" s="76">
        <x:v>178</x:v>
      </x:c>
      <x:c r="F34" s="76"/>
      <x:c r="G34" s="76"/>
    </x:row>
    <x:row r="35" spans="2:7" ht="24.949999999999999" customHeight="1">
      <x:c r="B35" s="74">
        <x:v>31</x:v>
      </x:c>
      <x:c r="C35" s="96" t="s">
        <x:v>34</x:v>
      </x:c>
      <x:c r="D35" s="76">
        <x:v>183</x:v>
      </x:c>
      <x:c r="E35" s="76">
        <x:v>177</x:v>
      </x:c>
      <x:c r="F35" s="76"/>
      <x:c r="G35" s="76"/>
    </x:row>
    <x:row r="36" spans="2:7" ht="24.949999999999999" customHeight="1">
      <x:c r="B36" s="74">
        <x:v>32</x:v>
      </x:c>
      <x:c r="C36" s="96" t="s">
        <x:v>40</x:v>
      </x:c>
      <x:c r="D36" s="76">
        <x:v>166</x:v>
      </x:c>
      <x:c r="E36" s="76">
        <x:v>166</x:v>
      </x:c>
      <x:c r="F36" s="76"/>
      <x:c r="G36" s="76"/>
    </x:row>
    <x:row r="37" spans="2:7" ht="24.949999999999999" customHeight="1">
      <x:c r="B37" s="74">
        <x:v>33</x:v>
      </x:c>
      <x:c r="C37" s="96" t="s">
        <x:v>35</x:v>
      </x:c>
      <x:c r="D37" s="76">
        <x:v>165</x:v>
      </x:c>
      <x:c r="E37" s="76">
        <x:v>165</x:v>
      </x:c>
      <x:c r="F37" s="76"/>
      <x:c r="G37" s="76"/>
    </x:row>
    <x:row r="38" spans="2:7" ht="24.949999999999999" customHeight="1">
      <x:c r="B38" s="74">
        <x:v>34</x:v>
      </x:c>
      <x:c r="C38" s="96" t="s">
        <x:v>41</x:v>
      </x:c>
      <x:c r="D38" s="76">
        <x:v>161</x:v>
      </x:c>
      <x:c r="E38" s="76">
        <x:v>162</x:v>
      </x:c>
      <x:c r="F38" s="76"/>
      <x:c r="G38" s="76"/>
    </x:row>
    <x:row r="39" spans="2:7" ht="24.949999999999999" customHeight="1">
      <x:c r="B39" s="74">
        <x:v>35</x:v>
      </x:c>
      <x:c r="C39" s="96" t="s">
        <x:v>31</x:v>
      </x:c>
      <x:c r="D39" s="76">
        <x:v>151</x:v>
      </x:c>
      <x:c r="E39" s="76">
        <x:v>144</x:v>
      </x:c>
      <x:c r="F39" s="76"/>
      <x:c r="G39" s="76"/>
    </x:row>
    <x:row r="40" spans="2:7" ht="24.949999999999999" customHeight="1">
      <x:c r="B40" s="74">
        <x:v>36</x:v>
      </x:c>
      <x:c r="C40" s="96" t="s">
        <x:v>52</x:v>
      </x:c>
      <x:c r="D40" s="76"/>
      <x:c r="E40" s="76"/>
      <x:c r="F40" s="76"/>
      <x:c r="G40" s="76"/>
    </x:row>
    <x:row r="41" spans="2:7" ht="24.949999999999999" customHeight="1">
      <x:c r="B41" s="74">
        <x:v>37</x:v>
      </x:c>
      <x:c r="C41" s="74"/>
      <x:c r="D41" s="76"/>
      <x:c r="E41" s="76"/>
      <x:c r="F41" s="76"/>
      <x:c r="G41" s="76"/>
    </x:row>
    <x:row r="42" spans="2:7" ht="24.949999999999999" customHeight="1">
      <x:c r="B42" s="74">
        <x:v>38</x:v>
      </x:c>
      <x:c r="C42" s="74"/>
      <x:c r="D42" s="76"/>
      <x:c r="E42" s="76"/>
      <x:c r="F42" s="76"/>
      <x:c r="G42" s="76"/>
    </x:row>
  </x:sheetData>
  <x:mergeCells count="1">
    <x:mergeCell ref="B3:D3"/>
  </x:mergeCells>
  <x:conditionalFormatting sqref="D5:G42">
    <x:cfRule type="cellIs" dxfId="161" priority="6" operator="lessThan">
      <x:formula>160</x:formula>
    </x:cfRule>
    <x:cfRule type="cellIs" dxfId="160" priority="5" operator="between">
      <x:formula>160</x:formula>
      <x:formula>169</x:formula>
    </x:cfRule>
    <x:cfRule type="cellIs" dxfId="159" priority="4" operator="between">
      <x:formula>170</x:formula>
      <x:formula>179</x:formula>
    </x:cfRule>
    <x:cfRule type="cellIs" dxfId="158" priority="3" operator="between">
      <x:formula>180</x:formula>
      <x:formula>189</x:formula>
    </x:cfRule>
    <x:cfRule type="cellIs" dxfId="157" priority="2" operator="between">
      <x:formula>190</x:formula>
      <x:formula>199</x:formula>
    </x:cfRule>
    <x:cfRule type="cellIs" dxfId="156" priority="1" operator="greaterThanOrEqual">
      <x:formula>200</x:formula>
    </x:cfRule>
  </x:conditionalFormatting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2"/>
  <x:dimension ref="A1:V131"/>
  <x:sheetViews>
    <x:sheetView tabSelected="1" topLeftCell="H1" zoomScale="90" zoomScaleNormal="90" zoomScaleSheetLayoutView="50" workbookViewId="0">
      <x:selection activeCell="E45" activeCellId="0" sqref="E45:E45"/>
    </x:sheetView>
  </x:sheetViews>
  <x:sheetFormatPr defaultColWidth="9" defaultRowHeight="16.399999999999999"/>
  <x:cols>
    <x:col min="1" max="1" width="4.625" style="11" customWidth="1"/>
    <x:col min="2" max="2" width="10.625" style="11" customWidth="1"/>
    <x:col min="3" max="11" width="9.625" style="11" customWidth="1"/>
    <x:col min="12" max="12" width="9" style="11" customWidth="1"/>
    <x:col min="13" max="13" width="9" style="11" bestFit="1" customWidth="1"/>
    <x:col min="14" max="14" width="9.875" style="11" bestFit="1" customWidth="1"/>
    <x:col min="15" max="15" width="8" style="11" customWidth="1"/>
    <x:col min="17" max="17" width="8.75" style="11" customWidth="1"/>
    <x:col min="19" max="19" width="14.75" style="11" customWidth="1"/>
    <x:col min="21" max="21" width="17.25" style="11" bestFit="1" customWidth="1"/>
  </x:cols>
  <x:sheetData>
    <x:row r="1" spans="1:13" ht="60" customHeight="1">
      <x:c r="A1" s="185" t="s">
        <x:v>69</x:v>
      </x:c>
      <x:c r="B1" s="185"/>
      <x:c r="C1" s="185"/>
      <x:c r="D1" s="185"/>
      <x:c r="E1" s="185"/>
      <x:c r="F1" s="185"/>
      <x:c r="G1" s="185"/>
      <x:c r="H1" s="185"/>
      <x:c r="I1" s="185"/>
      <x:c r="J1" s="185"/>
      <x:c r="K1" s="185"/>
      <x:c r="L1" s="185"/>
      <x:c r="M1" s="185"/>
    </x:row>
    <x:row r="2" spans="1:22" ht="22.5" customHeight="1">
      <x:c r="A2" s="77"/>
      <x:c r="B2" s="77"/>
      <x:c r="C2" s="77"/>
      <x:c r="D2" s="77"/>
      <x:c r="E2" s="77"/>
      <x:c r="F2" s="77"/>
      <x:c r="G2" s="77"/>
      <x:c r="H2" s="77"/>
      <x:c r="I2" s="77"/>
      <x:c r="J2" s="77"/>
      <x:c r="K2" s="78" t="s">
        <x:v>8</x:v>
      </x:c>
      <x:c r="L2" s="166">
        <x:v>46113</x:v>
      </x:c>
      <x:c r="M2" s="167"/>
      <x:c r="S2" s="89" t="s">
        <x:v>44</x:v>
      </x:c>
      <x:c r="T2" s="90">
        <x:v>0</x:v>
      </x:c>
      <x:c r="U2" s="89" t="s">
        <x:v>61</x:v>
      </x:c>
      <x:c r="V2" s="90">
        <x:v>0</x:v>
      </x:c>
    </x:row>
    <x:row r="3" spans="1:22" ht="24.949999999999999" customHeight="1">
      <x:c r="A3" s="20"/>
      <x:c r="B3" s="14" t="s">
        <x:v>53</x:v>
      </x:c>
      <x:c r="C3" s="14" t="s">
        <x:v>2</x:v>
      </x:c>
      <x:c r="D3" s="14" t="s">
        <x:v>0</x:v>
      </x:c>
      <x:c r="E3" s="14" t="s">
        <x:v>10</x:v>
      </x:c>
      <x:c r="F3" s="14" t="s">
        <x:v>9</x:v>
      </x:c>
      <x:c r="G3" s="14" t="s">
        <x:v>6</x:v>
      </x:c>
      <x:c r="H3" s="16" t="s">
        <x:v>57</x:v>
      </x:c>
      <x:c r="I3" s="14" t="s">
        <x:v>2</x:v>
      </x:c>
      <x:c r="J3" s="14" t="s">
        <x:v>0</x:v>
      </x:c>
      <x:c r="K3" s="14" t="s">
        <x:v>10</x:v>
      </x:c>
      <x:c r="L3" s="15" t="s">
        <x:v>9</x:v>
      </x:c>
      <x:c r="M3" s="22" t="s">
        <x:v>13</x:v>
      </x:c>
      <x:c r="S3" s="92" t="s">
        <x:v>65</x:v>
      </x:c>
      <x:c r="T3" s="93"/>
      <x:c r="U3" s="93"/>
      <x:c r="V3" s="93"/>
    </x:row>
    <x:row r="4" spans="1:22" ht="24.949999999999999" customHeight="1">
      <x:c r="A4" s="12">
        <x:v>1</x:v>
      </x:c>
      <x:c r="B4" s="13"/>
      <x:c r="C4" s="62"/>
      <x:c r="D4" s="62"/>
      <x:c r="E4" s="62"/>
      <x:c r="F4" s="44">
        <x:f>SUM(C4:E4)</x:f>
        <x:v>0</x:v>
      </x:c>
      <x:c r="G4" s="45">
        <x:f>F4/3</x:f>
        <x:v>0</x:v>
      </x:c>
      <x:c r="H4" s="34" t="str">
        <x:f t="array" ref="H4:H4">IF(B4="","",IFERROR(INDEX('회원명단 및 기준에버'!D:G,MATCH(B4,'회원명단 및 기준에버'!$C:$C,0),CHOOSE(INT((MONTH($L$2)-1)/3)+1,1,2,3,4)),""))</x:f>
        <x:v/>
      </x:c>
      <x:c r="I4" s="38">
        <x:f>IFERROR(C4+-H4,0)</x:f>
        <x:v>0</x:v>
      </x:c>
      <x:c r="J4" s="38">
        <x:f>IFERROR(D4+-H4,0)</x:f>
        <x:v>0</x:v>
      </x:c>
      <x:c r="K4" s="38">
        <x:f>IFERROR(E4+-H4,0)</x:f>
        <x:v>0</x:v>
      </x:c>
      <x:c r="L4" s="63">
        <x:f>SUM(I4:K4)</x:f>
        <x:v>0</x:v>
      </x:c>
      <x:c r="M4" s="39">
        <x:f>IFERROR(G4+-H4,0)</x:f>
        <x:v>0</x:v>
      </x:c>
      <x:c r="N4" s="19"/>
      <x:c r="S4" s="104">
        <x:f t="shared" ref="S4:S33" si="0">MAX(C4:E4)-MIN(C4:E4)</x:f>
        <x:v>0</x:v>
      </x:c>
      <x:c r="T4" s="99">
        <x:f>IF($B4="",-999999999+A4,IF($V$2=0,(F4*10000+S4*1000+A4),(M4*10000+S4*10+A4)))</x:f>
        <x:v>-999999998</x:v>
      </x:c>
      <x:c r="U4" s="105">
        <x:f t="shared" ref="U4:U33" si="1">_xlfn.RANK.EQ(T4,$T$4:$T$33,0)</x:f>
        <x:v>30</x:v>
      </x:c>
      <x:c r="V4" s="106"/>
    </x:row>
    <x:row r="5" spans="1:22" ht="24.949999999999999" customHeight="1">
      <x:c r="A5" s="12">
        <x:v>2</x:v>
      </x:c>
      <x:c r="B5" s="13"/>
      <x:c r="C5" s="62"/>
      <x:c r="D5" s="62"/>
      <x:c r="E5" s="62"/>
      <x:c r="F5" s="44">
        <x:f>SUM(C5:E5)</x:f>
        <x:v>0</x:v>
      </x:c>
      <x:c r="G5" s="45">
        <x:f>F5/3</x:f>
        <x:v>0</x:v>
      </x:c>
      <x:c r="H5" s="34" t="str">
        <x:f t="array" ref="H5:H5">IF(B5="","",IFERROR(INDEX('회원명단 및 기준에버'!D:G,MATCH(B5,'회원명단 및 기준에버'!$C:$C,0),CHOOSE(INT((MONTH($L$2)-1)/3)+1,1,2,3,4)),""))</x:f>
        <x:v/>
      </x:c>
      <x:c r="I5" s="38">
        <x:f>IFERROR(C5+-H5,0)</x:f>
        <x:v>0</x:v>
      </x:c>
      <x:c r="J5" s="38">
        <x:f>IFERROR(D5+-H5,0)</x:f>
        <x:v>0</x:v>
      </x:c>
      <x:c r="K5" s="38">
        <x:f>IFERROR(E5+-H5,0)</x:f>
        <x:v>0</x:v>
      </x:c>
      <x:c r="L5" s="63">
        <x:f>SUM(I5:K5)</x:f>
        <x:v>0</x:v>
      </x:c>
      <x:c r="M5" s="39">
        <x:f>IFERROR(G5+-H5,0)</x:f>
        <x:v>0</x:v>
      </x:c>
      <x:c r="N5" s="19"/>
      <x:c r="S5" s="107">
        <x:f t="shared" si="0"/>
        <x:v>0</x:v>
      </x:c>
      <x:c r="T5" s="97">
        <x:f t="shared" ref="T5:T33" si="2">IF($B5="",-999999999+A5,IF($V$2=0,(F5*10000+S5*1000+A5),(M5*10000+S5*10+A5)))</x:f>
        <x:v>-999999997</x:v>
      </x:c>
      <x:c r="U5" s="91">
        <x:f t="shared" si="1"/>
        <x:v>29</x:v>
      </x:c>
      <x:c r="V5" s="108"/>
    </x:row>
    <x:row r="6" spans="1:22" ht="24.949999999999999" customHeight="1">
      <x:c r="A6" s="12">
        <x:v>3</x:v>
      </x:c>
      <x:c r="B6" s="13"/>
      <x:c r="C6" s="62"/>
      <x:c r="D6" s="62"/>
      <x:c r="E6" s="62"/>
      <x:c r="F6" s="44">
        <x:f>SUM(C6:E6)</x:f>
        <x:v>0</x:v>
      </x:c>
      <x:c r="G6" s="45">
        <x:f>F6/3</x:f>
        <x:v>0</x:v>
      </x:c>
      <x:c r="H6" s="34" t="str">
        <x:f t="array" ref="H6:H6">IF(B6="","",IFERROR(INDEX('회원명단 및 기준에버'!D:G,MATCH(B6,'회원명단 및 기준에버'!$C:$C,0),CHOOSE(INT((MONTH($L$2)-1)/3)+1,1,2,3,4)),""))</x:f>
        <x:v/>
      </x:c>
      <x:c r="I6" s="38">
        <x:f t="shared" ref="I6:I33" si="3">IFERROR(C6+-H6,0)</x:f>
        <x:v>0</x:v>
      </x:c>
      <x:c r="J6" s="38">
        <x:f t="shared" ref="J6:J33" si="4">IFERROR(D6+-H6,0)</x:f>
        <x:v>0</x:v>
      </x:c>
      <x:c r="K6" s="38">
        <x:f t="shared" ref="K6:K33" si="5">IFERROR(E6+-H6,0)</x:f>
        <x:v>0</x:v>
      </x:c>
      <x:c r="L6" s="63">
        <x:f t="shared" ref="L6:L33" si="6">SUM(I6:K6)</x:f>
        <x:v>0</x:v>
      </x:c>
      <x:c r="M6" s="39">
        <x:f t="shared" ref="M6:M33" si="7">IFERROR(G6+-H6,0)</x:f>
        <x:v>0</x:v>
      </x:c>
      <x:c r="S6" s="107">
        <x:f t="shared" si="0"/>
        <x:v>0</x:v>
      </x:c>
      <x:c r="T6" s="97">
        <x:f t="shared" si="2"/>
        <x:v>-999999996</x:v>
      </x:c>
      <x:c r="U6" s="91">
        <x:f t="shared" si="1"/>
        <x:v>28</x:v>
      </x:c>
      <x:c r="V6" s="108"/>
    </x:row>
    <x:row r="7" spans="1:22" ht="24.949999999999999" customHeight="1">
      <x:c r="A7" s="12">
        <x:v>4</x:v>
      </x:c>
      <x:c r="B7" s="13"/>
      <x:c r="C7" s="62"/>
      <x:c r="D7" s="62"/>
      <x:c r="E7" s="62"/>
      <x:c r="F7" s="44">
        <x:f>SUM(C7:E7)</x:f>
        <x:v>0</x:v>
      </x:c>
      <x:c r="G7" s="45">
        <x:f>F7/3</x:f>
        <x:v>0</x:v>
      </x:c>
      <x:c r="H7" s="34" t="str">
        <x:f t="array" ref="H7:H7">IF(B7="","",IFERROR(INDEX('회원명단 및 기준에버'!D:G,MATCH(B7,'회원명단 및 기준에버'!$C:$C,0),CHOOSE(INT((MONTH($L$2)-1)/3)+1,1,2,3,4)),""))</x:f>
        <x:v/>
      </x:c>
      <x:c r="I7" s="38">
        <x:f t="shared" si="3"/>
        <x:v>0</x:v>
      </x:c>
      <x:c r="J7" s="38">
        <x:f t="shared" si="4"/>
        <x:v>0</x:v>
      </x:c>
      <x:c r="K7" s="38">
        <x:f t="shared" si="5"/>
        <x:v>0</x:v>
      </x:c>
      <x:c r="L7" s="63">
        <x:f t="shared" si="6"/>
        <x:v>0</x:v>
      </x:c>
      <x:c r="M7" s="39">
        <x:f t="shared" si="7"/>
        <x:v>0</x:v>
      </x:c>
      <x:c r="S7" s="107">
        <x:f t="shared" si="0"/>
        <x:v>0</x:v>
      </x:c>
      <x:c r="T7" s="97">
        <x:f t="shared" si="2"/>
        <x:v>-999999995</x:v>
      </x:c>
      <x:c r="U7" s="91">
        <x:f t="shared" si="1"/>
        <x:v>27</x:v>
      </x:c>
      <x:c r="V7" s="108"/>
    </x:row>
    <x:row r="8" spans="1:22" ht="24.949999999999999" customHeight="1">
      <x:c r="A8" s="12">
        <x:v>5</x:v>
      </x:c>
      <x:c r="B8" s="13"/>
      <x:c r="C8" s="62"/>
      <x:c r="D8" s="62"/>
      <x:c r="E8" s="62"/>
      <x:c r="F8" s="44">
        <x:f t="shared" ref="F8:F33" si="8">SUM(C8:E8)</x:f>
        <x:v>0</x:v>
      </x:c>
      <x:c r="G8" s="45">
        <x:f t="shared" ref="G8:G33" si="9">F8/3</x:f>
        <x:v>0</x:v>
      </x:c>
      <x:c r="H8" s="34" t="str">
        <x:f t="array" ref="H8:H8">IF(B8="","",IFERROR(INDEX('회원명단 및 기준에버'!D:G,MATCH(B8,'회원명단 및 기준에버'!$C:$C,0),CHOOSE(INT((MONTH($L$2)-1)/3)+1,1,2,3,4)),""))</x:f>
        <x:v/>
      </x:c>
      <x:c r="I8" s="38">
        <x:f t="shared" si="3"/>
        <x:v>0</x:v>
      </x:c>
      <x:c r="J8" s="38">
        <x:f t="shared" si="4"/>
        <x:v>0</x:v>
      </x:c>
      <x:c r="K8" s="38">
        <x:f t="shared" si="5"/>
        <x:v>0</x:v>
      </x:c>
      <x:c r="L8" s="63">
        <x:f t="shared" si="6"/>
        <x:v>0</x:v>
      </x:c>
      <x:c r="M8" s="39">
        <x:f t="shared" si="7"/>
        <x:v>0</x:v>
      </x:c>
      <x:c r="S8" s="107">
        <x:f t="shared" si="0"/>
        <x:v>0</x:v>
      </x:c>
      <x:c r="T8" s="97">
        <x:f t="shared" si="2"/>
        <x:v>-999999994</x:v>
      </x:c>
      <x:c r="U8" s="91">
        <x:f t="shared" si="1"/>
        <x:v>26</x:v>
      </x:c>
      <x:c r="V8" s="108"/>
    </x:row>
    <x:row r="9" spans="1:22" ht="24.949999999999999" customHeight="1">
      <x:c r="A9" s="12">
        <x:v>6</x:v>
      </x:c>
      <x:c r="B9" s="13"/>
      <x:c r="C9" s="62"/>
      <x:c r="D9" s="62"/>
      <x:c r="E9" s="62"/>
      <x:c r="F9" s="44">
        <x:f t="shared" si="8"/>
        <x:v>0</x:v>
      </x:c>
      <x:c r="G9" s="45">
        <x:f t="shared" si="9"/>
        <x:v>0</x:v>
      </x:c>
      <x:c r="H9" s="34" t="str">
        <x:f t="array" ref="H9:H9">IF(B9="","",IFERROR(INDEX('회원명단 및 기준에버'!D:G,MATCH(B9,'회원명단 및 기준에버'!$C:$C,0),CHOOSE(INT((MONTH($L$2)-1)/3)+1,1,2,3,4)),""))</x:f>
        <x:v/>
      </x:c>
      <x:c r="I9" s="38">
        <x:f t="shared" si="3"/>
        <x:v>0</x:v>
      </x:c>
      <x:c r="J9" s="38">
        <x:f t="shared" si="4"/>
        <x:v>0</x:v>
      </x:c>
      <x:c r="K9" s="38">
        <x:f t="shared" si="5"/>
        <x:v>0</x:v>
      </x:c>
      <x:c r="L9" s="63">
        <x:f t="shared" si="6"/>
        <x:v>0</x:v>
      </x:c>
      <x:c r="M9" s="39">
        <x:f t="shared" si="7"/>
        <x:v>0</x:v>
      </x:c>
      <x:c r="S9" s="107">
        <x:f t="shared" si="0"/>
        <x:v>0</x:v>
      </x:c>
      <x:c r="T9" s="97">
        <x:f t="shared" si="2"/>
        <x:v>-999999993</x:v>
      </x:c>
      <x:c r="U9" s="91">
        <x:f t="shared" si="1"/>
        <x:v>25</x:v>
      </x:c>
      <x:c r="V9" s="108"/>
    </x:row>
    <x:row r="10" spans="1:22" ht="24.949999999999999" customHeight="1">
      <x:c r="A10" s="12">
        <x:v>7</x:v>
      </x:c>
      <x:c r="B10" s="13"/>
      <x:c r="C10" s="62"/>
      <x:c r="D10" s="62"/>
      <x:c r="E10" s="62"/>
      <x:c r="F10" s="44">
        <x:f t="shared" si="8"/>
        <x:v>0</x:v>
      </x:c>
      <x:c r="G10" s="45">
        <x:f t="shared" si="9"/>
        <x:v>0</x:v>
      </x:c>
      <x:c r="H10" s="34" t="str">
        <x:f t="array" ref="H10:H10">IF(B10="","",IFERROR(INDEX('회원명단 및 기준에버'!D:G,MATCH(B10,'회원명단 및 기준에버'!$C:$C,0),CHOOSE(INT((MONTH($L$2)-1)/3)+1,1,2,3,4)),""))</x:f>
        <x:v/>
      </x:c>
      <x:c r="I10" s="38">
        <x:f t="shared" si="3"/>
        <x:v>0</x:v>
      </x:c>
      <x:c r="J10" s="38">
        <x:f t="shared" si="4"/>
        <x:v>0</x:v>
      </x:c>
      <x:c r="K10" s="38">
        <x:f t="shared" si="5"/>
        <x:v>0</x:v>
      </x:c>
      <x:c r="L10" s="63">
        <x:f t="shared" si="6"/>
        <x:v>0</x:v>
      </x:c>
      <x:c r="M10" s="39">
        <x:f t="shared" si="7"/>
        <x:v>0</x:v>
      </x:c>
      <x:c r="S10" s="107">
        <x:f t="shared" si="0"/>
        <x:v>0</x:v>
      </x:c>
      <x:c r="T10" s="97">
        <x:f t="shared" si="2"/>
        <x:v>-999999992</x:v>
      </x:c>
      <x:c r="U10" s="91">
        <x:f t="shared" si="1"/>
        <x:v>24</x:v>
      </x:c>
      <x:c r="V10" s="108"/>
    </x:row>
    <x:row r="11" spans="1:22" ht="24.949999999999999" customHeight="1">
      <x:c r="A11" s="12">
        <x:v>8</x:v>
      </x:c>
      <x:c r="B11" s="13"/>
      <x:c r="C11" s="62"/>
      <x:c r="D11" s="62"/>
      <x:c r="E11" s="62"/>
      <x:c r="F11" s="44">
        <x:f t="shared" si="8"/>
        <x:v>0</x:v>
      </x:c>
      <x:c r="G11" s="45">
        <x:f t="shared" si="9"/>
        <x:v>0</x:v>
      </x:c>
      <x:c r="H11" s="34" t="str">
        <x:f t="array" ref="H11:H11">IF(B11="","",IFERROR(INDEX('회원명단 및 기준에버'!D:G,MATCH(B11,'회원명단 및 기준에버'!$C:$C,0),CHOOSE(INT((MONTH($L$2)-1)/3)+1,1,2,3,4)),""))</x:f>
        <x:v/>
      </x:c>
      <x:c r="I11" s="38">
        <x:f t="shared" si="3"/>
        <x:v>0</x:v>
      </x:c>
      <x:c r="J11" s="38">
        <x:f t="shared" si="4"/>
        <x:v>0</x:v>
      </x:c>
      <x:c r="K11" s="38">
        <x:f t="shared" si="5"/>
        <x:v>0</x:v>
      </x:c>
      <x:c r="L11" s="63">
        <x:f t="shared" si="6"/>
        <x:v>0</x:v>
      </x:c>
      <x:c r="M11" s="39">
        <x:f t="shared" si="7"/>
        <x:v>0</x:v>
      </x:c>
      <x:c r="S11" s="107">
        <x:f t="shared" si="0"/>
        <x:v>0</x:v>
      </x:c>
      <x:c r="T11" s="97">
        <x:f t="shared" si="2"/>
        <x:v>-999999991</x:v>
      </x:c>
      <x:c r="U11" s="91">
        <x:f t="shared" si="1"/>
        <x:v>23</x:v>
      </x:c>
      <x:c r="V11" s="108"/>
    </x:row>
    <x:row r="12" spans="1:22" ht="24.949999999999999" customHeight="1">
      <x:c r="A12" s="12">
        <x:v>9</x:v>
      </x:c>
      <x:c r="B12" s="13"/>
      <x:c r="C12" s="62"/>
      <x:c r="D12" s="62"/>
      <x:c r="E12" s="62"/>
      <x:c r="F12" s="44">
        <x:f t="shared" si="8"/>
        <x:v>0</x:v>
      </x:c>
      <x:c r="G12" s="45">
        <x:f t="shared" si="9"/>
        <x:v>0</x:v>
      </x:c>
      <x:c r="H12" s="34" t="str">
        <x:f t="array" ref="H12:H12">IF(B12="","",IFERROR(INDEX('회원명단 및 기준에버'!D:G,MATCH(B12,'회원명단 및 기준에버'!$C:$C,0),CHOOSE(INT((MONTH($L$2)-1)/3)+1,1,2,3,4)),""))</x:f>
        <x:v/>
      </x:c>
      <x:c r="I12" s="38">
        <x:f t="shared" si="3"/>
        <x:v>0</x:v>
      </x:c>
      <x:c r="J12" s="38">
        <x:f t="shared" si="4"/>
        <x:v>0</x:v>
      </x:c>
      <x:c r="K12" s="38">
        <x:f t="shared" si="5"/>
        <x:v>0</x:v>
      </x:c>
      <x:c r="L12" s="63">
        <x:f t="shared" si="6"/>
        <x:v>0</x:v>
      </x:c>
      <x:c r="M12" s="39">
        <x:f t="shared" si="7"/>
        <x:v>0</x:v>
      </x:c>
      <x:c r="S12" s="107">
        <x:f t="shared" si="0"/>
        <x:v>0</x:v>
      </x:c>
      <x:c r="T12" s="97">
        <x:f t="shared" si="2"/>
        <x:v>-999999990</x:v>
      </x:c>
      <x:c r="U12" s="91">
        <x:f t="shared" si="1"/>
        <x:v>22</x:v>
      </x:c>
      <x:c r="V12" s="108"/>
    </x:row>
    <x:row r="13" spans="1:22" ht="24.949999999999999" customHeight="1">
      <x:c r="A13" s="12">
        <x:v>10</x:v>
      </x:c>
      <x:c r="B13" s="13"/>
      <x:c r="C13" s="62"/>
      <x:c r="D13" s="62"/>
      <x:c r="E13" s="62"/>
      <x:c r="F13" s="44">
        <x:f t="shared" si="8"/>
        <x:v>0</x:v>
      </x:c>
      <x:c r="G13" s="45">
        <x:f t="shared" si="9"/>
        <x:v>0</x:v>
      </x:c>
      <x:c r="H13" s="34" t="str">
        <x:f t="array" ref="H13:H13">IF(B13="","",IFERROR(INDEX('회원명단 및 기준에버'!D:G,MATCH(B13,'회원명단 및 기준에버'!$C:$C,0),CHOOSE(INT((MONTH($L$2)-1)/3)+1,1,2,3,4)),""))</x:f>
        <x:v/>
      </x:c>
      <x:c r="I13" s="38">
        <x:f t="shared" si="3"/>
        <x:v>0</x:v>
      </x:c>
      <x:c r="J13" s="38">
        <x:f t="shared" si="4"/>
        <x:v>0</x:v>
      </x:c>
      <x:c r="K13" s="38">
        <x:f t="shared" si="5"/>
        <x:v>0</x:v>
      </x:c>
      <x:c r="L13" s="63">
        <x:f t="shared" si="6"/>
        <x:v>0</x:v>
      </x:c>
      <x:c r="M13" s="39">
        <x:f t="shared" si="7"/>
        <x:v>0</x:v>
      </x:c>
      <x:c r="S13" s="107">
        <x:f t="shared" si="0"/>
        <x:v>0</x:v>
      </x:c>
      <x:c r="T13" s="97">
        <x:f t="shared" si="2"/>
        <x:v>-999999989</x:v>
      </x:c>
      <x:c r="U13" s="91">
        <x:f t="shared" si="1"/>
        <x:v>21</x:v>
      </x:c>
      <x:c r="V13" s="108"/>
    </x:row>
    <x:row r="14" spans="1:22" ht="24.949999999999999" customHeight="1">
      <x:c r="A14" s="12">
        <x:v>11</x:v>
      </x:c>
      <x:c r="B14" s="13"/>
      <x:c r="C14" s="62"/>
      <x:c r="D14" s="62"/>
      <x:c r="E14" s="62"/>
      <x:c r="F14" s="44">
        <x:f t="shared" si="8"/>
        <x:v>0</x:v>
      </x:c>
      <x:c r="G14" s="45">
        <x:f t="shared" si="9"/>
        <x:v>0</x:v>
      </x:c>
      <x:c r="H14" s="34" t="str">
        <x:f t="array" ref="H14:H14">IF(B14="","",IFERROR(INDEX('회원명단 및 기준에버'!D:G,MATCH(B14,'회원명단 및 기준에버'!$C:$C,0),CHOOSE(INT((MONTH($L$2)-1)/3)+1,1,2,3,4)),""))</x:f>
        <x:v/>
      </x:c>
      <x:c r="I14" s="38">
        <x:f t="shared" si="3"/>
        <x:v>0</x:v>
      </x:c>
      <x:c r="J14" s="38">
        <x:f t="shared" si="4"/>
        <x:v>0</x:v>
      </x:c>
      <x:c r="K14" s="38">
        <x:f t="shared" si="5"/>
        <x:v>0</x:v>
      </x:c>
      <x:c r="L14" s="63">
        <x:f t="shared" si="6"/>
        <x:v>0</x:v>
      </x:c>
      <x:c r="M14" s="39">
        <x:f t="shared" si="7"/>
        <x:v>0</x:v>
      </x:c>
      <x:c r="S14" s="107">
        <x:f t="shared" si="0"/>
        <x:v>0</x:v>
      </x:c>
      <x:c r="T14" s="97">
        <x:f t="shared" si="2"/>
        <x:v>-999999988</x:v>
      </x:c>
      <x:c r="U14" s="91">
        <x:f t="shared" si="1"/>
        <x:v>20</x:v>
      </x:c>
      <x:c r="V14" s="108"/>
    </x:row>
    <x:row r="15" spans="1:22" ht="24.949999999999999" customHeight="1">
      <x:c r="A15" s="12">
        <x:v>12</x:v>
      </x:c>
      <x:c r="B15" s="13"/>
      <x:c r="C15" s="62"/>
      <x:c r="D15" s="62"/>
      <x:c r="E15" s="62"/>
      <x:c r="F15" s="44">
        <x:f t="shared" si="8"/>
        <x:v>0</x:v>
      </x:c>
      <x:c r="G15" s="45">
        <x:f t="shared" si="9"/>
        <x:v>0</x:v>
      </x:c>
      <x:c r="H15" s="34" t="str">
        <x:f t="array" ref="H15:H15">IF(B15="","",IFERROR(INDEX('회원명단 및 기준에버'!D:G,MATCH(B15,'회원명단 및 기준에버'!$C:$C,0),CHOOSE(INT((MONTH($L$2)-1)/3)+1,1,2,3,4)),""))</x:f>
        <x:v/>
      </x:c>
      <x:c r="I15" s="38">
        <x:f t="shared" si="3"/>
        <x:v>0</x:v>
      </x:c>
      <x:c r="J15" s="38">
        <x:f t="shared" si="4"/>
        <x:v>0</x:v>
      </x:c>
      <x:c r="K15" s="38">
        <x:f t="shared" si="5"/>
        <x:v>0</x:v>
      </x:c>
      <x:c r="L15" s="63">
        <x:f t="shared" si="6"/>
        <x:v>0</x:v>
      </x:c>
      <x:c r="M15" s="39">
        <x:f t="shared" si="7"/>
        <x:v>0</x:v>
      </x:c>
      <x:c r="S15" s="107">
        <x:f t="shared" si="0"/>
        <x:v>0</x:v>
      </x:c>
      <x:c r="T15" s="97">
        <x:f t="shared" si="2"/>
        <x:v>-999999987</x:v>
      </x:c>
      <x:c r="U15" s="91">
        <x:f t="shared" si="1"/>
        <x:v>19</x:v>
      </x:c>
      <x:c r="V15" s="108"/>
    </x:row>
    <x:row r="16" spans="1:22" ht="24.949999999999999" customHeight="1">
      <x:c r="A16" s="12">
        <x:v>13</x:v>
      </x:c>
      <x:c r="B16" s="13"/>
      <x:c r="C16" s="62"/>
      <x:c r="D16" s="62"/>
      <x:c r="E16" s="62"/>
      <x:c r="F16" s="44">
        <x:f t="shared" si="8"/>
        <x:v>0</x:v>
      </x:c>
      <x:c r="G16" s="45">
        <x:f t="shared" si="9"/>
        <x:v>0</x:v>
      </x:c>
      <x:c r="H16" s="34" t="str">
        <x:f t="array" ref="H16:H16">IF(B16="","",IFERROR(INDEX('회원명단 및 기준에버'!D:G,MATCH(B16,'회원명단 및 기준에버'!$C:$C,0),CHOOSE(INT((MONTH($L$2)-1)/3)+1,1,2,3,4)),""))</x:f>
        <x:v/>
      </x:c>
      <x:c r="I16" s="38">
        <x:f t="shared" si="3"/>
        <x:v>0</x:v>
      </x:c>
      <x:c r="J16" s="38">
        <x:f t="shared" si="4"/>
        <x:v>0</x:v>
      </x:c>
      <x:c r="K16" s="38">
        <x:f t="shared" si="5"/>
        <x:v>0</x:v>
      </x:c>
      <x:c r="L16" s="63">
        <x:f t="shared" si="6"/>
        <x:v>0</x:v>
      </x:c>
      <x:c r="M16" s="39">
        <x:f t="shared" si="7"/>
        <x:v>0</x:v>
      </x:c>
      <x:c r="S16" s="107">
        <x:f t="shared" si="0"/>
        <x:v>0</x:v>
      </x:c>
      <x:c r="T16" s="97">
        <x:f t="shared" si="2"/>
        <x:v>-999999986</x:v>
      </x:c>
      <x:c r="U16" s="91">
        <x:f t="shared" si="1"/>
        <x:v>18</x:v>
      </x:c>
      <x:c r="V16" s="108"/>
    </x:row>
    <x:row r="17" spans="1:22" ht="24.949999999999999" customHeight="1">
      <x:c r="A17" s="12">
        <x:v>14</x:v>
      </x:c>
      <x:c r="B17" s="13"/>
      <x:c r="C17" s="62"/>
      <x:c r="D17" s="62"/>
      <x:c r="E17" s="62"/>
      <x:c r="F17" s="44">
        <x:f t="shared" si="8"/>
        <x:v>0</x:v>
      </x:c>
      <x:c r="G17" s="45">
        <x:f t="shared" si="9"/>
        <x:v>0</x:v>
      </x:c>
      <x:c r="H17" s="34" t="str">
        <x:f t="array" ref="H17:H17">IF(B17="","",IFERROR(INDEX('회원명단 및 기준에버'!D:G,MATCH(B17,'회원명단 및 기준에버'!$C:$C,0),CHOOSE(INT((MONTH($L$2)-1)/3)+1,1,2,3,4)),""))</x:f>
        <x:v/>
      </x:c>
      <x:c r="I17" s="38">
        <x:f t="shared" si="3"/>
        <x:v>0</x:v>
      </x:c>
      <x:c r="J17" s="38">
        <x:f t="shared" si="4"/>
        <x:v>0</x:v>
      </x:c>
      <x:c r="K17" s="38">
        <x:f t="shared" si="5"/>
        <x:v>0</x:v>
      </x:c>
      <x:c r="L17" s="63">
        <x:f t="shared" si="6"/>
        <x:v>0</x:v>
      </x:c>
      <x:c r="M17" s="39">
        <x:f t="shared" si="7"/>
        <x:v>0</x:v>
      </x:c>
      <x:c r="S17" s="107">
        <x:f t="shared" si="0"/>
        <x:v>0</x:v>
      </x:c>
      <x:c r="T17" s="97">
        <x:f t="shared" si="2"/>
        <x:v>-999999985</x:v>
      </x:c>
      <x:c r="U17" s="91">
        <x:f t="shared" si="1"/>
        <x:v>17</x:v>
      </x:c>
      <x:c r="V17" s="108"/>
    </x:row>
    <x:row r="18" spans="1:22" ht="24.949999999999999" customHeight="1">
      <x:c r="A18" s="12">
        <x:v>15</x:v>
      </x:c>
      <x:c r="B18" s="13"/>
      <x:c r="C18" s="62"/>
      <x:c r="D18" s="62"/>
      <x:c r="E18" s="62"/>
      <x:c r="F18" s="44">
        <x:f t="shared" si="8"/>
        <x:v>0</x:v>
      </x:c>
      <x:c r="G18" s="45">
        <x:f t="shared" si="9"/>
        <x:v>0</x:v>
      </x:c>
      <x:c r="H18" s="34" t="str">
        <x:f t="array" ref="H18:H18">IF(B18="","",IFERROR(INDEX('회원명단 및 기준에버'!D:G,MATCH(B18,'회원명단 및 기준에버'!$C:$C,0),CHOOSE(INT((MONTH($L$2)-1)/3)+1,1,2,3,4)),""))</x:f>
        <x:v/>
      </x:c>
      <x:c r="I18" s="38">
        <x:f t="shared" si="3"/>
        <x:v>0</x:v>
      </x:c>
      <x:c r="J18" s="38">
        <x:f t="shared" si="4"/>
        <x:v>0</x:v>
      </x:c>
      <x:c r="K18" s="38">
        <x:f t="shared" si="5"/>
        <x:v>0</x:v>
      </x:c>
      <x:c r="L18" s="63">
        <x:f t="shared" si="6"/>
        <x:v>0</x:v>
      </x:c>
      <x:c r="M18" s="39">
        <x:f t="shared" si="7"/>
        <x:v>0</x:v>
      </x:c>
      <x:c r="S18" s="107">
        <x:f t="shared" si="0"/>
        <x:v>0</x:v>
      </x:c>
      <x:c r="T18" s="97">
        <x:f t="shared" si="2"/>
        <x:v>-999999984</x:v>
      </x:c>
      <x:c r="U18" s="91">
        <x:f t="shared" si="1"/>
        <x:v>16</x:v>
      </x:c>
      <x:c r="V18" s="108"/>
    </x:row>
    <x:row r="19" spans="1:22" ht="24.949999999999999" customHeight="1">
      <x:c r="A19" s="12">
        <x:v>16</x:v>
      </x:c>
      <x:c r="B19" s="13"/>
      <x:c r="C19" s="62"/>
      <x:c r="D19" s="62"/>
      <x:c r="E19" s="62"/>
      <x:c r="F19" s="44">
        <x:f t="shared" si="8"/>
        <x:v>0</x:v>
      </x:c>
      <x:c r="G19" s="45">
        <x:f t="shared" si="9"/>
        <x:v>0</x:v>
      </x:c>
      <x:c r="H19" s="34" t="str">
        <x:f t="array" ref="H19:H19">IF(B19="","",IFERROR(INDEX('회원명단 및 기준에버'!D:G,MATCH(B19,'회원명단 및 기준에버'!$C:$C,0),CHOOSE(INT((MONTH($L$2)-1)/3)+1,1,2,3,4)),""))</x:f>
        <x:v/>
      </x:c>
      <x:c r="I19" s="38">
        <x:f t="shared" si="3"/>
        <x:v>0</x:v>
      </x:c>
      <x:c r="J19" s="38">
        <x:f t="shared" si="4"/>
        <x:v>0</x:v>
      </x:c>
      <x:c r="K19" s="38">
        <x:f t="shared" si="5"/>
        <x:v>0</x:v>
      </x:c>
      <x:c r="L19" s="63">
        <x:f t="shared" si="6"/>
        <x:v>0</x:v>
      </x:c>
      <x:c r="M19" s="39">
        <x:f t="shared" si="7"/>
        <x:v>0</x:v>
      </x:c>
      <x:c r="S19" s="107">
        <x:f t="shared" si="0"/>
        <x:v>0</x:v>
      </x:c>
      <x:c r="T19" s="97">
        <x:f t="shared" si="2"/>
        <x:v>-999999983</x:v>
      </x:c>
      <x:c r="U19" s="91">
        <x:f t="shared" si="1"/>
        <x:v>15</x:v>
      </x:c>
      <x:c r="V19" s="108"/>
    </x:row>
    <x:row r="20" spans="1:22" ht="24.949999999999999" customHeight="1">
      <x:c r="A20" s="12">
        <x:v>17</x:v>
      </x:c>
      <x:c r="B20" s="13"/>
      <x:c r="C20" s="62"/>
      <x:c r="D20" s="62"/>
      <x:c r="E20" s="62"/>
      <x:c r="F20" s="44">
        <x:f t="shared" si="8"/>
        <x:v>0</x:v>
      </x:c>
      <x:c r="G20" s="45">
        <x:f t="shared" si="9"/>
        <x:v>0</x:v>
      </x:c>
      <x:c r="H20" s="34" t="str">
        <x:f t="array" ref="H20:H20">IF(B20="","",IFERROR(INDEX('회원명단 및 기준에버'!D:G,MATCH(B20,'회원명단 및 기준에버'!$C:$C,0),CHOOSE(INT((MONTH($L$2)-1)/3)+1,1,2,3,4)),""))</x:f>
        <x:v/>
      </x:c>
      <x:c r="I20" s="38">
        <x:f t="shared" si="3"/>
        <x:v>0</x:v>
      </x:c>
      <x:c r="J20" s="38">
        <x:f t="shared" si="4"/>
        <x:v>0</x:v>
      </x:c>
      <x:c r="K20" s="38">
        <x:f t="shared" si="5"/>
        <x:v>0</x:v>
      </x:c>
      <x:c r="L20" s="63">
        <x:f t="shared" si="6"/>
        <x:v>0</x:v>
      </x:c>
      <x:c r="M20" s="39">
        <x:f t="shared" si="7"/>
        <x:v>0</x:v>
      </x:c>
      <x:c r="S20" s="107">
        <x:f t="shared" si="0"/>
        <x:v>0</x:v>
      </x:c>
      <x:c r="T20" s="97">
        <x:f t="shared" si="2"/>
        <x:v>-999999982</x:v>
      </x:c>
      <x:c r="U20" s="91">
        <x:f t="shared" si="1"/>
        <x:v>14</x:v>
      </x:c>
      <x:c r="V20" s="108"/>
    </x:row>
    <x:row r="21" spans="1:22" ht="24.949999999999999" customHeight="1">
      <x:c r="A21" s="12">
        <x:v>18</x:v>
      </x:c>
      <x:c r="B21" s="13"/>
      <x:c r="C21" s="62"/>
      <x:c r="D21" s="62"/>
      <x:c r="E21" s="62"/>
      <x:c r="F21" s="44">
        <x:f t="shared" si="8"/>
        <x:v>0</x:v>
      </x:c>
      <x:c r="G21" s="45">
        <x:f t="shared" si="9"/>
        <x:v>0</x:v>
      </x:c>
      <x:c r="H21" s="34" t="str">
        <x:f t="array" ref="H21:H21">IF(B21="","",IFERROR(INDEX('회원명단 및 기준에버'!D:G,MATCH(B21,'회원명단 및 기준에버'!$C:$C,0),CHOOSE(INT((MONTH($L$2)-1)/3)+1,1,2,3,4)),""))</x:f>
        <x:v/>
      </x:c>
      <x:c r="I21" s="38">
        <x:f t="shared" si="3"/>
        <x:v>0</x:v>
      </x:c>
      <x:c r="J21" s="38">
        <x:f t="shared" si="4"/>
        <x:v>0</x:v>
      </x:c>
      <x:c r="K21" s="38">
        <x:f t="shared" si="5"/>
        <x:v>0</x:v>
      </x:c>
      <x:c r="L21" s="63">
        <x:f t="shared" si="6"/>
        <x:v>0</x:v>
      </x:c>
      <x:c r="M21" s="39">
        <x:f t="shared" si="7"/>
        <x:v>0</x:v>
      </x:c>
      <x:c r="S21" s="107">
        <x:f t="shared" si="0"/>
        <x:v>0</x:v>
      </x:c>
      <x:c r="T21" s="97">
        <x:f t="shared" si="2"/>
        <x:v>-999999981</x:v>
      </x:c>
      <x:c r="U21" s="91">
        <x:f t="shared" si="1"/>
        <x:v>13</x:v>
      </x:c>
      <x:c r="V21" s="108"/>
    </x:row>
    <x:row r="22" spans="1:22" ht="24.949999999999999" customHeight="1">
      <x:c r="A22" s="12">
        <x:v>19</x:v>
      </x:c>
      <x:c r="B22" s="13"/>
      <x:c r="C22" s="62"/>
      <x:c r="D22" s="62"/>
      <x:c r="E22" s="62"/>
      <x:c r="F22" s="44">
        <x:f t="shared" si="8"/>
        <x:v>0</x:v>
      </x:c>
      <x:c r="G22" s="45">
        <x:f t="shared" si="9"/>
        <x:v>0</x:v>
      </x:c>
      <x:c r="H22" s="34" t="str">
        <x:f t="array" ref="H22:H22">IF(B22="","",IFERROR(INDEX('회원명단 및 기준에버'!D:G,MATCH(B22,'회원명단 및 기준에버'!$C:$C,0),CHOOSE(INT((MONTH($L$2)-1)/3)+1,1,2,3,4)),""))</x:f>
        <x:v/>
      </x:c>
      <x:c r="I22" s="38">
        <x:f t="shared" si="3"/>
        <x:v>0</x:v>
      </x:c>
      <x:c r="J22" s="38">
        <x:f t="shared" si="4"/>
        <x:v>0</x:v>
      </x:c>
      <x:c r="K22" s="38">
        <x:f t="shared" si="5"/>
        <x:v>0</x:v>
      </x:c>
      <x:c r="L22" s="63">
        <x:f t="shared" si="6"/>
        <x:v>0</x:v>
      </x:c>
      <x:c r="M22" s="39">
        <x:f t="shared" si="7"/>
        <x:v>0</x:v>
      </x:c>
      <x:c r="S22" s="107">
        <x:f t="shared" si="0"/>
        <x:v>0</x:v>
      </x:c>
      <x:c r="T22" s="97">
        <x:f t="shared" si="2"/>
        <x:v>-999999980</x:v>
      </x:c>
      <x:c r="U22" s="91">
        <x:f t="shared" si="1"/>
        <x:v>12</x:v>
      </x:c>
      <x:c r="V22" s="108"/>
    </x:row>
    <x:row r="23" spans="1:22" ht="24.949999999999999" customHeight="1">
      <x:c r="A23" s="12">
        <x:v>20</x:v>
      </x:c>
      <x:c r="B23" s="13"/>
      <x:c r="C23" s="62"/>
      <x:c r="D23" s="62"/>
      <x:c r="E23" s="62"/>
      <x:c r="F23" s="44">
        <x:f t="shared" si="8"/>
        <x:v>0</x:v>
      </x:c>
      <x:c r="G23" s="45">
        <x:f t="shared" si="9"/>
        <x:v>0</x:v>
      </x:c>
      <x:c r="H23" s="34" t="str">
        <x:f t="array" ref="H23:H23">IF(B23="","",IFERROR(INDEX('회원명단 및 기준에버'!D:G,MATCH(B23,'회원명단 및 기준에버'!$C:$C,0),CHOOSE(INT((MONTH($L$2)-1)/3)+1,1,2,3,4)),""))</x:f>
        <x:v/>
      </x:c>
      <x:c r="I23" s="38">
        <x:f t="shared" si="3"/>
        <x:v>0</x:v>
      </x:c>
      <x:c r="J23" s="38">
        <x:f t="shared" si="4"/>
        <x:v>0</x:v>
      </x:c>
      <x:c r="K23" s="38">
        <x:f t="shared" si="5"/>
        <x:v>0</x:v>
      </x:c>
      <x:c r="L23" s="63">
        <x:f t="shared" si="6"/>
        <x:v>0</x:v>
      </x:c>
      <x:c r="M23" s="39">
        <x:f t="shared" si="7"/>
        <x:v>0</x:v>
      </x:c>
      <x:c r="S23" s="107">
        <x:f t="shared" si="0"/>
        <x:v>0</x:v>
      </x:c>
      <x:c r="T23" s="97">
        <x:f t="shared" si="2"/>
        <x:v>-999999979</x:v>
      </x:c>
      <x:c r="U23" s="91">
        <x:f t="shared" si="1"/>
        <x:v>11</x:v>
      </x:c>
      <x:c r="V23" s="108"/>
    </x:row>
    <x:row r="24" spans="1:22" ht="24.949999999999999" customHeight="1">
      <x:c r="A24" s="12">
        <x:v>21</x:v>
      </x:c>
      <x:c r="B24" s="13"/>
      <x:c r="C24" s="62"/>
      <x:c r="D24" s="62"/>
      <x:c r="E24" s="62"/>
      <x:c r="F24" s="44">
        <x:f t="shared" si="8"/>
        <x:v>0</x:v>
      </x:c>
      <x:c r="G24" s="45">
        <x:f t="shared" si="9"/>
        <x:v>0</x:v>
      </x:c>
      <x:c r="H24" s="34" t="str">
        <x:f t="array" ref="H24:H24">IF(B24="","",IFERROR(INDEX('회원명단 및 기준에버'!D:G,MATCH(B24,'회원명단 및 기준에버'!$C:$C,0),CHOOSE(INT((MONTH($L$2)-1)/3)+1,1,2,3,4)),""))</x:f>
        <x:v/>
      </x:c>
      <x:c r="I24" s="38">
        <x:f t="shared" si="3"/>
        <x:v>0</x:v>
      </x:c>
      <x:c r="J24" s="38">
        <x:f t="shared" si="4"/>
        <x:v>0</x:v>
      </x:c>
      <x:c r="K24" s="38">
        <x:f t="shared" si="5"/>
        <x:v>0</x:v>
      </x:c>
      <x:c r="L24" s="63">
        <x:f t="shared" si="6"/>
        <x:v>0</x:v>
      </x:c>
      <x:c r="M24" s="39">
        <x:f t="shared" si="7"/>
        <x:v>0</x:v>
      </x:c>
      <x:c r="S24" s="107">
        <x:f t="shared" si="0"/>
        <x:v>0</x:v>
      </x:c>
      <x:c r="T24" s="97">
        <x:f t="shared" si="2"/>
        <x:v>-999999978</x:v>
      </x:c>
      <x:c r="U24" s="91">
        <x:f t="shared" si="1"/>
        <x:v>10</x:v>
      </x:c>
      <x:c r="V24" s="108"/>
    </x:row>
    <x:row r="25" spans="1:22" ht="24.949999999999999" customHeight="1">
      <x:c r="A25" s="12">
        <x:v>22</x:v>
      </x:c>
      <x:c r="B25" s="13"/>
      <x:c r="C25" s="62"/>
      <x:c r="D25" s="62"/>
      <x:c r="E25" s="62"/>
      <x:c r="F25" s="44">
        <x:f t="shared" si="8"/>
        <x:v>0</x:v>
      </x:c>
      <x:c r="G25" s="45">
        <x:f t="shared" si="9"/>
        <x:v>0</x:v>
      </x:c>
      <x:c r="H25" s="34" t="str">
        <x:f t="array" ref="H25:H25">IF(B25="","",IFERROR(INDEX('회원명단 및 기준에버'!D:G,MATCH(B25,'회원명단 및 기준에버'!$C:$C,0),CHOOSE(INT((MONTH($L$2)-1)/3)+1,1,2,3,4)),""))</x:f>
        <x:v/>
      </x:c>
      <x:c r="I25" s="38">
        <x:f t="shared" si="3"/>
        <x:v>0</x:v>
      </x:c>
      <x:c r="J25" s="38">
        <x:f t="shared" si="4"/>
        <x:v>0</x:v>
      </x:c>
      <x:c r="K25" s="38">
        <x:f t="shared" si="5"/>
        <x:v>0</x:v>
      </x:c>
      <x:c r="L25" s="63">
        <x:f t="shared" si="6"/>
        <x:v>0</x:v>
      </x:c>
      <x:c r="M25" s="39">
        <x:f t="shared" si="7"/>
        <x:v>0</x:v>
      </x:c>
      <x:c r="S25" s="107">
        <x:f t="shared" si="0"/>
        <x:v>0</x:v>
      </x:c>
      <x:c r="T25" s="97">
        <x:f t="shared" si="2"/>
        <x:v>-999999977</x:v>
      </x:c>
      <x:c r="U25" s="91">
        <x:f t="shared" si="1"/>
        <x:v>9</x:v>
      </x:c>
      <x:c r="V25" s="108"/>
    </x:row>
    <x:row r="26" spans="1:22" ht="24.949999999999999" customHeight="1">
      <x:c r="A26" s="12">
        <x:v>23</x:v>
      </x:c>
      <x:c r="B26" s="13"/>
      <x:c r="C26" s="62"/>
      <x:c r="D26" s="62"/>
      <x:c r="E26" s="62"/>
      <x:c r="F26" s="44">
        <x:f t="shared" si="8"/>
        <x:v>0</x:v>
      </x:c>
      <x:c r="G26" s="45">
        <x:f t="shared" si="9"/>
        <x:v>0</x:v>
      </x:c>
      <x:c r="H26" s="34" t="str">
        <x:f t="array" ref="H26:H26">IF(B26="","",IFERROR(INDEX('회원명단 및 기준에버'!D:G,MATCH(B26,'회원명단 및 기준에버'!$C:$C,0),CHOOSE(INT((MONTH($L$2)-1)/3)+1,1,2,3,4)),""))</x:f>
        <x:v/>
      </x:c>
      <x:c r="I26" s="38">
        <x:f t="shared" si="3"/>
        <x:v>0</x:v>
      </x:c>
      <x:c r="J26" s="38">
        <x:f t="shared" si="4"/>
        <x:v>0</x:v>
      </x:c>
      <x:c r="K26" s="38">
        <x:f t="shared" si="5"/>
        <x:v>0</x:v>
      </x:c>
      <x:c r="L26" s="63">
        <x:f t="shared" si="6"/>
        <x:v>0</x:v>
      </x:c>
      <x:c r="M26" s="39">
        <x:f t="shared" si="7"/>
        <x:v>0</x:v>
      </x:c>
      <x:c r="S26" s="107">
        <x:f t="shared" si="0"/>
        <x:v>0</x:v>
      </x:c>
      <x:c r="T26" s="97">
        <x:f t="shared" si="2"/>
        <x:v>-999999976</x:v>
      </x:c>
      <x:c r="U26" s="91">
        <x:f t="shared" si="1"/>
        <x:v>8</x:v>
      </x:c>
      <x:c r="V26" s="108"/>
    </x:row>
    <x:row r="27" spans="1:22" ht="24.949999999999999" customHeight="1">
      <x:c r="A27" s="12">
        <x:v>24</x:v>
      </x:c>
      <x:c r="B27" s="13"/>
      <x:c r="C27" s="62"/>
      <x:c r="D27" s="62"/>
      <x:c r="E27" s="62"/>
      <x:c r="F27" s="44">
        <x:f t="shared" si="8"/>
        <x:v>0</x:v>
      </x:c>
      <x:c r="G27" s="45">
        <x:f t="shared" si="9"/>
        <x:v>0</x:v>
      </x:c>
      <x:c r="H27" s="34" t="str">
        <x:f t="array" ref="H27:H27">IF(B27="","",IFERROR(INDEX('회원명단 및 기준에버'!D:G,MATCH(B27,'회원명단 및 기준에버'!$C:$C,0),CHOOSE(INT((MONTH($L$2)-1)/3)+1,1,2,3,4)),""))</x:f>
        <x:v/>
      </x:c>
      <x:c r="I27" s="38">
        <x:f t="shared" si="3"/>
        <x:v>0</x:v>
      </x:c>
      <x:c r="J27" s="38">
        <x:f t="shared" si="4"/>
        <x:v>0</x:v>
      </x:c>
      <x:c r="K27" s="38">
        <x:f t="shared" si="5"/>
        <x:v>0</x:v>
      </x:c>
      <x:c r="L27" s="63">
        <x:f t="shared" si="6"/>
        <x:v>0</x:v>
      </x:c>
      <x:c r="M27" s="39">
        <x:f t="shared" si="7"/>
        <x:v>0</x:v>
      </x:c>
      <x:c r="S27" s="107">
        <x:f t="shared" si="0"/>
        <x:v>0</x:v>
      </x:c>
      <x:c r="T27" s="97">
        <x:f t="shared" si="2"/>
        <x:v>-999999975</x:v>
      </x:c>
      <x:c r="U27" s="91">
        <x:f t="shared" si="1"/>
        <x:v>7</x:v>
      </x:c>
      <x:c r="V27" s="108"/>
    </x:row>
    <x:row r="28" spans="1:22" ht="24.949999999999999" customHeight="1">
      <x:c r="A28" s="12">
        <x:v>25</x:v>
      </x:c>
      <x:c r="B28" s="13"/>
      <x:c r="C28" s="62"/>
      <x:c r="D28" s="62"/>
      <x:c r="E28" s="62"/>
      <x:c r="F28" s="44">
        <x:f t="shared" si="8"/>
        <x:v>0</x:v>
      </x:c>
      <x:c r="G28" s="45">
        <x:f t="shared" si="9"/>
        <x:v>0</x:v>
      </x:c>
      <x:c r="H28" s="34" t="str">
        <x:f t="array" ref="H28:H28">IF(B28="","",IFERROR(INDEX('회원명단 및 기준에버'!D:G,MATCH(B28,'회원명단 및 기준에버'!$C:$C,0),CHOOSE(INT((MONTH($L$2)-1)/3)+1,1,2,3,4)),""))</x:f>
        <x:v/>
      </x:c>
      <x:c r="I28" s="38">
        <x:f t="shared" si="3"/>
        <x:v>0</x:v>
      </x:c>
      <x:c r="J28" s="38">
        <x:f t="shared" si="4"/>
        <x:v>0</x:v>
      </x:c>
      <x:c r="K28" s="38">
        <x:f t="shared" si="5"/>
        <x:v>0</x:v>
      </x:c>
      <x:c r="L28" s="63">
        <x:f t="shared" si="6"/>
        <x:v>0</x:v>
      </x:c>
      <x:c r="M28" s="39">
        <x:f t="shared" si="7"/>
        <x:v>0</x:v>
      </x:c>
      <x:c r="S28" s="107">
        <x:f t="shared" si="0"/>
        <x:v>0</x:v>
      </x:c>
      <x:c r="T28" s="97">
        <x:f t="shared" si="2"/>
        <x:v>-999999974</x:v>
      </x:c>
      <x:c r="U28" s="91">
        <x:f t="shared" si="1"/>
        <x:v>6</x:v>
      </x:c>
      <x:c r="V28" s="108"/>
    </x:row>
    <x:row r="29" spans="1:22" ht="24.949999999999999" customHeight="1">
      <x:c r="A29" s="12">
        <x:v>26</x:v>
      </x:c>
      <x:c r="B29" s="13"/>
      <x:c r="C29" s="62"/>
      <x:c r="D29" s="62"/>
      <x:c r="E29" s="62"/>
      <x:c r="F29" s="44">
        <x:f t="shared" si="8"/>
        <x:v>0</x:v>
      </x:c>
      <x:c r="G29" s="45">
        <x:f t="shared" si="9"/>
        <x:v>0</x:v>
      </x:c>
      <x:c r="H29" s="34" t="str">
        <x:f t="array" ref="H29:H29">IF(B29="","",IFERROR(INDEX('회원명단 및 기준에버'!D:G,MATCH(B29,'회원명단 및 기준에버'!$C:$C,0),CHOOSE(INT((MONTH($L$2)-1)/3)+1,1,2,3,4)),""))</x:f>
        <x:v/>
      </x:c>
      <x:c r="I29" s="38">
        <x:f t="shared" si="3"/>
        <x:v>0</x:v>
      </x:c>
      <x:c r="J29" s="38">
        <x:f t="shared" si="4"/>
        <x:v>0</x:v>
      </x:c>
      <x:c r="K29" s="38">
        <x:f t="shared" si="5"/>
        <x:v>0</x:v>
      </x:c>
      <x:c r="L29" s="63">
        <x:f t="shared" si="6"/>
        <x:v>0</x:v>
      </x:c>
      <x:c r="M29" s="39">
        <x:f t="shared" si="7"/>
        <x:v>0</x:v>
      </x:c>
      <x:c r="S29" s="107">
        <x:f t="shared" si="0"/>
        <x:v>0</x:v>
      </x:c>
      <x:c r="T29" s="97">
        <x:f t="shared" si="2"/>
        <x:v>-999999973</x:v>
      </x:c>
      <x:c r="U29" s="91">
        <x:f t="shared" si="1"/>
        <x:v>5</x:v>
      </x:c>
      <x:c r="V29" s="108"/>
    </x:row>
    <x:row r="30" spans="1:22" ht="24.949999999999999" customHeight="1">
      <x:c r="A30" s="12">
        <x:v>27</x:v>
      </x:c>
      <x:c r="B30" s="13"/>
      <x:c r="C30" s="62"/>
      <x:c r="D30" s="62"/>
      <x:c r="E30" s="62"/>
      <x:c r="F30" s="44">
        <x:f t="shared" si="8"/>
        <x:v>0</x:v>
      </x:c>
      <x:c r="G30" s="45">
        <x:f t="shared" si="9"/>
        <x:v>0</x:v>
      </x:c>
      <x:c r="H30" s="34" t="str">
        <x:f t="array" ref="H30:H30">IF(B30="","",IFERROR(INDEX('회원명단 및 기준에버'!D:G,MATCH(B30,'회원명단 및 기준에버'!$C:$C,0),CHOOSE(INT((MONTH($L$2)-1)/3)+1,1,2,3,4)),""))</x:f>
        <x:v/>
      </x:c>
      <x:c r="I30" s="38">
        <x:f t="shared" si="3"/>
        <x:v>0</x:v>
      </x:c>
      <x:c r="J30" s="38">
        <x:f t="shared" si="4"/>
        <x:v>0</x:v>
      </x:c>
      <x:c r="K30" s="38">
        <x:f t="shared" si="5"/>
        <x:v>0</x:v>
      </x:c>
      <x:c r="L30" s="63">
        <x:f t="shared" si="6"/>
        <x:v>0</x:v>
      </x:c>
      <x:c r="M30" s="39">
        <x:f t="shared" si="7"/>
        <x:v>0</x:v>
      </x:c>
      <x:c r="S30" s="107">
        <x:f t="shared" si="0"/>
        <x:v>0</x:v>
      </x:c>
      <x:c r="T30" s="97">
        <x:f t="shared" si="2"/>
        <x:v>-999999972</x:v>
      </x:c>
      <x:c r="U30" s="91">
        <x:f t="shared" si="1"/>
        <x:v>4</x:v>
      </x:c>
      <x:c r="V30" s="108"/>
    </x:row>
    <x:row r="31" spans="1:22" ht="24.949999999999999" customHeight="1">
      <x:c r="A31" s="12">
        <x:v>28</x:v>
      </x:c>
      <x:c r="B31" s="13"/>
      <x:c r="C31" s="62"/>
      <x:c r="D31" s="62"/>
      <x:c r="E31" s="62"/>
      <x:c r="F31" s="44">
        <x:f t="shared" si="8"/>
        <x:v>0</x:v>
      </x:c>
      <x:c r="G31" s="45">
        <x:f t="shared" si="9"/>
        <x:v>0</x:v>
      </x:c>
      <x:c r="H31" s="34" t="str">
        <x:f t="array" ref="H31:H31">IF(B31="","",IFERROR(INDEX('회원명단 및 기준에버'!D:G,MATCH(B31,'회원명단 및 기준에버'!$C:$C,0),CHOOSE(INT((MONTH($L$2)-1)/3)+1,1,2,3,4)),""))</x:f>
        <x:v/>
      </x:c>
      <x:c r="I31" s="38">
        <x:f t="shared" si="3"/>
        <x:v>0</x:v>
      </x:c>
      <x:c r="J31" s="38">
        <x:f t="shared" si="4"/>
        <x:v>0</x:v>
      </x:c>
      <x:c r="K31" s="38">
        <x:f t="shared" si="5"/>
        <x:v>0</x:v>
      </x:c>
      <x:c r="L31" s="63">
        <x:f t="shared" si="6"/>
        <x:v>0</x:v>
      </x:c>
      <x:c r="M31" s="39">
        <x:f t="shared" si="7"/>
        <x:v>0</x:v>
      </x:c>
      <x:c r="S31" s="107">
        <x:f t="shared" si="0"/>
        <x:v>0</x:v>
      </x:c>
      <x:c r="T31" s="97">
        <x:f t="shared" si="2"/>
        <x:v>-999999971</x:v>
      </x:c>
      <x:c r="U31" s="91">
        <x:f t="shared" si="1"/>
        <x:v>3</x:v>
      </x:c>
      <x:c r="V31" s="108"/>
    </x:row>
    <x:row r="32" spans="1:22" ht="24.949999999999999" customHeight="1">
      <x:c r="A32" s="12">
        <x:v>29</x:v>
      </x:c>
      <x:c r="B32" s="13"/>
      <x:c r="C32" s="62"/>
      <x:c r="D32" s="62"/>
      <x:c r="E32" s="62"/>
      <x:c r="F32" s="44">
        <x:f t="shared" si="8"/>
        <x:v>0</x:v>
      </x:c>
      <x:c r="G32" s="45">
        <x:f t="shared" si="9"/>
        <x:v>0</x:v>
      </x:c>
      <x:c r="H32" s="34" t="str">
        <x:f t="array" ref="H32:H32">IF(B32="","",IFERROR(INDEX('회원명단 및 기준에버'!D:G,MATCH(B32,'회원명단 및 기준에버'!$C:$C,0),CHOOSE(INT((MONTH($L$2)-1)/3)+1,1,2,3,4)),""))</x:f>
        <x:v/>
      </x:c>
      <x:c r="I32" s="38">
        <x:f t="shared" si="3"/>
        <x:v>0</x:v>
      </x:c>
      <x:c r="J32" s="38">
        <x:f t="shared" si="4"/>
        <x:v>0</x:v>
      </x:c>
      <x:c r="K32" s="38">
        <x:f t="shared" si="5"/>
        <x:v>0</x:v>
      </x:c>
      <x:c r="L32" s="63">
        <x:f t="shared" si="6"/>
        <x:v>0</x:v>
      </x:c>
      <x:c r="M32" s="39">
        <x:f t="shared" si="7"/>
        <x:v>0</x:v>
      </x:c>
      <x:c r="S32" s="107">
        <x:f t="shared" si="0"/>
        <x:v>0</x:v>
      </x:c>
      <x:c r="T32" s="97">
        <x:f t="shared" si="2"/>
        <x:v>-999999970</x:v>
      </x:c>
      <x:c r="U32" s="91">
        <x:f t="shared" si="1"/>
        <x:v>2</x:v>
      </x:c>
      <x:c r="V32" s="108"/>
    </x:row>
    <x:row r="33" spans="1:22" ht="24.949999999999999" customHeight="1">
      <x:c r="A33" s="12">
        <x:v>30</x:v>
      </x:c>
      <x:c r="B33" s="13"/>
      <x:c r="C33" s="62"/>
      <x:c r="D33" s="62"/>
      <x:c r="E33" s="62"/>
      <x:c r="F33" s="44">
        <x:f t="shared" si="8"/>
        <x:v>0</x:v>
      </x:c>
      <x:c r="G33" s="45">
        <x:f t="shared" si="9"/>
        <x:v>0</x:v>
      </x:c>
      <x:c r="H33" s="34" t="str">
        <x:f t="array" ref="H33:H33">IF(B33="","",IFERROR(INDEX('회원명단 및 기준에버'!D:G,MATCH(B33,'회원명단 및 기준에버'!$C:$C,0),CHOOSE(INT((MONTH($L$2)-1)/3)+1,1,2,3,4)),""))</x:f>
        <x:v/>
      </x:c>
      <x:c r="I33" s="38">
        <x:f t="shared" si="3"/>
        <x:v>0</x:v>
      </x:c>
      <x:c r="J33" s="38">
        <x:f t="shared" si="4"/>
        <x:v>0</x:v>
      </x:c>
      <x:c r="K33" s="38">
        <x:f t="shared" si="5"/>
        <x:v>0</x:v>
      </x:c>
      <x:c r="L33" s="63">
        <x:f t="shared" si="6"/>
        <x:v>0</x:v>
      </x:c>
      <x:c r="M33" s="39">
        <x:f t="shared" si="7"/>
        <x:v>0</x:v>
      </x:c>
      <x:c r="S33" s="109">
        <x:f t="shared" si="0"/>
        <x:v>0</x:v>
      </x:c>
      <x:c r="T33" s="103">
        <x:f t="shared" si="2"/>
        <x:v>-999999969</x:v>
      </x:c>
      <x:c r="U33" s="110">
        <x:f t="shared" si="1"/>
        <x:v>1</x:v>
      </x:c>
      <x:c r="V33" s="111"/>
    </x:row>
    <x:row r="34" spans="2:13" s="18" customFormat="1" ht="24.949999999999999" customHeight="1">
      <x:c r="B34" s="168" t="s">
        <x:v>63</x:v>
      </x:c>
      <x:c r="C34" s="169"/>
      <x:c r="D34" s="169"/>
      <x:c r="E34" s="169"/>
      <x:c r="F34" s="169"/>
      <x:c r="G34" s="169"/>
      <x:c r="H34" s="169"/>
      <x:c r="I34" s="169"/>
      <x:c r="J34" s="169"/>
      <x:c r="K34" s="169"/>
      <x:c r="L34" s="169"/>
      <x:c r="M34" s="170"/>
    </x:row>
    <x:row r="35" spans="2:13" s="18" customFormat="1" ht="24.949999999999999" customHeight="1">
      <x:c r="B35" s="187" t="s">
        <x:v>68</x:v>
      </x:c>
      <x:c r="C35" s="188"/>
      <x:c r="D35" s="188"/>
      <x:c r="E35" s="189"/>
      <x:c r="F35" s="174" t="s">
        <x:v>28</x:v>
      </x:c>
      <x:c r="G35" s="176" t="s">
        <x:v>14</x:v>
      </x:c>
      <x:c r="H35" s="177"/>
      <x:c r="I35" s="178"/>
      <x:c r="J35" s="179" t="s">
        <x:v>64</x:v>
      </x:c>
      <x:c r="K35" s="180"/>
      <x:c r="L35" s="180"/>
      <x:c r="M35" s="181"/>
    </x:row>
    <x:row r="36" spans="2:13" s="18" customFormat="1" ht="24.949999999999999" customHeight="1">
      <x:c r="B36" s="82"/>
      <x:c r="C36" s="83"/>
      <x:c r="D36" s="83"/>
      <x:c r="E36" s="84"/>
      <x:c r="F36" s="175"/>
      <x:c r="G36" s="182" t="s">
        <x:v>62</x:v>
      </x:c>
      <x:c r="H36" s="183"/>
      <x:c r="I36" s="184"/>
      <x:c r="J36" s="26"/>
      <x:c r="K36" s="27"/>
      <x:c r="L36" s="27"/>
      <x:c r="M36" s="28"/>
    </x:row>
    <x:row r="37" spans="2:13" s="18" customFormat="1" ht="24.949999999999999" customHeight="1">
      <x:c r="B37" s="155" t="s">
        <x:v>29</x:v>
      </x:c>
      <x:c r="C37" s="156"/>
      <x:c r="D37" s="156"/>
      <x:c r="E37" s="156"/>
      <x:c r="F37" s="156"/>
      <x:c r="G37" s="156"/>
      <x:c r="H37" s="157"/>
      <x:c r="I37" s="158" t="s">
        <x:v>66</x:v>
      </x:c>
      <x:c r="J37" s="159"/>
      <x:c r="K37" s="160" t="s">
        <x:v>67</x:v>
      </x:c>
      <x:c r="L37" s="161"/>
      <x:c r="M37" s="162"/>
    </x:row>
    <x:row r="38" spans="2:13" s="18" customFormat="1" ht="24.949999999999999" customHeight="1">
      <x:c r="B38" s="21"/>
      <x:c r="C38" s="64"/>
      <x:c r="D38" s="32"/>
      <x:c r="E38" s="67"/>
      <x:c r="F38" s="30"/>
      <x:c r="G38" s="70"/>
      <x:c r="H38" s="157"/>
      <x:c r="I38" s="23"/>
      <x:c r="J38" s="50"/>
      <x:c r="K38" s="57"/>
      <x:c r="L38" s="58"/>
      <x:c r="M38" s="59"/>
    </x:row>
    <x:row r="39" spans="2:13" s="18" customFormat="1" ht="24.949999999999999" customHeight="1">
      <x:c r="B39" s="46"/>
      <x:c r="C39" s="65"/>
      <x:c r="D39" s="47"/>
      <x:c r="E39" s="68"/>
      <x:c r="F39" s="48"/>
      <x:c r="G39" s="71"/>
      <x:c r="H39" s="157"/>
      <x:c r="I39" s="49"/>
      <x:c r="J39" s="51"/>
      <x:c r="K39" s="57"/>
      <x:c r="L39" s="58"/>
      <x:c r="M39" s="59"/>
    </x:row>
    <x:row r="40" spans="2:13" s="18" customFormat="1" ht="24.949999999999999" customHeight="1">
      <x:c r="B40" s="29"/>
      <x:c r="C40" s="66"/>
      <x:c r="D40" s="33"/>
      <x:c r="E40" s="69"/>
      <x:c r="F40" s="31"/>
      <x:c r="G40" s="72"/>
      <x:c r="H40" s="157"/>
      <x:c r="I40" s="24"/>
      <x:c r="J40" s="52"/>
      <x:c r="K40" s="60"/>
      <x:c r="L40" s="53"/>
      <x:c r="M40" s="61"/>
    </x:row>
    <x:row r="41" spans="1:13" s="18" customFormat="1" ht="24.949999999999999" customHeight="1">
      <x:c r="A41" s="17"/>
      <x:c r="B41" s="163" t="s">
        <x:v>51</x:v>
      </x:c>
      <x:c r="C41" s="164"/>
      <x:c r="D41" s="164"/>
      <x:c r="E41" s="164"/>
      <x:c r="F41" s="164"/>
      <x:c r="G41" s="164"/>
      <x:c r="H41" s="164"/>
      <x:c r="I41" s="164"/>
      <x:c r="J41" s="164"/>
      <x:c r="K41" s="164"/>
      <x:c r="L41" s="164"/>
      <x:c r="M41" s="165"/>
    </x:row>
    <x:row r="42" spans="2:13" s="18" customFormat="1" ht="24.949999999999999" customHeight="1">
      <x:c r="B42" s="35">
        <x:f t="shared" ref="B42:B47" si="10">$B4</x:f>
        <x:v>0</x:v>
      </x:c>
      <x:c r="C42" s="40">
        <x:f t="shared" ref="C42:C47" si="11">IF($T$2=0,$C4,$I4)</x:f>
        <x:v>0</x:v>
      </x:c>
      <x:c r="D42" s="40">
        <x:f t="shared" ref="D42:D47" si="12">IF($T$2=0,$D4,$J4)</x:f>
        <x:v>0</x:v>
      </x:c>
      <x:c r="E42" s="40">
        <x:f t="shared" ref="E42:E47" si="13">IF($T$2=0,$E4,$K4)</x:f>
        <x:v>0</x:v>
      </x:c>
      <x:c r="F42" s="141">
        <x:f>E48+D48+C48</x:f>
        <x:v>0</x:v>
      </x:c>
      <x:c r="G42" s="144"/>
      <x:c r="H42" s="79">
        <x:f>$B10</x:f>
        <x:v>0</x:v>
      </x:c>
      <x:c r="I42" s="40">
        <x:f t="shared" ref="I42:I47" si="14">IF($T$2=0,$C10,$I10)</x:f>
        <x:v>0</x:v>
      </x:c>
      <x:c r="J42" s="40">
        <x:f t="shared" ref="J42:J47" si="15">IF($T$2=0,$D10,$J10)</x:f>
        <x:v>0</x:v>
      </x:c>
      <x:c r="K42" s="40">
        <x:f t="shared" ref="K42:K47" si="16">IF($T$2=0,$E10,$K10)</x:f>
        <x:v>0</x:v>
      </x:c>
      <x:c r="L42" s="149">
        <x:f>K48+J48+I48</x:f>
        <x:v>0</x:v>
      </x:c>
      <x:c r="M42" s="152"/>
    </x:row>
    <x:row r="43" spans="2:13" s="18" customFormat="1" ht="24.949999999999999" customHeight="1">
      <x:c r="B43" s="36">
        <x:f t="shared" si="10"/>
        <x:v>0</x:v>
      </x:c>
      <x:c r="C43" s="41">
        <x:f t="shared" si="11"/>
        <x:v>0</x:v>
      </x:c>
      <x:c r="D43" s="41">
        <x:f t="shared" si="12"/>
        <x:v>0</x:v>
      </x:c>
      <x:c r="E43" s="41">
        <x:f t="shared" si="13"/>
        <x:v>0</x:v>
      </x:c>
      <x:c r="F43" s="142"/>
      <x:c r="G43" s="145"/>
      <x:c r="H43" s="36">
        <x:f>$B11</x:f>
        <x:v>0</x:v>
      </x:c>
      <x:c r="I43" s="41">
        <x:f t="shared" si="14"/>
        <x:v>0</x:v>
      </x:c>
      <x:c r="J43" s="41">
        <x:f t="shared" si="15"/>
        <x:v>0</x:v>
      </x:c>
      <x:c r="K43" s="41">
        <x:f t="shared" si="16"/>
        <x:v>0</x:v>
      </x:c>
      <x:c r="L43" s="150"/>
      <x:c r="M43" s="153"/>
    </x:row>
    <x:row r="44" spans="2:13" s="18" customFormat="1" ht="24.949999999999999" customHeight="1">
      <x:c r="B44" s="36">
        <x:f t="shared" si="10"/>
        <x:v>0</x:v>
      </x:c>
      <x:c r="C44" s="41">
        <x:f t="shared" si="11"/>
        <x:v>0</x:v>
      </x:c>
      <x:c r="D44" s="41">
        <x:f t="shared" si="12"/>
        <x:v>0</x:v>
      </x:c>
      <x:c r="E44" s="41">
        <x:f t="shared" si="13"/>
        <x:v>0</x:v>
      </x:c>
      <x:c r="F44" s="142"/>
      <x:c r="G44" s="145"/>
      <x:c r="H44" s="36">
        <x:f t="shared" ref="H44:H47" si="17">$B12</x:f>
        <x:v>0</x:v>
      </x:c>
      <x:c r="I44" s="41">
        <x:f t="shared" si="14"/>
        <x:v>0</x:v>
      </x:c>
      <x:c r="J44" s="41">
        <x:f t="shared" si="15"/>
        <x:v>0</x:v>
      </x:c>
      <x:c r="K44" s="41">
        <x:f t="shared" si="16"/>
        <x:v>0</x:v>
      </x:c>
      <x:c r="L44" s="150"/>
      <x:c r="M44" s="153"/>
    </x:row>
    <x:row r="45" spans="2:13" s="18" customFormat="1" ht="24.949999999999999" customHeight="1">
      <x:c r="B45" s="36">
        <x:f t="shared" si="10"/>
        <x:v>0</x:v>
      </x:c>
      <x:c r="C45" s="41">
        <x:f t="shared" si="11"/>
        <x:v>0</x:v>
      </x:c>
      <x:c r="D45" s="41">
        <x:f t="shared" si="12"/>
        <x:v>0</x:v>
      </x:c>
      <x:c r="E45" s="41">
        <x:f t="shared" si="13"/>
        <x:v>0</x:v>
      </x:c>
      <x:c r="F45" s="142"/>
      <x:c r="G45" s="145"/>
      <x:c r="H45" s="36">
        <x:f t="shared" si="17"/>
        <x:v>0</x:v>
      </x:c>
      <x:c r="I45" s="41">
        <x:f t="shared" si="14"/>
        <x:v>0</x:v>
      </x:c>
      <x:c r="J45" s="41">
        <x:f t="shared" si="15"/>
        <x:v>0</x:v>
      </x:c>
      <x:c r="K45" s="41">
        <x:f t="shared" si="16"/>
        <x:v>0</x:v>
      </x:c>
      <x:c r="L45" s="150"/>
      <x:c r="M45" s="153"/>
    </x:row>
    <x:row r="46" spans="2:13" s="18" customFormat="1" ht="24.949999999999999" customHeight="1">
      <x:c r="B46" s="36">
        <x:f t="shared" si="10"/>
        <x:v>0</x:v>
      </x:c>
      <x:c r="C46" s="41">
        <x:f t="shared" si="11"/>
        <x:v>0</x:v>
      </x:c>
      <x:c r="D46" s="41">
        <x:f t="shared" si="12"/>
        <x:v>0</x:v>
      </x:c>
      <x:c r="E46" s="41">
        <x:f t="shared" si="13"/>
        <x:v>0</x:v>
      </x:c>
      <x:c r="F46" s="142"/>
      <x:c r="G46" s="145"/>
      <x:c r="H46" s="36">
        <x:f t="shared" si="17"/>
        <x:v>0</x:v>
      </x:c>
      <x:c r="I46" s="41">
        <x:f t="shared" si="14"/>
        <x:v>0</x:v>
      </x:c>
      <x:c r="J46" s="41">
        <x:f t="shared" si="15"/>
        <x:v>0</x:v>
      </x:c>
      <x:c r="K46" s="41">
        <x:f t="shared" si="16"/>
        <x:v>0</x:v>
      </x:c>
      <x:c r="L46" s="150"/>
      <x:c r="M46" s="153"/>
    </x:row>
    <x:row r="47" spans="2:13" s="18" customFormat="1" ht="24.949999999999999" customHeight="1">
      <x:c r="B47" s="36">
        <x:f t="shared" si="10"/>
        <x:v>0</x:v>
      </x:c>
      <x:c r="C47" s="41">
        <x:f t="shared" si="11"/>
        <x:v>0</x:v>
      </x:c>
      <x:c r="D47" s="41">
        <x:f t="shared" si="12"/>
        <x:v>0</x:v>
      </x:c>
      <x:c r="E47" s="41">
        <x:f t="shared" si="13"/>
        <x:v>0</x:v>
      </x:c>
      <x:c r="F47" s="142"/>
      <x:c r="G47" s="145"/>
      <x:c r="H47" s="36">
        <x:f t="shared" si="17"/>
        <x:v>0</x:v>
      </x:c>
      <x:c r="I47" s="41">
        <x:f t="shared" si="14"/>
        <x:v>0</x:v>
      </x:c>
      <x:c r="J47" s="41">
        <x:f t="shared" si="15"/>
        <x:v>0</x:v>
      </x:c>
      <x:c r="K47" s="41">
        <x:f t="shared" si="16"/>
        <x:v>0</x:v>
      </x:c>
      <x:c r="L47" s="150"/>
      <x:c r="M47" s="153"/>
    </x:row>
    <x:row r="48" spans="2:13" s="18" customFormat="1" ht="24.949999999999999" customHeight="1">
      <x:c r="B48" s="37"/>
      <x:c r="C48" s="42">
        <x:f>SUM(C42:C47)</x:f>
        <x:v>0</x:v>
      </x:c>
      <x:c r="D48" s="42">
        <x:f>SUM(D42:D47)</x:f>
        <x:v>0</x:v>
      </x:c>
      <x:c r="E48" s="42">
        <x:f>SUM(E42:E47)</x:f>
        <x:v>0</x:v>
      </x:c>
      <x:c r="F48" s="143"/>
      <x:c r="G48" s="146"/>
      <x:c r="H48" s="37"/>
      <x:c r="I48" s="42">
        <x:f>SUM(I42:I47)</x:f>
        <x:v>0</x:v>
      </x:c>
      <x:c r="J48" s="42">
        <x:f>SUM(J42:J47)</x:f>
        <x:v>0</x:v>
      </x:c>
      <x:c r="K48" s="42">
        <x:f>SUM(K42:K47)</x:f>
        <x:v>0</x:v>
      </x:c>
      <x:c r="L48" s="151"/>
      <x:c r="M48" s="154"/>
    </x:row>
    <x:row r="49" s="18" customFormat="1" ht="6" customHeight="1"/>
    <x:row r="50" spans="2:13" s="18" customFormat="1" ht="24.949999999999999" customHeight="1">
      <x:c r="B50" s="35">
        <x:f>$B16</x:f>
        <x:v>0</x:v>
      </x:c>
      <x:c r="C50" s="40">
        <x:f t="shared" ref="C50:C55" si="18">IF($T$2=0,$C16,$I16)</x:f>
        <x:v>0</x:v>
      </x:c>
      <x:c r="D50" s="40">
        <x:f t="shared" ref="D50:D55" si="19">IF($T$2=0,$D16,$J16)</x:f>
        <x:v>0</x:v>
      </x:c>
      <x:c r="E50" s="40">
        <x:f t="shared" ref="E50:E55" si="20">IF($T$2=0,$E16,$K16)</x:f>
        <x:v>0</x:v>
      </x:c>
      <x:c r="F50" s="141">
        <x:f>E56+D56+C56</x:f>
        <x:v>0</x:v>
      </x:c>
      <x:c r="G50" s="144"/>
      <x:c r="H50" s="79">
        <x:f>$B22</x:f>
        <x:v>0</x:v>
      </x:c>
      <x:c r="I50" s="40">
        <x:f t="shared" ref="I50:I55" si="21">IF($T$2=0,$C22,$I22)</x:f>
        <x:v>0</x:v>
      </x:c>
      <x:c r="J50" s="40">
        <x:f t="shared" ref="J50:J55" si="22">IF($T$2=0,$D22,$J22)</x:f>
        <x:v>0</x:v>
      </x:c>
      <x:c r="K50" s="40">
        <x:f t="shared" ref="K50:K55" si="23">IF($T$2=0,$E22,$K22)</x:f>
        <x:v>0</x:v>
      </x:c>
      <x:c r="L50" s="149">
        <x:f>K56+J56+I56</x:f>
        <x:v>0</x:v>
      </x:c>
      <x:c r="M50" s="152"/>
    </x:row>
    <x:row r="51" spans="2:13" s="17" customFormat="1" ht="24.949999999999999" customHeight="1">
      <x:c r="B51" s="36">
        <x:f>$B17</x:f>
        <x:v>0</x:v>
      </x:c>
      <x:c r="C51" s="41">
        <x:f t="shared" si="18"/>
        <x:v>0</x:v>
      </x:c>
      <x:c r="D51" s="41">
        <x:f t="shared" si="19"/>
        <x:v>0</x:v>
      </x:c>
      <x:c r="E51" s="41">
        <x:f t="shared" si="20"/>
        <x:v>0</x:v>
      </x:c>
      <x:c r="F51" s="142"/>
      <x:c r="G51" s="145"/>
      <x:c r="H51" s="36">
        <x:f>$B23</x:f>
        <x:v>0</x:v>
      </x:c>
      <x:c r="I51" s="41">
        <x:f t="shared" si="21"/>
        <x:v>0</x:v>
      </x:c>
      <x:c r="J51" s="41">
        <x:f t="shared" si="22"/>
        <x:v>0</x:v>
      </x:c>
      <x:c r="K51" s="41">
        <x:f t="shared" si="23"/>
        <x:v>0</x:v>
      </x:c>
      <x:c r="L51" s="150"/>
      <x:c r="M51" s="153"/>
    </x:row>
    <x:row r="52" spans="2:13" s="17" customFormat="1" ht="24.949999999999999" customHeight="1">
      <x:c r="B52" s="36">
        <x:f t="shared" ref="B52:B55" si="24">$B18</x:f>
        <x:v>0</x:v>
      </x:c>
      <x:c r="C52" s="41">
        <x:f t="shared" si="18"/>
        <x:v>0</x:v>
      </x:c>
      <x:c r="D52" s="41">
        <x:f t="shared" si="19"/>
        <x:v>0</x:v>
      </x:c>
      <x:c r="E52" s="41">
        <x:f t="shared" si="20"/>
        <x:v>0</x:v>
      </x:c>
      <x:c r="F52" s="142"/>
      <x:c r="G52" s="145"/>
      <x:c r="H52" s="36">
        <x:f t="shared" ref="H52:H55" si="25">$B24</x:f>
        <x:v>0</x:v>
      </x:c>
      <x:c r="I52" s="41">
        <x:f t="shared" si="21"/>
        <x:v>0</x:v>
      </x:c>
      <x:c r="J52" s="41">
        <x:f t="shared" si="22"/>
        <x:v>0</x:v>
      </x:c>
      <x:c r="K52" s="41">
        <x:f t="shared" si="23"/>
        <x:v>0</x:v>
      </x:c>
      <x:c r="L52" s="150"/>
      <x:c r="M52" s="153"/>
    </x:row>
    <x:row r="53" spans="2:13" s="17" customFormat="1" ht="24.949999999999999" customHeight="1">
      <x:c r="B53" s="36">
        <x:f t="shared" si="24"/>
        <x:v>0</x:v>
      </x:c>
      <x:c r="C53" s="41">
        <x:f t="shared" si="18"/>
        <x:v>0</x:v>
      </x:c>
      <x:c r="D53" s="41">
        <x:f t="shared" si="19"/>
        <x:v>0</x:v>
      </x:c>
      <x:c r="E53" s="41">
        <x:f t="shared" si="20"/>
        <x:v>0</x:v>
      </x:c>
      <x:c r="F53" s="142"/>
      <x:c r="G53" s="145"/>
      <x:c r="H53" s="36">
        <x:f t="shared" si="25"/>
        <x:v>0</x:v>
      </x:c>
      <x:c r="I53" s="41">
        <x:f t="shared" si="21"/>
        <x:v>0</x:v>
      </x:c>
      <x:c r="J53" s="41">
        <x:f t="shared" si="22"/>
        <x:v>0</x:v>
      </x:c>
      <x:c r="K53" s="41">
        <x:f t="shared" si="23"/>
        <x:v>0</x:v>
      </x:c>
      <x:c r="L53" s="150"/>
      <x:c r="M53" s="153"/>
    </x:row>
    <x:row r="54" spans="2:13" s="17" customFormat="1" ht="24.949999999999999" customHeight="1">
      <x:c r="B54" s="36">
        <x:f t="shared" si="24"/>
        <x:v>0</x:v>
      </x:c>
      <x:c r="C54" s="41">
        <x:f t="shared" si="18"/>
        <x:v>0</x:v>
      </x:c>
      <x:c r="D54" s="41">
        <x:f t="shared" si="19"/>
        <x:v>0</x:v>
      </x:c>
      <x:c r="E54" s="41">
        <x:f t="shared" si="20"/>
        <x:v>0</x:v>
      </x:c>
      <x:c r="F54" s="142"/>
      <x:c r="G54" s="145"/>
      <x:c r="H54" s="36">
        <x:f t="shared" si="25"/>
        <x:v>0</x:v>
      </x:c>
      <x:c r="I54" s="41">
        <x:f t="shared" si="21"/>
        <x:v>0</x:v>
      </x:c>
      <x:c r="J54" s="41">
        <x:f t="shared" si="22"/>
        <x:v>0</x:v>
      </x:c>
      <x:c r="K54" s="41">
        <x:f t="shared" si="23"/>
        <x:v>0</x:v>
      </x:c>
      <x:c r="L54" s="150"/>
      <x:c r="M54" s="153"/>
    </x:row>
    <x:row r="55" spans="2:13" s="17" customFormat="1" ht="24.949999999999999" customHeight="1">
      <x:c r="B55" s="36">
        <x:f t="shared" si="24"/>
        <x:v>0</x:v>
      </x:c>
      <x:c r="C55" s="41">
        <x:f t="shared" si="18"/>
        <x:v>0</x:v>
      </x:c>
      <x:c r="D55" s="41">
        <x:f t="shared" si="19"/>
        <x:v>0</x:v>
      </x:c>
      <x:c r="E55" s="41">
        <x:f t="shared" si="20"/>
        <x:v>0</x:v>
      </x:c>
      <x:c r="F55" s="142"/>
      <x:c r="G55" s="145"/>
      <x:c r="H55" s="36">
        <x:f t="shared" si="25"/>
        <x:v>0</x:v>
      </x:c>
      <x:c r="I55" s="41">
        <x:f t="shared" si="21"/>
        <x:v>0</x:v>
      </x:c>
      <x:c r="J55" s="41">
        <x:f t="shared" si="22"/>
        <x:v>0</x:v>
      </x:c>
      <x:c r="K55" s="41">
        <x:f t="shared" si="23"/>
        <x:v>0</x:v>
      </x:c>
      <x:c r="L55" s="150"/>
      <x:c r="M55" s="153"/>
    </x:row>
    <x:row r="56" spans="2:13" s="17" customFormat="1" ht="24.949999999999999" customHeight="1">
      <x:c r="B56" s="37"/>
      <x:c r="C56" s="42">
        <x:f>SUM(C50:C55)</x:f>
        <x:v>0</x:v>
      </x:c>
      <x:c r="D56" s="42">
        <x:f>SUM(D50:D55)</x:f>
        <x:v>0</x:v>
      </x:c>
      <x:c r="E56" s="42">
        <x:f>SUM(E50:E55)</x:f>
        <x:v>0</x:v>
      </x:c>
      <x:c r="F56" s="143"/>
      <x:c r="G56" s="146"/>
      <x:c r="H56" s="37"/>
      <x:c r="I56" s="42">
        <x:f>SUM(I50:I55)</x:f>
        <x:v>0</x:v>
      </x:c>
      <x:c r="J56" s="42">
        <x:f>SUM(J50:J55)</x:f>
        <x:v>0</x:v>
      </x:c>
      <x:c r="K56" s="42">
        <x:f>SUM(K50:K55)</x:f>
        <x:v>0</x:v>
      </x:c>
      <x:c r="L56" s="151"/>
      <x:c r="M56" s="154"/>
    </x:row>
    <x:row r="57" ht="6" customHeight="1"/>
    <x:row r="58" spans="2:13" ht="24.949999999999999" customHeight="1">
      <x:c r="B58" s="35">
        <x:f>$B28</x:f>
        <x:v>0</x:v>
      </x:c>
      <x:c r="C58" s="40">
        <x:f t="shared" ref="C58:C63" si="26">IF($T$2=0,$C28,$I28)</x:f>
        <x:v>0</x:v>
      </x:c>
      <x:c r="D58" s="40">
        <x:f t="shared" ref="D58:D63" si="27">IF($T$2=0,$D28,$J28)</x:f>
        <x:v>0</x:v>
      </x:c>
      <x:c r="E58" s="40">
        <x:f t="shared" ref="E58:E63" si="28">IF($T$2=0,$E28,$K28)</x:f>
        <x:v>0</x:v>
      </x:c>
      <x:c r="F58" s="141">
        <x:f>E64+D64+C64</x:f>
        <x:v>0</x:v>
      </x:c>
      <x:c r="G58" s="144"/>
      <x:c r="H58" s="18"/>
      <x:c r="I58" s="80"/>
      <x:c r="J58" s="80"/>
      <x:c r="K58" s="80"/>
      <x:c r="L58" s="147"/>
      <x:c r="M58" s="148"/>
    </x:row>
    <x:row r="59" spans="2:13" ht="24.949999999999999" customHeight="1">
      <x:c r="B59" s="36">
        <x:f>$B29</x:f>
        <x:v>0</x:v>
      </x:c>
      <x:c r="C59" s="41">
        <x:f t="shared" si="26"/>
        <x:v>0</x:v>
      </x:c>
      <x:c r="D59" s="41">
        <x:f t="shared" si="27"/>
        <x:v>0</x:v>
      </x:c>
      <x:c r="E59" s="41">
        <x:f t="shared" si="28"/>
        <x:v>0</x:v>
      </x:c>
      <x:c r="F59" s="142"/>
      <x:c r="G59" s="145"/>
      <x:c r="H59" s="18"/>
      <x:c r="I59" s="80"/>
      <x:c r="J59" s="80"/>
      <x:c r="K59" s="80"/>
      <x:c r="L59" s="147"/>
      <x:c r="M59" s="148"/>
    </x:row>
    <x:row r="60" spans="2:13" ht="24.949999999999999" customHeight="1">
      <x:c r="B60" s="36">
        <x:f t="shared" ref="B60:B63" si="29">$B30</x:f>
        <x:v>0</x:v>
      </x:c>
      <x:c r="C60" s="41">
        <x:f t="shared" si="26"/>
        <x:v>0</x:v>
      </x:c>
      <x:c r="D60" s="41">
        <x:f t="shared" si="27"/>
        <x:v>0</x:v>
      </x:c>
      <x:c r="E60" s="41">
        <x:f t="shared" si="28"/>
        <x:v>0</x:v>
      </x:c>
      <x:c r="F60" s="142"/>
      <x:c r="G60" s="145"/>
      <x:c r="H60" s="18"/>
      <x:c r="I60" s="80"/>
      <x:c r="J60" s="80"/>
      <x:c r="K60" s="80"/>
      <x:c r="L60" s="147"/>
      <x:c r="M60" s="148"/>
    </x:row>
    <x:row r="61" spans="2:13" ht="24.949999999999999" customHeight="1">
      <x:c r="B61" s="36">
        <x:f t="shared" si="29"/>
        <x:v>0</x:v>
      </x:c>
      <x:c r="C61" s="41">
        <x:f t="shared" si="26"/>
        <x:v>0</x:v>
      </x:c>
      <x:c r="D61" s="41">
        <x:f t="shared" si="27"/>
        <x:v>0</x:v>
      </x:c>
      <x:c r="E61" s="41">
        <x:f t="shared" si="28"/>
        <x:v>0</x:v>
      </x:c>
      <x:c r="F61" s="142"/>
      <x:c r="G61" s="145"/>
      <x:c r="H61" s="18"/>
      <x:c r="I61" s="80"/>
      <x:c r="J61" s="80"/>
      <x:c r="K61" s="80"/>
      <x:c r="L61" s="147"/>
      <x:c r="M61" s="148"/>
    </x:row>
    <x:row r="62" spans="2:13" ht="24.949999999999999" customHeight="1">
      <x:c r="B62" s="36">
        <x:f t="shared" si="29"/>
        <x:v>0</x:v>
      </x:c>
      <x:c r="C62" s="41">
        <x:f t="shared" si="26"/>
        <x:v>0</x:v>
      </x:c>
      <x:c r="D62" s="41">
        <x:f t="shared" si="27"/>
        <x:v>0</x:v>
      </x:c>
      <x:c r="E62" s="41">
        <x:f t="shared" si="28"/>
        <x:v>0</x:v>
      </x:c>
      <x:c r="F62" s="142"/>
      <x:c r="G62" s="145"/>
      <x:c r="H62" s="18"/>
      <x:c r="I62" s="80"/>
      <x:c r="J62" s="80"/>
      <x:c r="K62" s="80"/>
      <x:c r="L62" s="147"/>
      <x:c r="M62" s="148"/>
    </x:row>
    <x:row r="63" spans="2:13" ht="24.949999999999999" customHeight="1">
      <x:c r="B63" s="36">
        <x:f t="shared" si="29"/>
        <x:v>0</x:v>
      </x:c>
      <x:c r="C63" s="41">
        <x:f t="shared" si="26"/>
        <x:v>0</x:v>
      </x:c>
      <x:c r="D63" s="41">
        <x:f t="shared" si="27"/>
        <x:v>0</x:v>
      </x:c>
      <x:c r="E63" s="41">
        <x:f t="shared" si="28"/>
        <x:v>0</x:v>
      </x:c>
      <x:c r="F63" s="142"/>
      <x:c r="G63" s="145"/>
      <x:c r="H63" s="18"/>
      <x:c r="I63" s="80"/>
      <x:c r="J63" s="80"/>
      <x:c r="K63" s="80"/>
      <x:c r="L63" s="147"/>
      <x:c r="M63" s="148"/>
    </x:row>
    <x:row r="64" spans="2:13" ht="24.949999999999999" customHeight="1">
      <x:c r="B64" s="37"/>
      <x:c r="C64" s="42">
        <x:f>SUM(C58:C63)</x:f>
        <x:v>0</x:v>
      </x:c>
      <x:c r="D64" s="42">
        <x:f>SUM(D58:D63)</x:f>
        <x:v>0</x:v>
      </x:c>
      <x:c r="E64" s="42">
        <x:f>SUM(E58:E63)</x:f>
        <x:v>0</x:v>
      </x:c>
      <x:c r="F64" s="143"/>
      <x:c r="G64" s="146"/>
      <x:c r="H64" s="18"/>
      <x:c r="I64" s="81"/>
      <x:c r="J64" s="81"/>
      <x:c r="K64" s="81"/>
      <x:c r="L64" s="147"/>
      <x:c r="M64" s="148"/>
    </x:row>
    <x:row r="68" spans="1:13" ht="60" customHeight="1">
      <x:c r="A68" s="185" t="str">
        <x:f>A1</x:f>
        <x:v>2026 아르케 존 00회 정기 모임 점수</x:v>
      </x:c>
      <x:c r="B68" s="185"/>
      <x:c r="C68" s="185"/>
      <x:c r="D68" s="185"/>
      <x:c r="E68" s="185"/>
      <x:c r="F68" s="185"/>
      <x:c r="G68" s="185"/>
      <x:c r="H68" s="185"/>
      <x:c r="I68" s="185"/>
      <x:c r="J68" s="185"/>
      <x:c r="K68" s="185"/>
      <x:c r="L68" s="185"/>
      <x:c r="M68" s="185"/>
    </x:row>
    <x:row r="69" spans="1:13" ht="23.699999999999999">
      <x:c r="A69" s="77"/>
      <x:c r="B69" s="77"/>
      <x:c r="C69" s="77"/>
      <x:c r="D69" s="77"/>
      <x:c r="E69" s="77"/>
      <x:c r="F69" s="77"/>
      <x:c r="G69" s="77"/>
      <x:c r="H69" s="77"/>
      <x:c r="I69" s="77"/>
      <x:c r="J69" s="77"/>
      <x:c r="K69" s="78" t="s">
        <x:v>8</x:v>
      </x:c>
      <x:c r="L69" s="166">
        <x:f>L2</x:f>
        <x:v>46113</x:v>
      </x:c>
      <x:c r="M69" s="167"/>
    </x:row>
    <x:row r="70" spans="1:13" ht="24.949999999999999" customHeight="1">
      <x:c r="A70" s="20"/>
      <x:c r="B70" s="14" t="s">
        <x:v>53</x:v>
      </x:c>
      <x:c r="C70" s="14" t="s">
        <x:v>2</x:v>
      </x:c>
      <x:c r="D70" s="14" t="s">
        <x:v>0</x:v>
      </x:c>
      <x:c r="E70" s="14" t="s">
        <x:v>10</x:v>
      </x:c>
      <x:c r="F70" s="14" t="s">
        <x:v>9</x:v>
      </x:c>
      <x:c r="G70" s="14" t="s">
        <x:v>6</x:v>
      </x:c>
      <x:c r="H70" s="16" t="s">
        <x:v>57</x:v>
      </x:c>
      <x:c r="I70" s="14" t="s">
        <x:v>2</x:v>
      </x:c>
      <x:c r="J70" s="14" t="s">
        <x:v>0</x:v>
      </x:c>
      <x:c r="K70" s="14" t="s">
        <x:v>10</x:v>
      </x:c>
      <x:c r="L70" s="15" t="s">
        <x:v>9</x:v>
      </x:c>
      <x:c r="M70" s="22" t="s">
        <x:v>13</x:v>
      </x:c>
    </x:row>
    <x:row r="71" spans="1:13" ht="24.949999999999999" customHeight="1">
      <x:c r="A71" s="12">
        <x:v>1</x:v>
      </x:c>
      <x:c r="B71" s="13">
        <x:f t="array" ref="B71:B71">INDEX($B$4:$M$33,MATCH($A71,$U$4:$U$33,0),COLUMN(A$1))</x:f>
        <x:v>0</x:v>
      </x:c>
      <x:c r="C71" s="62">
        <x:f t="array" ref="C71:C71">INDEX($B$4:$M$33,MATCH($A71,$U$4:$U$33,0),COLUMN(B$1))</x:f>
        <x:v>0</x:v>
      </x:c>
      <x:c r="D71" s="62">
        <x:f t="array" ref="D71:D71">INDEX($B$4:$M$33,MATCH($A71,$U$4:$U$33,0),COLUMN(C$1))</x:f>
        <x:v>0</x:v>
      </x:c>
      <x:c r="E71" s="62">
        <x:f t="array" ref="E71:E71">INDEX($B$4:$M$33,MATCH($A71,$U$4:$U$33,0),COLUMN(D$1))</x:f>
        <x:v>0</x:v>
      </x:c>
      <x:c r="F71" s="44">
        <x:f>SUM(C71:E71)</x:f>
        <x:v>0</x:v>
      </x:c>
      <x:c r="G71" s="45">
        <x:f>F71/3</x:f>
        <x:v>0</x:v>
      </x:c>
      <x:c r="H71" s="34" t="str">
        <x:f t="array" ref="H71:H71">IF(B71="","",IFERROR(INDEX('회원명단 및 기준에버'!D:G,MATCH(B71,'회원명단 및 기준에버'!$C:$C,0),CHOOSE(INT((MONTH($L$2)-1)/3)+1,1,2,3,4)),""))</x:f>
        <x:v/>
      </x:c>
      <x:c r="I71" s="38">
        <x:f>IFERROR(C71+-H71,0)</x:f>
        <x:v>0</x:v>
      </x:c>
      <x:c r="J71" s="38">
        <x:f>IFERROR(D71+-H71,0)</x:f>
        <x:v>0</x:v>
      </x:c>
      <x:c r="K71" s="38">
        <x:f>IFERROR(E71+-H71,0)</x:f>
        <x:v>0</x:v>
      </x:c>
      <x:c r="L71" s="63">
        <x:f>SUM(I71:K71)</x:f>
        <x:v>0</x:v>
      </x:c>
      <x:c r="M71" s="39">
        <x:f>IFERROR(G71+-H71,0)</x:f>
        <x:v>0</x:v>
      </x:c>
    </x:row>
    <x:row r="72" spans="1:13" ht="24.949999999999999" customHeight="1">
      <x:c r="A72" s="12">
        <x:v>2</x:v>
      </x:c>
      <x:c r="B72" s="13">
        <x:f t="array" ref="B72:B72">INDEX($B$4:$M$33,MATCH($A72,$U$4:$U$33,0),COLUMN(A$1))</x:f>
        <x:v>0</x:v>
      </x:c>
      <x:c r="C72" s="62">
        <x:f t="array" ref="C72:C72">INDEX($B$4:$M$33,MATCH($A72,$U$4:$U$33,0),COLUMN(B$1))</x:f>
        <x:v>0</x:v>
      </x:c>
      <x:c r="D72" s="62">
        <x:f t="array" ref="D72:D72">INDEX($B$4:$M$33,MATCH($A72,$U$4:$U$33,0),COLUMN(C$1))</x:f>
        <x:v>0</x:v>
      </x:c>
      <x:c r="E72" s="62">
        <x:f t="array" ref="E72:E72">INDEX($B$4:$M$33,MATCH($A72,$U$4:$U$33,0),COLUMN(D$1))</x:f>
        <x:v>0</x:v>
      </x:c>
      <x:c r="F72" s="44">
        <x:f>SUM(C72:E72)</x:f>
        <x:v>0</x:v>
      </x:c>
      <x:c r="G72" s="45">
        <x:f>F72/3</x:f>
        <x:v>0</x:v>
      </x:c>
      <x:c r="H72" s="34" t="str">
        <x:f t="array" ref="H72:H72">IF(B72="","",IFERROR(INDEX('회원명단 및 기준에버'!D:G,MATCH(B72,'회원명단 및 기준에버'!$C:$C,0),CHOOSE(INT((MONTH($L$2)-1)/3)+1,1,2,3,4)),""))</x:f>
        <x:v/>
      </x:c>
      <x:c r="I72" s="38">
        <x:f>IFERROR(C72+-H72,0)</x:f>
        <x:v>0</x:v>
      </x:c>
      <x:c r="J72" s="38">
        <x:f>IFERROR(D72+-H72,0)</x:f>
        <x:v>0</x:v>
      </x:c>
      <x:c r="K72" s="38">
        <x:f>IFERROR(E72+-H72,0)</x:f>
        <x:v>0</x:v>
      </x:c>
      <x:c r="L72" s="63">
        <x:f>SUM(I72:K72)</x:f>
        <x:v>0</x:v>
      </x:c>
      <x:c r="M72" s="39">
        <x:f>IFERROR(G72+-H72,0)</x:f>
        <x:v>0</x:v>
      </x:c>
    </x:row>
    <x:row r="73" spans="1:13" ht="24.949999999999999" customHeight="1">
      <x:c r="A73" s="12">
        <x:v>3</x:v>
      </x:c>
      <x:c r="B73" s="13">
        <x:f t="array" ref="B73:B73">INDEX($B$4:$M$33,MATCH($A73,$U$4:$U$33,0),COLUMN(A$1))</x:f>
        <x:v>0</x:v>
      </x:c>
      <x:c r="C73" s="62">
        <x:f t="array" ref="C73:C73">INDEX($B$4:$M$33,MATCH($A73,$U$4:$U$33,0),COLUMN(B$1))</x:f>
        <x:v>0</x:v>
      </x:c>
      <x:c r="D73" s="62">
        <x:f t="array" ref="D73:D73">INDEX($B$4:$M$33,MATCH($A73,$U$4:$U$33,0),COLUMN(C$1))</x:f>
        <x:v>0</x:v>
      </x:c>
      <x:c r="E73" s="62">
        <x:f t="array" ref="E73:E73">INDEX($B$4:$M$33,MATCH($A73,$U$4:$U$33,0),COLUMN(D$1))</x:f>
        <x:v>0</x:v>
      </x:c>
      <x:c r="F73" s="44">
        <x:f>SUM(C73:E73)</x:f>
        <x:v>0</x:v>
      </x:c>
      <x:c r="G73" s="45">
        <x:f>F73/3</x:f>
        <x:v>0</x:v>
      </x:c>
      <x:c r="H73" s="34" t="str">
        <x:f t="array" ref="H73:H73">IF(B73="","",IFERROR(INDEX('회원명단 및 기준에버'!D:G,MATCH(B73,'회원명단 및 기준에버'!$C:$C,0),CHOOSE(INT((MONTH($L$2)-1)/3)+1,1,2,3,4)),""))</x:f>
        <x:v/>
      </x:c>
      <x:c r="I73" s="38">
        <x:f t="shared" ref="I73:I100" si="30">IFERROR(C73+-H73,0)</x:f>
        <x:v>0</x:v>
      </x:c>
      <x:c r="J73" s="38">
        <x:f t="shared" ref="J73:J100" si="31">IFERROR(D73+-H73,0)</x:f>
        <x:v>0</x:v>
      </x:c>
      <x:c r="K73" s="38">
        <x:f t="shared" ref="K73:K100" si="32">IFERROR(E73+-H73,0)</x:f>
        <x:v>0</x:v>
      </x:c>
      <x:c r="L73" s="63">
        <x:f t="shared" ref="L73:L100" si="33">SUM(I73:K73)</x:f>
        <x:v>0</x:v>
      </x:c>
      <x:c r="M73" s="39">
        <x:f t="shared" ref="M73:M100" si="34">IFERROR(G73+-H73,0)</x:f>
        <x:v>0</x:v>
      </x:c>
    </x:row>
    <x:row r="74" spans="1:13" ht="24.949999999999999" customHeight="1">
      <x:c r="A74" s="12">
        <x:v>4</x:v>
      </x:c>
      <x:c r="B74" s="13">
        <x:f t="array" ref="B74:B74">INDEX($B$4:$M$33,MATCH($A74,$U$4:$U$33,0),COLUMN(A$1))</x:f>
        <x:v>0</x:v>
      </x:c>
      <x:c r="C74" s="62">
        <x:f t="array" ref="C74:C74">INDEX($B$4:$M$33,MATCH($A74,$U$4:$U$33,0),COLUMN(B$1))</x:f>
        <x:v>0</x:v>
      </x:c>
      <x:c r="D74" s="62">
        <x:f t="array" ref="D74:D74">INDEX($B$4:$M$33,MATCH($A74,$U$4:$U$33,0),COLUMN(C$1))</x:f>
        <x:v>0</x:v>
      </x:c>
      <x:c r="E74" s="62">
        <x:f t="array" ref="E74:E74">INDEX($B$4:$M$33,MATCH($A74,$U$4:$U$33,0),COLUMN(D$1))</x:f>
        <x:v>0</x:v>
      </x:c>
      <x:c r="F74" s="44">
        <x:f>SUM(C74:E74)</x:f>
        <x:v>0</x:v>
      </x:c>
      <x:c r="G74" s="45">
        <x:f>F74/3</x:f>
        <x:v>0</x:v>
      </x:c>
      <x:c r="H74" s="34" t="str">
        <x:f t="array" ref="H74:H74">IF(B74="","",IFERROR(INDEX('회원명단 및 기준에버'!D:G,MATCH(B74,'회원명단 및 기준에버'!$C:$C,0),CHOOSE(INT((MONTH($L$2)-1)/3)+1,1,2,3,4)),""))</x:f>
        <x:v/>
      </x:c>
      <x:c r="I74" s="38">
        <x:f t="shared" si="30"/>
        <x:v>0</x:v>
      </x:c>
      <x:c r="J74" s="38">
        <x:f t="shared" si="31"/>
        <x:v>0</x:v>
      </x:c>
      <x:c r="K74" s="38">
        <x:f t="shared" si="32"/>
        <x:v>0</x:v>
      </x:c>
      <x:c r="L74" s="63">
        <x:f t="shared" si="33"/>
        <x:v>0</x:v>
      </x:c>
      <x:c r="M74" s="39">
        <x:f t="shared" si="34"/>
        <x:v>0</x:v>
      </x:c>
    </x:row>
    <x:row r="75" spans="1:13" ht="24.949999999999999" customHeight="1">
      <x:c r="A75" s="12">
        <x:v>5</x:v>
      </x:c>
      <x:c r="B75" s="13">
        <x:f t="array" ref="B75:B75">INDEX($B$4:$M$33,MATCH($A75,$U$4:$U$33,0),COLUMN(A$1))</x:f>
        <x:v>0</x:v>
      </x:c>
      <x:c r="C75" s="62">
        <x:f t="array" ref="C75:C75">INDEX($B$4:$M$33,MATCH($A75,$U$4:$U$33,0),COLUMN(B$1))</x:f>
        <x:v>0</x:v>
      </x:c>
      <x:c r="D75" s="62">
        <x:f t="array" ref="D75:D75">INDEX($B$4:$M$33,MATCH($A75,$U$4:$U$33,0),COLUMN(C$1))</x:f>
        <x:v>0</x:v>
      </x:c>
      <x:c r="E75" s="62">
        <x:f t="array" ref="E75:E75">INDEX($B$4:$M$33,MATCH($A75,$U$4:$U$33,0),COLUMN(D$1))</x:f>
        <x:v>0</x:v>
      </x:c>
      <x:c r="F75" s="44">
        <x:f t="shared" ref="F75:F100" si="35">SUM(C75:E75)</x:f>
        <x:v>0</x:v>
      </x:c>
      <x:c r="G75" s="45">
        <x:f t="shared" ref="G75:G100" si="36">F75/3</x:f>
        <x:v>0</x:v>
      </x:c>
      <x:c r="H75" s="34" t="str">
        <x:f t="array" ref="H75:H75">IF(B75="","",IFERROR(INDEX('회원명단 및 기준에버'!D:G,MATCH(B75,'회원명단 및 기준에버'!$C:$C,0),CHOOSE(INT((MONTH($L$2)-1)/3)+1,1,2,3,4)),""))</x:f>
        <x:v/>
      </x:c>
      <x:c r="I75" s="38">
        <x:f t="shared" si="30"/>
        <x:v>0</x:v>
      </x:c>
      <x:c r="J75" s="38">
        <x:f t="shared" si="31"/>
        <x:v>0</x:v>
      </x:c>
      <x:c r="K75" s="38">
        <x:f t="shared" si="32"/>
        <x:v>0</x:v>
      </x:c>
      <x:c r="L75" s="63">
        <x:f t="shared" si="33"/>
        <x:v>0</x:v>
      </x:c>
      <x:c r="M75" s="39">
        <x:f t="shared" si="34"/>
        <x:v>0</x:v>
      </x:c>
    </x:row>
    <x:row r="76" spans="1:13" ht="24.949999999999999" customHeight="1">
      <x:c r="A76" s="12">
        <x:v>6</x:v>
      </x:c>
      <x:c r="B76" s="13">
        <x:f t="array" ref="B76:B76">INDEX($B$4:$M$33,MATCH($A76,$U$4:$U$33,0),COLUMN(A$1))</x:f>
        <x:v>0</x:v>
      </x:c>
      <x:c r="C76" s="62">
        <x:f t="array" ref="C76:C76">INDEX($B$4:$M$33,MATCH($A76,$U$4:$U$33,0),COLUMN(B$1))</x:f>
        <x:v>0</x:v>
      </x:c>
      <x:c r="D76" s="62">
        <x:f t="array" ref="D76:D76">INDEX($B$4:$M$33,MATCH($A76,$U$4:$U$33,0),COLUMN(C$1))</x:f>
        <x:v>0</x:v>
      </x:c>
      <x:c r="E76" s="62">
        <x:f t="array" ref="E76:E76">INDEX($B$4:$M$33,MATCH($A76,$U$4:$U$33,0),COLUMN(D$1))</x:f>
        <x:v>0</x:v>
      </x:c>
      <x:c r="F76" s="44">
        <x:f t="shared" si="35"/>
        <x:v>0</x:v>
      </x:c>
      <x:c r="G76" s="45">
        <x:f t="shared" si="36"/>
        <x:v>0</x:v>
      </x:c>
      <x:c r="H76" s="34" t="str">
        <x:f t="array" ref="H76:H76">IF(B76="","",IFERROR(INDEX('회원명단 및 기준에버'!D:G,MATCH(B76,'회원명단 및 기준에버'!$C:$C,0),CHOOSE(INT((MONTH($L$2)-1)/3)+1,1,2,3,4)),""))</x:f>
        <x:v/>
      </x:c>
      <x:c r="I76" s="38">
        <x:f t="shared" si="30"/>
        <x:v>0</x:v>
      </x:c>
      <x:c r="J76" s="38">
        <x:f t="shared" si="31"/>
        <x:v>0</x:v>
      </x:c>
      <x:c r="K76" s="38">
        <x:f t="shared" si="32"/>
        <x:v>0</x:v>
      </x:c>
      <x:c r="L76" s="63">
        <x:f t="shared" si="33"/>
        <x:v>0</x:v>
      </x:c>
      <x:c r="M76" s="39">
        <x:f t="shared" si="34"/>
        <x:v>0</x:v>
      </x:c>
    </x:row>
    <x:row r="77" spans="1:13" ht="24.949999999999999" customHeight="1">
      <x:c r="A77" s="12">
        <x:v>7</x:v>
      </x:c>
      <x:c r="B77" s="13">
        <x:f t="array" ref="B77:B77">INDEX($B$4:$M$33,MATCH($A77,$U$4:$U$33,0),COLUMN(A$1))</x:f>
        <x:v>0</x:v>
      </x:c>
      <x:c r="C77" s="62">
        <x:f t="array" ref="C77:C77">INDEX($B$4:$M$33,MATCH($A77,$U$4:$U$33,0),COLUMN(B$1))</x:f>
        <x:v>0</x:v>
      </x:c>
      <x:c r="D77" s="62">
        <x:f t="array" ref="D77:D77">INDEX($B$4:$M$33,MATCH($A77,$U$4:$U$33,0),COLUMN(C$1))</x:f>
        <x:v>0</x:v>
      </x:c>
      <x:c r="E77" s="62">
        <x:f t="array" ref="E77:E77">INDEX($B$4:$M$33,MATCH($A77,$U$4:$U$33,0),COLUMN(D$1))</x:f>
        <x:v>0</x:v>
      </x:c>
      <x:c r="F77" s="44">
        <x:f t="shared" si="35"/>
        <x:v>0</x:v>
      </x:c>
      <x:c r="G77" s="45">
        <x:f t="shared" si="36"/>
        <x:v>0</x:v>
      </x:c>
      <x:c r="H77" s="34" t="str">
        <x:f t="array" ref="H77:H77">IF(B77="","",IFERROR(INDEX('회원명단 및 기준에버'!D:G,MATCH(B77,'회원명단 및 기준에버'!$C:$C,0),CHOOSE(INT((MONTH($L$2)-1)/3)+1,1,2,3,4)),""))</x:f>
        <x:v/>
      </x:c>
      <x:c r="I77" s="38">
        <x:f t="shared" si="30"/>
        <x:v>0</x:v>
      </x:c>
      <x:c r="J77" s="38">
        <x:f t="shared" si="31"/>
        <x:v>0</x:v>
      </x:c>
      <x:c r="K77" s="38">
        <x:f t="shared" si="32"/>
        <x:v>0</x:v>
      </x:c>
      <x:c r="L77" s="63">
        <x:f t="shared" si="33"/>
        <x:v>0</x:v>
      </x:c>
      <x:c r="M77" s="39">
        <x:f t="shared" si="34"/>
        <x:v>0</x:v>
      </x:c>
    </x:row>
    <x:row r="78" spans="1:13" ht="24.949999999999999" customHeight="1">
      <x:c r="A78" s="12">
        <x:v>8</x:v>
      </x:c>
      <x:c r="B78" s="13">
        <x:f t="array" ref="B78:B78">INDEX($B$4:$M$33,MATCH($A78,$U$4:$U$33,0),COLUMN(A$1))</x:f>
        <x:v>0</x:v>
      </x:c>
      <x:c r="C78" s="62">
        <x:f t="array" ref="C78:C78">INDEX($B$4:$M$33,MATCH($A78,$U$4:$U$33,0),COLUMN(B$1))</x:f>
        <x:v>0</x:v>
      </x:c>
      <x:c r="D78" s="62">
        <x:f t="array" ref="D78:D78">INDEX($B$4:$M$33,MATCH($A78,$U$4:$U$33,0),COLUMN(C$1))</x:f>
        <x:v>0</x:v>
      </x:c>
      <x:c r="E78" s="62">
        <x:f t="array" ref="E78:E78">INDEX($B$4:$M$33,MATCH($A78,$U$4:$U$33,0),COLUMN(D$1))</x:f>
        <x:v>0</x:v>
      </x:c>
      <x:c r="F78" s="44">
        <x:f t="shared" si="35"/>
        <x:v>0</x:v>
      </x:c>
      <x:c r="G78" s="45">
        <x:f t="shared" si="36"/>
        <x:v>0</x:v>
      </x:c>
      <x:c r="H78" s="34" t="str">
        <x:f t="array" ref="H78:H78">IF(B78="","",IFERROR(INDEX('회원명단 및 기준에버'!D:G,MATCH(B78,'회원명단 및 기준에버'!$C:$C,0),CHOOSE(INT((MONTH($L$2)-1)/3)+1,1,2,3,4)),""))</x:f>
        <x:v/>
      </x:c>
      <x:c r="I78" s="38">
        <x:f t="shared" si="30"/>
        <x:v>0</x:v>
      </x:c>
      <x:c r="J78" s="38">
        <x:f t="shared" si="31"/>
        <x:v>0</x:v>
      </x:c>
      <x:c r="K78" s="38">
        <x:f t="shared" si="32"/>
        <x:v>0</x:v>
      </x:c>
      <x:c r="L78" s="63">
        <x:f t="shared" si="33"/>
        <x:v>0</x:v>
      </x:c>
      <x:c r="M78" s="39">
        <x:f t="shared" si="34"/>
        <x:v>0</x:v>
      </x:c>
    </x:row>
    <x:row r="79" spans="1:13" ht="24.949999999999999" customHeight="1">
      <x:c r="A79" s="12">
        <x:v>9</x:v>
      </x:c>
      <x:c r="B79" s="13">
        <x:f t="array" ref="B79:B79">INDEX($B$4:$M$33,MATCH($A79,$U$4:$U$33,0),COLUMN(A$1))</x:f>
        <x:v>0</x:v>
      </x:c>
      <x:c r="C79" s="62">
        <x:f t="array" ref="C79:C79">INDEX($B$4:$M$33,MATCH($A79,$U$4:$U$33,0),COLUMN(B$1))</x:f>
        <x:v>0</x:v>
      </x:c>
      <x:c r="D79" s="62">
        <x:f t="array" ref="D79:D79">INDEX($B$4:$M$33,MATCH($A79,$U$4:$U$33,0),COLUMN(C$1))</x:f>
        <x:v>0</x:v>
      </x:c>
      <x:c r="E79" s="62">
        <x:f t="array" ref="E79:E79">INDEX($B$4:$M$33,MATCH($A79,$U$4:$U$33,0),COLUMN(D$1))</x:f>
        <x:v>0</x:v>
      </x:c>
      <x:c r="F79" s="44">
        <x:f t="shared" si="35"/>
        <x:v>0</x:v>
      </x:c>
      <x:c r="G79" s="45">
        <x:f t="shared" si="36"/>
        <x:v>0</x:v>
      </x:c>
      <x:c r="H79" s="34" t="str">
        <x:f t="array" ref="H79:H79">IF(B79="","",IFERROR(INDEX('회원명단 및 기준에버'!D:G,MATCH(B79,'회원명단 및 기준에버'!$C:$C,0),CHOOSE(INT((MONTH($L$2)-1)/3)+1,1,2,3,4)),""))</x:f>
        <x:v/>
      </x:c>
      <x:c r="I79" s="38">
        <x:f t="shared" si="30"/>
        <x:v>0</x:v>
      </x:c>
      <x:c r="J79" s="38">
        <x:f t="shared" si="31"/>
        <x:v>0</x:v>
      </x:c>
      <x:c r="K79" s="38">
        <x:f t="shared" si="32"/>
        <x:v>0</x:v>
      </x:c>
      <x:c r="L79" s="63">
        <x:f t="shared" si="33"/>
        <x:v>0</x:v>
      </x:c>
      <x:c r="M79" s="39">
        <x:f t="shared" si="34"/>
        <x:v>0</x:v>
      </x:c>
    </x:row>
    <x:row r="80" spans="1:13" ht="24.949999999999999" customHeight="1">
      <x:c r="A80" s="12">
        <x:v>10</x:v>
      </x:c>
      <x:c r="B80" s="13">
        <x:f t="array" ref="B80:B80">INDEX($B$4:$M$33,MATCH($A80,$U$4:$U$33,0),COLUMN(A$1))</x:f>
        <x:v>0</x:v>
      </x:c>
      <x:c r="C80" s="62">
        <x:f t="array" ref="C80:C80">INDEX($B$4:$M$33,MATCH($A80,$U$4:$U$33,0),COLUMN(B$1))</x:f>
        <x:v>0</x:v>
      </x:c>
      <x:c r="D80" s="62">
        <x:f t="array" ref="D80:D80">INDEX($B$4:$M$33,MATCH($A80,$U$4:$U$33,0),COLUMN(C$1))</x:f>
        <x:v>0</x:v>
      </x:c>
      <x:c r="E80" s="62">
        <x:f t="array" ref="E80:E80">INDEX($B$4:$M$33,MATCH($A80,$U$4:$U$33,0),COLUMN(D$1))</x:f>
        <x:v>0</x:v>
      </x:c>
      <x:c r="F80" s="44">
        <x:f t="shared" si="35"/>
        <x:v>0</x:v>
      </x:c>
      <x:c r="G80" s="45">
        <x:f t="shared" si="36"/>
        <x:v>0</x:v>
      </x:c>
      <x:c r="H80" s="34" t="str">
        <x:f t="array" ref="H80:H80">IF(B80="","",IFERROR(INDEX('회원명단 및 기준에버'!D:G,MATCH(B80,'회원명단 및 기준에버'!$C:$C,0),CHOOSE(INT((MONTH($L$2)-1)/3)+1,1,2,3,4)),""))</x:f>
        <x:v/>
      </x:c>
      <x:c r="I80" s="38">
        <x:f t="shared" si="30"/>
        <x:v>0</x:v>
      </x:c>
      <x:c r="J80" s="38">
        <x:f t="shared" si="31"/>
        <x:v>0</x:v>
      </x:c>
      <x:c r="K80" s="38">
        <x:f t="shared" si="32"/>
        <x:v>0</x:v>
      </x:c>
      <x:c r="L80" s="63">
        <x:f t="shared" si="33"/>
        <x:v>0</x:v>
      </x:c>
      <x:c r="M80" s="39">
        <x:f t="shared" si="34"/>
        <x:v>0</x:v>
      </x:c>
    </x:row>
    <x:row r="81" spans="1:13" ht="24.949999999999999" customHeight="1">
      <x:c r="A81" s="12">
        <x:v>11</x:v>
      </x:c>
      <x:c r="B81" s="13">
        <x:f t="array" ref="B81:B81">INDEX($B$4:$M$33,MATCH($A81,$U$4:$U$33,0),COLUMN(A$1))</x:f>
        <x:v>0</x:v>
      </x:c>
      <x:c r="C81" s="62">
        <x:f t="array" ref="C81:C81">INDEX($B$4:$M$33,MATCH($A81,$U$4:$U$33,0),COLUMN(B$1))</x:f>
        <x:v>0</x:v>
      </x:c>
      <x:c r="D81" s="62">
        <x:f t="array" ref="D81:D81">INDEX($B$4:$M$33,MATCH($A81,$U$4:$U$33,0),COLUMN(C$1))</x:f>
        <x:v>0</x:v>
      </x:c>
      <x:c r="E81" s="62">
        <x:f t="array" ref="E81:E81">INDEX($B$4:$M$33,MATCH($A81,$U$4:$U$33,0),COLUMN(D$1))</x:f>
        <x:v>0</x:v>
      </x:c>
      <x:c r="F81" s="44">
        <x:f t="shared" si="35"/>
        <x:v>0</x:v>
      </x:c>
      <x:c r="G81" s="45">
        <x:f t="shared" si="36"/>
        <x:v>0</x:v>
      </x:c>
      <x:c r="H81" s="34" t="str">
        <x:f t="array" ref="H81:H81">IF(B81="","",IFERROR(INDEX('회원명단 및 기준에버'!D:G,MATCH(B81,'회원명단 및 기준에버'!$C:$C,0),CHOOSE(INT((MONTH($L$2)-1)/3)+1,1,2,3,4)),""))</x:f>
        <x:v/>
      </x:c>
      <x:c r="I81" s="38">
        <x:f t="shared" si="30"/>
        <x:v>0</x:v>
      </x:c>
      <x:c r="J81" s="38">
        <x:f t="shared" si="31"/>
        <x:v>0</x:v>
      </x:c>
      <x:c r="K81" s="38">
        <x:f t="shared" si="32"/>
        <x:v>0</x:v>
      </x:c>
      <x:c r="L81" s="63">
        <x:f t="shared" si="33"/>
        <x:v>0</x:v>
      </x:c>
      <x:c r="M81" s="39">
        <x:f t="shared" si="34"/>
        <x:v>0</x:v>
      </x:c>
    </x:row>
    <x:row r="82" spans="1:13" ht="24.949999999999999" customHeight="1">
      <x:c r="A82" s="12">
        <x:v>12</x:v>
      </x:c>
      <x:c r="B82" s="13">
        <x:f t="array" ref="B82:B82">INDEX($B$4:$M$33,MATCH($A82,$U$4:$U$33,0),COLUMN(A$1))</x:f>
        <x:v>0</x:v>
      </x:c>
      <x:c r="C82" s="62">
        <x:f t="array" ref="C82:C82">INDEX($B$4:$M$33,MATCH($A82,$U$4:$U$33,0),COLUMN(B$1))</x:f>
        <x:v>0</x:v>
      </x:c>
      <x:c r="D82" s="62">
        <x:f t="array" ref="D82:D82">INDEX($B$4:$M$33,MATCH($A82,$U$4:$U$33,0),COLUMN(C$1))</x:f>
        <x:v>0</x:v>
      </x:c>
      <x:c r="E82" s="62">
        <x:f t="array" ref="E82:E82">INDEX($B$4:$M$33,MATCH($A82,$U$4:$U$33,0),COLUMN(D$1))</x:f>
        <x:v>0</x:v>
      </x:c>
      <x:c r="F82" s="44">
        <x:f t="shared" si="35"/>
        <x:v>0</x:v>
      </x:c>
      <x:c r="G82" s="45">
        <x:f t="shared" si="36"/>
        <x:v>0</x:v>
      </x:c>
      <x:c r="H82" s="34" t="str">
        <x:f t="array" ref="H82:H82">IF(B82="","",IFERROR(INDEX('회원명단 및 기준에버'!D:G,MATCH(B82,'회원명단 및 기준에버'!$C:$C,0),CHOOSE(INT((MONTH($L$2)-1)/3)+1,1,2,3,4)),""))</x:f>
        <x:v/>
      </x:c>
      <x:c r="I82" s="38">
        <x:f t="shared" si="30"/>
        <x:v>0</x:v>
      </x:c>
      <x:c r="J82" s="38">
        <x:f t="shared" si="31"/>
        <x:v>0</x:v>
      </x:c>
      <x:c r="K82" s="38">
        <x:f t="shared" si="32"/>
        <x:v>0</x:v>
      </x:c>
      <x:c r="L82" s="63">
        <x:f t="shared" si="33"/>
        <x:v>0</x:v>
      </x:c>
      <x:c r="M82" s="39">
        <x:f t="shared" si="34"/>
        <x:v>0</x:v>
      </x:c>
    </x:row>
    <x:row r="83" spans="1:13" ht="24.949999999999999" customHeight="1">
      <x:c r="A83" s="12">
        <x:v>13</x:v>
      </x:c>
      <x:c r="B83" s="13">
        <x:f t="array" ref="B83:B83">INDEX($B$4:$M$33,MATCH($A83,$U$4:$U$33,0),COLUMN(A$1))</x:f>
        <x:v>0</x:v>
      </x:c>
      <x:c r="C83" s="62">
        <x:f t="array" ref="C83:C83">INDEX($B$4:$M$33,MATCH($A83,$U$4:$U$33,0),COLUMN(B$1))</x:f>
        <x:v>0</x:v>
      </x:c>
      <x:c r="D83" s="62">
        <x:f t="array" ref="D83:D83">INDEX($B$4:$M$33,MATCH($A83,$U$4:$U$33,0),COLUMN(C$1))</x:f>
        <x:v>0</x:v>
      </x:c>
      <x:c r="E83" s="62">
        <x:f t="array" ref="E83:E83">INDEX($B$4:$M$33,MATCH($A83,$U$4:$U$33,0),COLUMN(D$1))</x:f>
        <x:v>0</x:v>
      </x:c>
      <x:c r="F83" s="44">
        <x:f t="shared" si="35"/>
        <x:v>0</x:v>
      </x:c>
      <x:c r="G83" s="45">
        <x:f t="shared" si="36"/>
        <x:v>0</x:v>
      </x:c>
      <x:c r="H83" s="34" t="str">
        <x:f t="array" ref="H83:H83">IF(B83="","",IFERROR(INDEX('회원명단 및 기준에버'!D:G,MATCH(B83,'회원명단 및 기준에버'!$C:$C,0),CHOOSE(INT((MONTH($L$2)-1)/3)+1,1,2,3,4)),""))</x:f>
        <x:v/>
      </x:c>
      <x:c r="I83" s="38">
        <x:f t="shared" si="30"/>
        <x:v>0</x:v>
      </x:c>
      <x:c r="J83" s="38">
        <x:f t="shared" si="31"/>
        <x:v>0</x:v>
      </x:c>
      <x:c r="K83" s="38">
        <x:f t="shared" si="32"/>
        <x:v>0</x:v>
      </x:c>
      <x:c r="L83" s="63">
        <x:f t="shared" si="33"/>
        <x:v>0</x:v>
      </x:c>
      <x:c r="M83" s="39">
        <x:f t="shared" si="34"/>
        <x:v>0</x:v>
      </x:c>
    </x:row>
    <x:row r="84" spans="1:13" ht="24.949999999999999" customHeight="1">
      <x:c r="A84" s="12">
        <x:v>14</x:v>
      </x:c>
      <x:c r="B84" s="13">
        <x:f t="array" ref="B84:B84">INDEX($B$4:$M$33,MATCH($A84,$U$4:$U$33,0),COLUMN(A$1))</x:f>
        <x:v>0</x:v>
      </x:c>
      <x:c r="C84" s="62">
        <x:f t="array" ref="C84:C84">INDEX($B$4:$M$33,MATCH($A84,$U$4:$U$33,0),COLUMN(B$1))</x:f>
        <x:v>0</x:v>
      </x:c>
      <x:c r="D84" s="62">
        <x:f t="array" ref="D84:D84">INDEX($B$4:$M$33,MATCH($A84,$U$4:$U$33,0),COLUMN(C$1))</x:f>
        <x:v>0</x:v>
      </x:c>
      <x:c r="E84" s="62">
        <x:f t="array" ref="E84:E84">INDEX($B$4:$M$33,MATCH($A84,$U$4:$U$33,0),COLUMN(D$1))</x:f>
        <x:v>0</x:v>
      </x:c>
      <x:c r="F84" s="44">
        <x:f t="shared" si="35"/>
        <x:v>0</x:v>
      </x:c>
      <x:c r="G84" s="45">
        <x:f t="shared" si="36"/>
        <x:v>0</x:v>
      </x:c>
      <x:c r="H84" s="34" t="str">
        <x:f t="array" ref="H84:H84">IF(B84="","",IFERROR(INDEX('회원명단 및 기준에버'!D:G,MATCH(B84,'회원명단 및 기준에버'!$C:$C,0),CHOOSE(INT((MONTH($L$2)-1)/3)+1,1,2,3,4)),""))</x:f>
        <x:v/>
      </x:c>
      <x:c r="I84" s="38">
        <x:f t="shared" si="30"/>
        <x:v>0</x:v>
      </x:c>
      <x:c r="J84" s="38">
        <x:f t="shared" si="31"/>
        <x:v>0</x:v>
      </x:c>
      <x:c r="K84" s="38">
        <x:f t="shared" si="32"/>
        <x:v>0</x:v>
      </x:c>
      <x:c r="L84" s="63">
        <x:f t="shared" si="33"/>
        <x:v>0</x:v>
      </x:c>
      <x:c r="M84" s="39">
        <x:f t="shared" si="34"/>
        <x:v>0</x:v>
      </x:c>
    </x:row>
    <x:row r="85" spans="1:13" ht="24.949999999999999" customHeight="1">
      <x:c r="A85" s="12">
        <x:v>15</x:v>
      </x:c>
      <x:c r="B85" s="13">
        <x:f t="array" ref="B85:B85">INDEX($B$4:$M$33,MATCH($A85,$U$4:$U$33,0),COLUMN(A$1))</x:f>
        <x:v>0</x:v>
      </x:c>
      <x:c r="C85" s="62">
        <x:f t="array" ref="C85:C85">INDEX($B$4:$M$33,MATCH($A85,$U$4:$U$33,0),COLUMN(B$1))</x:f>
        <x:v>0</x:v>
      </x:c>
      <x:c r="D85" s="62">
        <x:f t="array" ref="D85:D85">INDEX($B$4:$M$33,MATCH($A85,$U$4:$U$33,0),COLUMN(C$1))</x:f>
        <x:v>0</x:v>
      </x:c>
      <x:c r="E85" s="62">
        <x:f t="array" ref="E85:E85">INDEX($B$4:$M$33,MATCH($A85,$U$4:$U$33,0),COLUMN(D$1))</x:f>
        <x:v>0</x:v>
      </x:c>
      <x:c r="F85" s="44">
        <x:f t="shared" si="35"/>
        <x:v>0</x:v>
      </x:c>
      <x:c r="G85" s="45">
        <x:f t="shared" si="36"/>
        <x:v>0</x:v>
      </x:c>
      <x:c r="H85" s="34" t="str">
        <x:f t="array" ref="H85:H85">IF(B85="","",IFERROR(INDEX('회원명단 및 기준에버'!D:G,MATCH(B85,'회원명단 및 기준에버'!$C:$C,0),CHOOSE(INT((MONTH($L$2)-1)/3)+1,1,2,3,4)),""))</x:f>
        <x:v/>
      </x:c>
      <x:c r="I85" s="38">
        <x:f t="shared" si="30"/>
        <x:v>0</x:v>
      </x:c>
      <x:c r="J85" s="38">
        <x:f t="shared" si="31"/>
        <x:v>0</x:v>
      </x:c>
      <x:c r="K85" s="38">
        <x:f t="shared" si="32"/>
        <x:v>0</x:v>
      </x:c>
      <x:c r="L85" s="63">
        <x:f t="shared" si="33"/>
        <x:v>0</x:v>
      </x:c>
      <x:c r="M85" s="39">
        <x:f t="shared" si="34"/>
        <x:v>0</x:v>
      </x:c>
    </x:row>
    <x:row r="86" spans="1:13" ht="24.949999999999999" customHeight="1">
      <x:c r="A86" s="12">
        <x:v>16</x:v>
      </x:c>
      <x:c r="B86" s="13">
        <x:f t="array" ref="B86:B86">INDEX($B$4:$M$33,MATCH($A86,$U$4:$U$33,0),COLUMN(A$1))</x:f>
        <x:v>0</x:v>
      </x:c>
      <x:c r="C86" s="62">
        <x:f t="array" ref="C86:C86">INDEX($B$4:$M$33,MATCH($A86,$U$4:$U$33,0),COLUMN(B$1))</x:f>
        <x:v>0</x:v>
      </x:c>
      <x:c r="D86" s="62">
        <x:f t="array" ref="D86:D86">INDEX($B$4:$M$33,MATCH($A86,$U$4:$U$33,0),COLUMN(C$1))</x:f>
        <x:v>0</x:v>
      </x:c>
      <x:c r="E86" s="62">
        <x:f t="array" ref="E86:E86">INDEX($B$4:$M$33,MATCH($A86,$U$4:$U$33,0),COLUMN(D$1))</x:f>
        <x:v>0</x:v>
      </x:c>
      <x:c r="F86" s="44">
        <x:f t="shared" si="35"/>
        <x:v>0</x:v>
      </x:c>
      <x:c r="G86" s="45">
        <x:f t="shared" si="36"/>
        <x:v>0</x:v>
      </x:c>
      <x:c r="H86" s="34" t="str">
        <x:f t="array" ref="H86:H86">IF(B86="","",IFERROR(INDEX('회원명단 및 기준에버'!D:G,MATCH(B86,'회원명단 및 기준에버'!$C:$C,0),CHOOSE(INT((MONTH($L$2)-1)/3)+1,1,2,3,4)),""))</x:f>
        <x:v/>
      </x:c>
      <x:c r="I86" s="38">
        <x:f t="shared" si="30"/>
        <x:v>0</x:v>
      </x:c>
      <x:c r="J86" s="38">
        <x:f t="shared" si="31"/>
        <x:v>0</x:v>
      </x:c>
      <x:c r="K86" s="38">
        <x:f t="shared" si="32"/>
        <x:v>0</x:v>
      </x:c>
      <x:c r="L86" s="63">
        <x:f t="shared" si="33"/>
        <x:v>0</x:v>
      </x:c>
      <x:c r="M86" s="39">
        <x:f t="shared" si="34"/>
        <x:v>0</x:v>
      </x:c>
    </x:row>
    <x:row r="87" spans="1:13" ht="24.949999999999999" customHeight="1">
      <x:c r="A87" s="12">
        <x:v>17</x:v>
      </x:c>
      <x:c r="B87" s="13">
        <x:f t="array" ref="B87:B87">INDEX($B$4:$M$33,MATCH($A87,$U$4:$U$33,0),COLUMN(A$1))</x:f>
        <x:v>0</x:v>
      </x:c>
      <x:c r="C87" s="62">
        <x:f t="array" ref="C87:C87">INDEX($B$4:$M$33,MATCH($A87,$U$4:$U$33,0),COLUMN(B$1))</x:f>
        <x:v>0</x:v>
      </x:c>
      <x:c r="D87" s="62">
        <x:f t="array" ref="D87:D87">INDEX($B$4:$M$33,MATCH($A87,$U$4:$U$33,0),COLUMN(C$1))</x:f>
        <x:v>0</x:v>
      </x:c>
      <x:c r="E87" s="62">
        <x:f t="array" ref="E87:E87">INDEX($B$4:$M$33,MATCH($A87,$U$4:$U$33,0),COLUMN(D$1))</x:f>
        <x:v>0</x:v>
      </x:c>
      <x:c r="F87" s="44">
        <x:f t="shared" si="35"/>
        <x:v>0</x:v>
      </x:c>
      <x:c r="G87" s="45">
        <x:f t="shared" si="36"/>
        <x:v>0</x:v>
      </x:c>
      <x:c r="H87" s="34" t="str">
        <x:f t="array" ref="H87:H87">IF(B87="","",IFERROR(INDEX('회원명단 및 기준에버'!D:G,MATCH(B87,'회원명단 및 기준에버'!$C:$C,0),CHOOSE(INT((MONTH($L$2)-1)/3)+1,1,2,3,4)),""))</x:f>
        <x:v/>
      </x:c>
      <x:c r="I87" s="38">
        <x:f t="shared" si="30"/>
        <x:v>0</x:v>
      </x:c>
      <x:c r="J87" s="38">
        <x:f t="shared" si="31"/>
        <x:v>0</x:v>
      </x:c>
      <x:c r="K87" s="38">
        <x:f t="shared" si="32"/>
        <x:v>0</x:v>
      </x:c>
      <x:c r="L87" s="63">
        <x:f t="shared" si="33"/>
        <x:v>0</x:v>
      </x:c>
      <x:c r="M87" s="39">
        <x:f t="shared" si="34"/>
        <x:v>0</x:v>
      </x:c>
    </x:row>
    <x:row r="88" spans="1:13" ht="24.949999999999999" customHeight="1">
      <x:c r="A88" s="12">
        <x:v>18</x:v>
      </x:c>
      <x:c r="B88" s="13">
        <x:f t="array" ref="B88:B88">INDEX($B$4:$M$33,MATCH($A88,$U$4:$U$33,0),COLUMN(A$1))</x:f>
        <x:v>0</x:v>
      </x:c>
      <x:c r="C88" s="62">
        <x:f t="array" ref="C88:C88">INDEX($B$4:$M$33,MATCH($A88,$U$4:$U$33,0),COLUMN(B$1))</x:f>
        <x:v>0</x:v>
      </x:c>
      <x:c r="D88" s="62">
        <x:f t="array" ref="D88:D88">INDEX($B$4:$M$33,MATCH($A88,$U$4:$U$33,0),COLUMN(C$1))</x:f>
        <x:v>0</x:v>
      </x:c>
      <x:c r="E88" s="62">
        <x:f t="array" ref="E88:E88">INDEX($B$4:$M$33,MATCH($A88,$U$4:$U$33,0),COLUMN(D$1))</x:f>
        <x:v>0</x:v>
      </x:c>
      <x:c r="F88" s="44">
        <x:f t="shared" si="35"/>
        <x:v>0</x:v>
      </x:c>
      <x:c r="G88" s="45">
        <x:f t="shared" si="36"/>
        <x:v>0</x:v>
      </x:c>
      <x:c r="H88" s="34" t="str">
        <x:f t="array" ref="H88:H88">IF(B88="","",IFERROR(INDEX('회원명단 및 기준에버'!D:G,MATCH(B88,'회원명단 및 기준에버'!$C:$C,0),CHOOSE(INT((MONTH($L$2)-1)/3)+1,1,2,3,4)),""))</x:f>
        <x:v/>
      </x:c>
      <x:c r="I88" s="38">
        <x:f t="shared" si="30"/>
        <x:v>0</x:v>
      </x:c>
      <x:c r="J88" s="38">
        <x:f t="shared" si="31"/>
        <x:v>0</x:v>
      </x:c>
      <x:c r="K88" s="38">
        <x:f t="shared" si="32"/>
        <x:v>0</x:v>
      </x:c>
      <x:c r="L88" s="63">
        <x:f t="shared" si="33"/>
        <x:v>0</x:v>
      </x:c>
      <x:c r="M88" s="39">
        <x:f t="shared" si="34"/>
        <x:v>0</x:v>
      </x:c>
    </x:row>
    <x:row r="89" spans="1:13" ht="24.949999999999999" customHeight="1">
      <x:c r="A89" s="12">
        <x:v>19</x:v>
      </x:c>
      <x:c r="B89" s="13">
        <x:f t="array" ref="B89:B89">INDEX($B$4:$M$33,MATCH($A89,$U$4:$U$33,0),COLUMN(A$1))</x:f>
        <x:v>0</x:v>
      </x:c>
      <x:c r="C89" s="62">
        <x:f t="array" ref="C89:C89">INDEX($B$4:$M$33,MATCH($A89,$U$4:$U$33,0),COLUMN(B$1))</x:f>
        <x:v>0</x:v>
      </x:c>
      <x:c r="D89" s="62">
        <x:f t="array" ref="D89:D89">INDEX($B$4:$M$33,MATCH($A89,$U$4:$U$33,0),COLUMN(C$1))</x:f>
        <x:v>0</x:v>
      </x:c>
      <x:c r="E89" s="62">
        <x:f t="array" ref="E89:E89">INDEX($B$4:$M$33,MATCH($A89,$U$4:$U$33,0),COLUMN(D$1))</x:f>
        <x:v>0</x:v>
      </x:c>
      <x:c r="F89" s="44">
        <x:f t="shared" si="35"/>
        <x:v>0</x:v>
      </x:c>
      <x:c r="G89" s="45">
        <x:f t="shared" si="36"/>
        <x:v>0</x:v>
      </x:c>
      <x:c r="H89" s="34" t="str">
        <x:f t="array" ref="H89:H89">IF(B89="","",IFERROR(INDEX('회원명단 및 기준에버'!D:G,MATCH(B89,'회원명단 및 기준에버'!$C:$C,0),CHOOSE(INT((MONTH($L$2)-1)/3)+1,1,2,3,4)),""))</x:f>
        <x:v/>
      </x:c>
      <x:c r="I89" s="38">
        <x:f t="shared" si="30"/>
        <x:v>0</x:v>
      </x:c>
      <x:c r="J89" s="38">
        <x:f t="shared" si="31"/>
        <x:v>0</x:v>
      </x:c>
      <x:c r="K89" s="38">
        <x:f t="shared" si="32"/>
        <x:v>0</x:v>
      </x:c>
      <x:c r="L89" s="63">
        <x:f t="shared" si="33"/>
        <x:v>0</x:v>
      </x:c>
      <x:c r="M89" s="39">
        <x:f t="shared" si="34"/>
        <x:v>0</x:v>
      </x:c>
    </x:row>
    <x:row r="90" spans="1:13" ht="24.949999999999999" customHeight="1">
      <x:c r="A90" s="12">
        <x:v>20</x:v>
      </x:c>
      <x:c r="B90" s="13">
        <x:f t="array" ref="B90:B90">INDEX($B$4:$M$33,MATCH($A90,$U$4:$U$33,0),COLUMN(A$1))</x:f>
        <x:v>0</x:v>
      </x:c>
      <x:c r="C90" s="62">
        <x:f t="array" ref="C90:C90">INDEX($B$4:$M$33,MATCH($A90,$U$4:$U$33,0),COLUMN(B$1))</x:f>
        <x:v>0</x:v>
      </x:c>
      <x:c r="D90" s="62">
        <x:f t="array" ref="D90:D90">INDEX($B$4:$M$33,MATCH($A90,$U$4:$U$33,0),COLUMN(C$1))</x:f>
        <x:v>0</x:v>
      </x:c>
      <x:c r="E90" s="62">
        <x:f t="array" ref="E90:E90">INDEX($B$4:$M$33,MATCH($A90,$U$4:$U$33,0),COLUMN(D$1))</x:f>
        <x:v>0</x:v>
      </x:c>
      <x:c r="F90" s="44">
        <x:f t="shared" si="35"/>
        <x:v>0</x:v>
      </x:c>
      <x:c r="G90" s="45">
        <x:f t="shared" si="36"/>
        <x:v>0</x:v>
      </x:c>
      <x:c r="H90" s="34" t="str">
        <x:f t="array" ref="H90:H90">IF(B90="","",IFERROR(INDEX('회원명단 및 기준에버'!D:G,MATCH(B90,'회원명단 및 기준에버'!$C:$C,0),CHOOSE(INT((MONTH($L$2)-1)/3)+1,1,2,3,4)),""))</x:f>
        <x:v/>
      </x:c>
      <x:c r="I90" s="38">
        <x:f t="shared" si="30"/>
        <x:v>0</x:v>
      </x:c>
      <x:c r="J90" s="38">
        <x:f t="shared" si="31"/>
        <x:v>0</x:v>
      </x:c>
      <x:c r="K90" s="38">
        <x:f t="shared" si="32"/>
        <x:v>0</x:v>
      </x:c>
      <x:c r="L90" s="63">
        <x:f t="shared" si="33"/>
        <x:v>0</x:v>
      </x:c>
      <x:c r="M90" s="39">
        <x:f t="shared" si="34"/>
        <x:v>0</x:v>
      </x:c>
    </x:row>
    <x:row r="91" spans="1:13" ht="24.949999999999999" customHeight="1">
      <x:c r="A91" s="12">
        <x:v>21</x:v>
      </x:c>
      <x:c r="B91" s="13">
        <x:f t="array" ref="B91:B91">INDEX($B$4:$M$33,MATCH($A91,$U$4:$U$33,0),COLUMN(A$1))</x:f>
        <x:v>0</x:v>
      </x:c>
      <x:c r="C91" s="62">
        <x:f t="array" ref="C91:C91">INDEX($B$4:$M$33,MATCH($A91,$U$4:$U$33,0),COLUMN(B$1))</x:f>
        <x:v>0</x:v>
      </x:c>
      <x:c r="D91" s="62">
        <x:f t="array" ref="D91:D91">INDEX($B$4:$M$33,MATCH($A91,$U$4:$U$33,0),COLUMN(C$1))</x:f>
        <x:v>0</x:v>
      </x:c>
      <x:c r="E91" s="62">
        <x:f t="array" ref="E91:E91">INDEX($B$4:$M$33,MATCH($A91,$U$4:$U$33,0),COLUMN(D$1))</x:f>
        <x:v>0</x:v>
      </x:c>
      <x:c r="F91" s="44">
        <x:f t="shared" si="35"/>
        <x:v>0</x:v>
      </x:c>
      <x:c r="G91" s="45">
        <x:f t="shared" si="36"/>
        <x:v>0</x:v>
      </x:c>
      <x:c r="H91" s="34" t="str">
        <x:f t="array" ref="H91:H91">IF(B91="","",IFERROR(INDEX('회원명단 및 기준에버'!D:G,MATCH(B91,'회원명단 및 기준에버'!$C:$C,0),CHOOSE(INT((MONTH($L$2)-1)/3)+1,1,2,3,4)),""))</x:f>
        <x:v/>
      </x:c>
      <x:c r="I91" s="38">
        <x:f t="shared" si="30"/>
        <x:v>0</x:v>
      </x:c>
      <x:c r="J91" s="38">
        <x:f t="shared" si="31"/>
        <x:v>0</x:v>
      </x:c>
      <x:c r="K91" s="38">
        <x:f t="shared" si="32"/>
        <x:v>0</x:v>
      </x:c>
      <x:c r="L91" s="63">
        <x:f t="shared" si="33"/>
        <x:v>0</x:v>
      </x:c>
      <x:c r="M91" s="39">
        <x:f t="shared" si="34"/>
        <x:v>0</x:v>
      </x:c>
    </x:row>
    <x:row r="92" spans="1:13" ht="24.949999999999999" customHeight="1">
      <x:c r="A92" s="12">
        <x:v>22</x:v>
      </x:c>
      <x:c r="B92" s="13">
        <x:f t="array" ref="B92:B92">INDEX($B$4:$M$33,MATCH($A92,$U$4:$U$33,0),COLUMN(A$1))</x:f>
        <x:v>0</x:v>
      </x:c>
      <x:c r="C92" s="62">
        <x:f t="array" ref="C92:C92">INDEX($B$4:$M$33,MATCH($A92,$U$4:$U$33,0),COLUMN(B$1))</x:f>
        <x:v>0</x:v>
      </x:c>
      <x:c r="D92" s="62">
        <x:f t="array" ref="D92:D92">INDEX($B$4:$M$33,MATCH($A92,$U$4:$U$33,0),COLUMN(C$1))</x:f>
        <x:v>0</x:v>
      </x:c>
      <x:c r="E92" s="62">
        <x:f t="array" ref="E92:E92">INDEX($B$4:$M$33,MATCH($A92,$U$4:$U$33,0),COLUMN(D$1))</x:f>
        <x:v>0</x:v>
      </x:c>
      <x:c r="F92" s="44">
        <x:f t="shared" si="35"/>
        <x:v>0</x:v>
      </x:c>
      <x:c r="G92" s="45">
        <x:f t="shared" si="36"/>
        <x:v>0</x:v>
      </x:c>
      <x:c r="H92" s="34" t="str">
        <x:f t="array" ref="H92:H92">IF(B92="","",IFERROR(INDEX('회원명단 및 기준에버'!D:G,MATCH(B92,'회원명단 및 기준에버'!$C:$C,0),CHOOSE(INT((MONTH($L$2)-1)/3)+1,1,2,3,4)),""))</x:f>
        <x:v/>
      </x:c>
      <x:c r="I92" s="38">
        <x:f t="shared" si="30"/>
        <x:v>0</x:v>
      </x:c>
      <x:c r="J92" s="38">
        <x:f t="shared" si="31"/>
        <x:v>0</x:v>
      </x:c>
      <x:c r="K92" s="38">
        <x:f t="shared" si="32"/>
        <x:v>0</x:v>
      </x:c>
      <x:c r="L92" s="63">
        <x:f t="shared" si="33"/>
        <x:v>0</x:v>
      </x:c>
      <x:c r="M92" s="39">
        <x:f t="shared" si="34"/>
        <x:v>0</x:v>
      </x:c>
    </x:row>
    <x:row r="93" spans="1:13" ht="24.949999999999999" customHeight="1">
      <x:c r="A93" s="12">
        <x:v>23</x:v>
      </x:c>
      <x:c r="B93" s="13">
        <x:f t="array" ref="B93:B93">INDEX($B$4:$M$33,MATCH($A93,$U$4:$U$33,0),COLUMN(A$1))</x:f>
        <x:v>0</x:v>
      </x:c>
      <x:c r="C93" s="62">
        <x:f t="array" ref="C93:C93">INDEX($B$4:$M$33,MATCH($A93,$U$4:$U$33,0),COLUMN(B$1))</x:f>
        <x:v>0</x:v>
      </x:c>
      <x:c r="D93" s="62">
        <x:f t="array" ref="D93:D93">INDEX($B$4:$M$33,MATCH($A93,$U$4:$U$33,0),COLUMN(C$1))</x:f>
        <x:v>0</x:v>
      </x:c>
      <x:c r="E93" s="62">
        <x:f t="array" ref="E93:E93">INDEX($B$4:$M$33,MATCH($A93,$U$4:$U$33,0),COLUMN(D$1))</x:f>
        <x:v>0</x:v>
      </x:c>
      <x:c r="F93" s="44">
        <x:f t="shared" si="35"/>
        <x:v>0</x:v>
      </x:c>
      <x:c r="G93" s="45">
        <x:f t="shared" si="36"/>
        <x:v>0</x:v>
      </x:c>
      <x:c r="H93" s="34" t="str">
        <x:f t="array" ref="H93:H93">IF(B93="","",IFERROR(INDEX('회원명단 및 기준에버'!D:G,MATCH(B93,'회원명단 및 기준에버'!$C:$C,0),CHOOSE(INT((MONTH($L$2)-1)/3)+1,1,2,3,4)),""))</x:f>
        <x:v/>
      </x:c>
      <x:c r="I93" s="38">
        <x:f t="shared" si="30"/>
        <x:v>0</x:v>
      </x:c>
      <x:c r="J93" s="38">
        <x:f t="shared" si="31"/>
        <x:v>0</x:v>
      </x:c>
      <x:c r="K93" s="38">
        <x:f t="shared" si="32"/>
        <x:v>0</x:v>
      </x:c>
      <x:c r="L93" s="63">
        <x:f t="shared" si="33"/>
        <x:v>0</x:v>
      </x:c>
      <x:c r="M93" s="39">
        <x:f t="shared" si="34"/>
        <x:v>0</x:v>
      </x:c>
    </x:row>
    <x:row r="94" spans="1:13" ht="24.949999999999999" customHeight="1">
      <x:c r="A94" s="12">
        <x:v>24</x:v>
      </x:c>
      <x:c r="B94" s="13">
        <x:f t="array" ref="B94:B94">INDEX($B$4:$M$33,MATCH($A94,$U$4:$U$33,0),COLUMN(A$1))</x:f>
        <x:v>0</x:v>
      </x:c>
      <x:c r="C94" s="62">
        <x:f t="array" ref="C94:C94">INDEX($B$4:$M$33,MATCH($A94,$U$4:$U$33,0),COLUMN(B$1))</x:f>
        <x:v>0</x:v>
      </x:c>
      <x:c r="D94" s="62">
        <x:f t="array" ref="D94:D94">INDEX($B$4:$M$33,MATCH($A94,$U$4:$U$33,0),COLUMN(C$1))</x:f>
        <x:v>0</x:v>
      </x:c>
      <x:c r="E94" s="62">
        <x:f t="array" ref="E94:E94">INDEX($B$4:$M$33,MATCH($A94,$U$4:$U$33,0),COLUMN(D$1))</x:f>
        <x:v>0</x:v>
      </x:c>
      <x:c r="F94" s="44">
        <x:f t="shared" si="35"/>
        <x:v>0</x:v>
      </x:c>
      <x:c r="G94" s="45">
        <x:f t="shared" si="36"/>
        <x:v>0</x:v>
      </x:c>
      <x:c r="H94" s="34" t="str">
        <x:f t="array" ref="H94:H94">IF(B94="","",IFERROR(INDEX('회원명단 및 기준에버'!D:G,MATCH(B94,'회원명단 및 기준에버'!$C:$C,0),CHOOSE(INT((MONTH($L$2)-1)/3)+1,1,2,3,4)),""))</x:f>
        <x:v/>
      </x:c>
      <x:c r="I94" s="38">
        <x:f t="shared" si="30"/>
        <x:v>0</x:v>
      </x:c>
      <x:c r="J94" s="38">
        <x:f t="shared" si="31"/>
        <x:v>0</x:v>
      </x:c>
      <x:c r="K94" s="38">
        <x:f t="shared" si="32"/>
        <x:v>0</x:v>
      </x:c>
      <x:c r="L94" s="63">
        <x:f t="shared" si="33"/>
        <x:v>0</x:v>
      </x:c>
      <x:c r="M94" s="39">
        <x:f t="shared" si="34"/>
        <x:v>0</x:v>
      </x:c>
    </x:row>
    <x:row r="95" spans="1:13" ht="24.949999999999999" customHeight="1">
      <x:c r="A95" s="12">
        <x:v>25</x:v>
      </x:c>
      <x:c r="B95" s="13">
        <x:f t="array" ref="B95:B95">INDEX($B$4:$M$33,MATCH($A95,$U$4:$U$33,0),COLUMN(A$1))</x:f>
        <x:v>0</x:v>
      </x:c>
      <x:c r="C95" s="62">
        <x:f t="array" ref="C95:C95">INDEX($B$4:$M$33,MATCH($A95,$U$4:$U$33,0),COLUMN(B$1))</x:f>
        <x:v>0</x:v>
      </x:c>
      <x:c r="D95" s="62">
        <x:f t="array" ref="D95:D95">INDEX($B$4:$M$33,MATCH($A95,$U$4:$U$33,0),COLUMN(C$1))</x:f>
        <x:v>0</x:v>
      </x:c>
      <x:c r="E95" s="62">
        <x:f t="array" ref="E95:E95">INDEX($B$4:$M$33,MATCH($A95,$U$4:$U$33,0),COLUMN(D$1))</x:f>
        <x:v>0</x:v>
      </x:c>
      <x:c r="F95" s="44">
        <x:f t="shared" si="35"/>
        <x:v>0</x:v>
      </x:c>
      <x:c r="G95" s="45">
        <x:f t="shared" si="36"/>
        <x:v>0</x:v>
      </x:c>
      <x:c r="H95" s="34" t="str">
        <x:f t="array" ref="H95:H95">IF(B95="","",IFERROR(INDEX('회원명단 및 기준에버'!D:G,MATCH(B95,'회원명단 및 기준에버'!$C:$C,0),CHOOSE(INT((MONTH($L$2)-1)/3)+1,1,2,3,4)),""))</x:f>
        <x:v/>
      </x:c>
      <x:c r="I95" s="38">
        <x:f t="shared" si="30"/>
        <x:v>0</x:v>
      </x:c>
      <x:c r="J95" s="38">
        <x:f t="shared" si="31"/>
        <x:v>0</x:v>
      </x:c>
      <x:c r="K95" s="38">
        <x:f t="shared" si="32"/>
        <x:v>0</x:v>
      </x:c>
      <x:c r="L95" s="63">
        <x:f t="shared" si="33"/>
        <x:v>0</x:v>
      </x:c>
      <x:c r="M95" s="39">
        <x:f t="shared" si="34"/>
        <x:v>0</x:v>
      </x:c>
    </x:row>
    <x:row r="96" spans="1:13" ht="24.949999999999999" customHeight="1">
      <x:c r="A96" s="12">
        <x:v>26</x:v>
      </x:c>
      <x:c r="B96" s="13">
        <x:f t="array" ref="B96:B96">INDEX($B$4:$M$33,MATCH($A96,$U$4:$U$33,0),COLUMN(A$1))</x:f>
        <x:v>0</x:v>
      </x:c>
      <x:c r="C96" s="62">
        <x:f t="array" ref="C96:C96">INDEX($B$4:$M$33,MATCH($A96,$U$4:$U$33,0),COLUMN(B$1))</x:f>
        <x:v>0</x:v>
      </x:c>
      <x:c r="D96" s="62">
        <x:f t="array" ref="D96:D96">INDEX($B$4:$M$33,MATCH($A96,$U$4:$U$33,0),COLUMN(C$1))</x:f>
        <x:v>0</x:v>
      </x:c>
      <x:c r="E96" s="62">
        <x:f t="array" ref="E96:E96">INDEX($B$4:$M$33,MATCH($A96,$U$4:$U$33,0),COLUMN(D$1))</x:f>
        <x:v>0</x:v>
      </x:c>
      <x:c r="F96" s="44">
        <x:f t="shared" si="35"/>
        <x:v>0</x:v>
      </x:c>
      <x:c r="G96" s="45">
        <x:f t="shared" si="36"/>
        <x:v>0</x:v>
      </x:c>
      <x:c r="H96" s="34" t="str">
        <x:f t="array" ref="H96:H96">IF(B96="","",IFERROR(INDEX('회원명단 및 기준에버'!D:G,MATCH(B96,'회원명단 및 기준에버'!$C:$C,0),CHOOSE(INT((MONTH($L$2)-1)/3)+1,1,2,3,4)),""))</x:f>
        <x:v/>
      </x:c>
      <x:c r="I96" s="38">
        <x:f t="shared" si="30"/>
        <x:v>0</x:v>
      </x:c>
      <x:c r="J96" s="38">
        <x:f t="shared" si="31"/>
        <x:v>0</x:v>
      </x:c>
      <x:c r="K96" s="38">
        <x:f t="shared" si="32"/>
        <x:v>0</x:v>
      </x:c>
      <x:c r="L96" s="63">
        <x:f t="shared" si="33"/>
        <x:v>0</x:v>
      </x:c>
      <x:c r="M96" s="39">
        <x:f t="shared" si="34"/>
        <x:v>0</x:v>
      </x:c>
    </x:row>
    <x:row r="97" spans="1:13" ht="24.949999999999999" customHeight="1">
      <x:c r="A97" s="12">
        <x:v>27</x:v>
      </x:c>
      <x:c r="B97" s="13">
        <x:f t="array" ref="B97:B97">INDEX($B$4:$M$33,MATCH($A97,$U$4:$U$33,0),COLUMN(A$1))</x:f>
        <x:v>0</x:v>
      </x:c>
      <x:c r="C97" s="62">
        <x:f t="array" ref="C97:C97">INDEX($B$4:$M$33,MATCH($A97,$U$4:$U$33,0),COLUMN(B$1))</x:f>
        <x:v>0</x:v>
      </x:c>
      <x:c r="D97" s="62">
        <x:f t="array" ref="D97:D97">INDEX($B$4:$M$33,MATCH($A97,$U$4:$U$33,0),COLUMN(C$1))</x:f>
        <x:v>0</x:v>
      </x:c>
      <x:c r="E97" s="62">
        <x:f t="array" ref="E97:E97">INDEX($B$4:$M$33,MATCH($A97,$U$4:$U$33,0),COLUMN(D$1))</x:f>
        <x:v>0</x:v>
      </x:c>
      <x:c r="F97" s="44">
        <x:f t="shared" si="35"/>
        <x:v>0</x:v>
      </x:c>
      <x:c r="G97" s="45">
        <x:f t="shared" si="36"/>
        <x:v>0</x:v>
      </x:c>
      <x:c r="H97" s="34" t="str">
        <x:f t="array" ref="H97:H97">IF(B97="","",IFERROR(INDEX('회원명단 및 기준에버'!D:G,MATCH(B97,'회원명단 및 기준에버'!$C:$C,0),CHOOSE(INT((MONTH($L$2)-1)/3)+1,1,2,3,4)),""))</x:f>
        <x:v/>
      </x:c>
      <x:c r="I97" s="38">
        <x:f t="shared" si="30"/>
        <x:v>0</x:v>
      </x:c>
      <x:c r="J97" s="38">
        <x:f t="shared" si="31"/>
        <x:v>0</x:v>
      </x:c>
      <x:c r="K97" s="38">
        <x:f t="shared" si="32"/>
        <x:v>0</x:v>
      </x:c>
      <x:c r="L97" s="63">
        <x:f t="shared" si="33"/>
        <x:v>0</x:v>
      </x:c>
      <x:c r="M97" s="39">
        <x:f t="shared" si="34"/>
        <x:v>0</x:v>
      </x:c>
    </x:row>
    <x:row r="98" spans="1:13" ht="24.949999999999999" customHeight="1">
      <x:c r="A98" s="12">
        <x:v>28</x:v>
      </x:c>
      <x:c r="B98" s="13">
        <x:f t="array" ref="B98:B98">INDEX($B$4:$M$33,MATCH($A98,$U$4:$U$33,0),COLUMN(A$1))</x:f>
        <x:v>0</x:v>
      </x:c>
      <x:c r="C98" s="62">
        <x:f t="array" ref="C98:C98">INDEX($B$4:$M$33,MATCH($A98,$U$4:$U$33,0),COLUMN(B$1))</x:f>
        <x:v>0</x:v>
      </x:c>
      <x:c r="D98" s="62">
        <x:f t="array" ref="D98:D98">INDEX($B$4:$M$33,MATCH($A98,$U$4:$U$33,0),COLUMN(C$1))</x:f>
        <x:v>0</x:v>
      </x:c>
      <x:c r="E98" s="62">
        <x:f t="array" ref="E98:E98">INDEX($B$4:$M$33,MATCH($A98,$U$4:$U$33,0),COLUMN(D$1))</x:f>
        <x:v>0</x:v>
      </x:c>
      <x:c r="F98" s="44">
        <x:f t="shared" si="35"/>
        <x:v>0</x:v>
      </x:c>
      <x:c r="G98" s="45">
        <x:f t="shared" si="36"/>
        <x:v>0</x:v>
      </x:c>
      <x:c r="H98" s="34" t="str">
        <x:f t="array" ref="H98:H98">IF(B98="","",IFERROR(INDEX('회원명단 및 기준에버'!D:G,MATCH(B98,'회원명단 및 기준에버'!$C:$C,0),CHOOSE(INT((MONTH($L$2)-1)/3)+1,1,2,3,4)),""))</x:f>
        <x:v/>
      </x:c>
      <x:c r="I98" s="38">
        <x:f t="shared" si="30"/>
        <x:v>0</x:v>
      </x:c>
      <x:c r="J98" s="38">
        <x:f t="shared" si="31"/>
        <x:v>0</x:v>
      </x:c>
      <x:c r="K98" s="38">
        <x:f t="shared" si="32"/>
        <x:v>0</x:v>
      </x:c>
      <x:c r="L98" s="63">
        <x:f t="shared" si="33"/>
        <x:v>0</x:v>
      </x:c>
      <x:c r="M98" s="39">
        <x:f t="shared" si="34"/>
        <x:v>0</x:v>
      </x:c>
    </x:row>
    <x:row r="99" spans="1:13" ht="24.949999999999999" customHeight="1">
      <x:c r="A99" s="12">
        <x:v>29</x:v>
      </x:c>
      <x:c r="B99" s="13">
        <x:f t="array" ref="B99:B99">INDEX($B$4:$M$33,MATCH($A99,$U$4:$U$33,0),COLUMN(A$1))</x:f>
        <x:v>0</x:v>
      </x:c>
      <x:c r="C99" s="62">
        <x:f t="array" ref="C99:C99">INDEX($B$4:$M$33,MATCH($A99,$U$4:$U$33,0),COLUMN(B$1))</x:f>
        <x:v>0</x:v>
      </x:c>
      <x:c r="D99" s="62">
        <x:f t="array" ref="D99:D99">INDEX($B$4:$M$33,MATCH($A99,$U$4:$U$33,0),COLUMN(C$1))</x:f>
        <x:v>0</x:v>
      </x:c>
      <x:c r="E99" s="62">
        <x:f t="array" ref="E99:E99">INDEX($B$4:$M$33,MATCH($A99,$U$4:$U$33,0),COLUMN(D$1))</x:f>
        <x:v>0</x:v>
      </x:c>
      <x:c r="F99" s="44">
        <x:f t="shared" si="35"/>
        <x:v>0</x:v>
      </x:c>
      <x:c r="G99" s="45">
        <x:f t="shared" si="36"/>
        <x:v>0</x:v>
      </x:c>
      <x:c r="H99" s="34" t="str">
        <x:f t="array" ref="H99:H99">IF(B99="","",IFERROR(INDEX('회원명단 및 기준에버'!D:G,MATCH(B99,'회원명단 및 기준에버'!$C:$C,0),CHOOSE(INT((MONTH($L$2)-1)/3)+1,1,2,3,4)),""))</x:f>
        <x:v/>
      </x:c>
      <x:c r="I99" s="38">
        <x:f t="shared" si="30"/>
        <x:v>0</x:v>
      </x:c>
      <x:c r="J99" s="38">
        <x:f t="shared" si="31"/>
        <x:v>0</x:v>
      </x:c>
      <x:c r="K99" s="38">
        <x:f t="shared" si="32"/>
        <x:v>0</x:v>
      </x:c>
      <x:c r="L99" s="63">
        <x:f t="shared" si="33"/>
        <x:v>0</x:v>
      </x:c>
      <x:c r="M99" s="39">
        <x:f t="shared" si="34"/>
        <x:v>0</x:v>
      </x:c>
    </x:row>
    <x:row r="100" spans="1:13" ht="24.949999999999999" customHeight="1">
      <x:c r="A100" s="12">
        <x:v>30</x:v>
      </x:c>
      <x:c r="B100" s="13">
        <x:f t="array" ref="B100:B100">INDEX($B$4:$M$33,MATCH($A100,$U$4:$U$33,0),COLUMN(A$1))</x:f>
        <x:v>0</x:v>
      </x:c>
      <x:c r="C100" s="62">
        <x:f t="array" ref="C100:C100">INDEX($B$4:$M$33,MATCH($A100,$U$4:$U$33,0),COLUMN(B$1))</x:f>
        <x:v>0</x:v>
      </x:c>
      <x:c r="D100" s="62">
        <x:f t="array" ref="D100:D100">INDEX($B$4:$M$33,MATCH($A100,$U$4:$U$33,0),COLUMN(C$1))</x:f>
        <x:v>0</x:v>
      </x:c>
      <x:c r="E100" s="62">
        <x:f t="array" ref="E100:E100">INDEX($B$4:$M$33,MATCH($A100,$U$4:$U$33,0),COLUMN(D$1))</x:f>
        <x:v>0</x:v>
      </x:c>
      <x:c r="F100" s="44">
        <x:f t="shared" si="35"/>
        <x:v>0</x:v>
      </x:c>
      <x:c r="G100" s="45">
        <x:f t="shared" si="36"/>
        <x:v>0</x:v>
      </x:c>
      <x:c r="H100" s="34" t="str">
        <x:f t="array" ref="H100:H100">IF(B100="","",IFERROR(INDEX('회원명단 및 기준에버'!D:G,MATCH(B100,'회원명단 및 기준에버'!$C:$C,0),CHOOSE(INT((MONTH($L$2)-1)/3)+1,1,2,3,4)),""))</x:f>
        <x:v/>
      </x:c>
      <x:c r="I100" s="38">
        <x:f t="shared" si="30"/>
        <x:v>0</x:v>
      </x:c>
      <x:c r="J100" s="38">
        <x:f t="shared" si="31"/>
        <x:v>0</x:v>
      </x:c>
      <x:c r="K100" s="38">
        <x:f t="shared" si="32"/>
        <x:v>0</x:v>
      </x:c>
      <x:c r="L100" s="63">
        <x:f t="shared" si="33"/>
        <x:v>0</x:v>
      </x:c>
      <x:c r="M100" s="39">
        <x:f t="shared" si="34"/>
        <x:v>0</x:v>
      </x:c>
    </x:row>
    <x:row r="101" spans="2:13" ht="24.949999999999999" customHeight="1">
      <x:c r="B101" s="168" t="s">
        <x:v>63</x:v>
      </x:c>
      <x:c r="C101" s="169"/>
      <x:c r="D101" s="169"/>
      <x:c r="E101" s="169"/>
      <x:c r="F101" s="169"/>
      <x:c r="G101" s="169"/>
      <x:c r="H101" s="169"/>
      <x:c r="I101" s="169"/>
      <x:c r="J101" s="169"/>
      <x:c r="K101" s="169"/>
      <x:c r="L101" s="169"/>
      <x:c r="M101" s="170"/>
    </x:row>
    <x:row r="102" spans="2:13" ht="24.949999999999999" customHeight="1">
      <x:c r="B102" s="187" t="s">
        <x:v>68</x:v>
      </x:c>
      <x:c r="C102" s="188"/>
      <x:c r="D102" s="188"/>
      <x:c r="E102" s="189"/>
      <x:c r="F102" s="174" t="s">
        <x:v>28</x:v>
      </x:c>
      <x:c r="G102" s="176" t="s">
        <x:v>14</x:v>
      </x:c>
      <x:c r="H102" s="177"/>
      <x:c r="I102" s="178"/>
      <x:c r="J102" s="179" t="s">
        <x:v>55</x:v>
      </x:c>
      <x:c r="K102" s="180"/>
      <x:c r="L102" s="180"/>
      <x:c r="M102" s="181"/>
    </x:row>
    <x:row r="103" spans="2:13" ht="24.949999999999999" customHeight="1">
      <x:c r="B103" s="54" t="str">
        <x:f>IF(B36="","",B36)</x:f>
        <x:v/>
      </x:c>
      <x:c r="C103" s="24" t="str">
        <x:f>IF(C36="","",C36)</x:f>
        <x:v/>
      </x:c>
      <x:c r="D103" s="24" t="str">
        <x:f>IF(D36="","",D36)</x:f>
        <x:v/>
      </x:c>
      <x:c r="E103" s="25" t="str">
        <x:f>IF(E36="","",E36)</x:f>
        <x:v/>
      </x:c>
      <x:c r="F103" s="175"/>
      <x:c r="G103" s="182" t="s">
        <x:v>62</x:v>
      </x:c>
      <x:c r="H103" s="183"/>
      <x:c r="I103" s="184"/>
      <x:c r="J103" s="26" t="str">
        <x:f>IF(J36="","",J36)</x:f>
        <x:v/>
      </x:c>
      <x:c r="K103" s="27" t="str">
        <x:f>IF(K36="","",K36)</x:f>
        <x:v/>
      </x:c>
      <x:c r="L103" s="27" t="str">
        <x:f>IF(L36="","",L36)</x:f>
        <x:v/>
      </x:c>
      <x:c r="M103" s="28" t="str">
        <x:f>IF(M36="","",M36)</x:f>
        <x:v/>
      </x:c>
    </x:row>
    <x:row r="104" spans="2:13" ht="24.949999999999999" customHeight="1">
      <x:c r="B104" s="155" t="s">
        <x:v>29</x:v>
      </x:c>
      <x:c r="C104" s="156"/>
      <x:c r="D104" s="156"/>
      <x:c r="E104" s="156"/>
      <x:c r="F104" s="156"/>
      <x:c r="G104" s="156"/>
      <x:c r="H104" s="157"/>
      <x:c r="I104" s="158" t="s">
        <x:v>66</x:v>
      </x:c>
      <x:c r="J104" s="159"/>
      <x:c r="K104" s="160" t="s">
        <x:v>67</x:v>
      </x:c>
      <x:c r="L104" s="161"/>
      <x:c r="M104" s="162"/>
    </x:row>
    <x:row r="105" spans="2:13" ht="24.949999999999999" customHeight="1">
      <x:c r="B105" s="21" t="str">
        <x:f t="shared" ref="B105:G107" si="37">IF(B38="","",B38)</x:f>
        <x:v/>
      </x:c>
      <x:c r="C105" s="64" t="str">
        <x:f t="shared" si="37"/>
        <x:v/>
      </x:c>
      <x:c r="D105" s="32" t="str">
        <x:f t="shared" si="37"/>
        <x:v/>
      </x:c>
      <x:c r="E105" s="67" t="str">
        <x:f t="shared" si="37"/>
        <x:v/>
      </x:c>
      <x:c r="F105" s="30" t="str">
        <x:f t="shared" si="37"/>
        <x:v/>
      </x:c>
      <x:c r="G105" s="70" t="str">
        <x:f t="shared" si="37"/>
        <x:v/>
      </x:c>
      <x:c r="H105" s="157"/>
      <x:c r="I105" s="23" t="str">
        <x:f>IF(I38="","",I38)</x:f>
        <x:v/>
      </x:c>
      <x:c r="J105" s="50" t="str">
        <x:f>IF(J38="","",J38)</x:f>
        <x:v/>
      </x:c>
      <x:c r="K105" s="57" t="str">
        <x:f>IF(K38="","",K38)</x:f>
        <x:v/>
      </x:c>
      <x:c r="L105" s="58" t="str">
        <x:f t="shared" ref="L105:M105" si="38">IF(L38="","",L38)</x:f>
        <x:v/>
      </x:c>
      <x:c r="M105" s="59" t="str">
        <x:f t="shared" si="38"/>
        <x:v/>
      </x:c>
    </x:row>
    <x:row r="106" spans="2:13" ht="24.949999999999999" customHeight="1">
      <x:c r="B106" s="46" t="str">
        <x:f t="shared" si="37"/>
        <x:v/>
      </x:c>
      <x:c r="C106" s="65" t="str">
        <x:f t="shared" si="37"/>
        <x:v/>
      </x:c>
      <x:c r="D106" s="47" t="str">
        <x:f t="shared" si="37"/>
        <x:v/>
      </x:c>
      <x:c r="E106" s="68" t="str">
        <x:f t="shared" si="37"/>
        <x:v/>
      </x:c>
      <x:c r="F106" s="48" t="str">
        <x:f t="shared" si="37"/>
        <x:v/>
      </x:c>
      <x:c r="G106" s="71" t="str">
        <x:f t="shared" si="37"/>
        <x:v/>
      </x:c>
      <x:c r="H106" s="157"/>
      <x:c r="I106" s="49" t="str">
        <x:f>IF(I39="","",I39)</x:f>
        <x:v/>
      </x:c>
      <x:c r="J106" s="51" t="str">
        <x:f>IF(J39="","",J39)</x:f>
        <x:v/>
      </x:c>
      <x:c r="K106" s="57" t="str">
        <x:f t="shared" ref="K106:M106" si="39">IF(K39="","",K39)</x:f>
        <x:v/>
      </x:c>
      <x:c r="L106" s="58" t="str">
        <x:f t="shared" si="39"/>
        <x:v/>
      </x:c>
      <x:c r="M106" s="59" t="str">
        <x:f t="shared" si="39"/>
        <x:v/>
      </x:c>
    </x:row>
    <x:row r="107" spans="2:13" ht="24.949999999999999" customHeight="1">
      <x:c r="B107" s="29" t="str">
        <x:f t="shared" si="37"/>
        <x:v/>
      </x:c>
      <x:c r="C107" s="66" t="str">
        <x:f t="shared" si="37"/>
        <x:v/>
      </x:c>
      <x:c r="D107" s="33" t="str">
        <x:f t="shared" si="37"/>
        <x:v/>
      </x:c>
      <x:c r="E107" s="69" t="str">
        <x:f t="shared" si="37"/>
        <x:v/>
      </x:c>
      <x:c r="F107" s="31" t="str">
        <x:f t="shared" si="37"/>
        <x:v/>
      </x:c>
      <x:c r="G107" s="72" t="str">
        <x:f t="shared" si="37"/>
        <x:v/>
      </x:c>
      <x:c r="H107" s="157"/>
      <x:c r="I107" s="24" t="str">
        <x:f>IF(I40="","",I40)</x:f>
        <x:v/>
      </x:c>
      <x:c r="J107" s="52" t="str">
        <x:f>IF(J40="","",J40)</x:f>
        <x:v/>
      </x:c>
      <x:c r="K107" s="60" t="str">
        <x:f t="shared" ref="K107:M107" si="40">IF(K40="","",K40)</x:f>
        <x:v/>
      </x:c>
      <x:c r="L107" s="53" t="str">
        <x:f t="shared" si="40"/>
        <x:v/>
      </x:c>
      <x:c r="M107" s="61" t="str">
        <x:f t="shared" si="40"/>
        <x:v/>
      </x:c>
    </x:row>
    <x:row r="108" spans="2:13" ht="24.949999999999999" customHeight="1">
      <x:c r="B108" s="163" t="s">
        <x:v>51</x:v>
      </x:c>
      <x:c r="C108" s="164"/>
      <x:c r="D108" s="164"/>
      <x:c r="E108" s="164"/>
      <x:c r="F108" s="164"/>
      <x:c r="G108" s="164"/>
      <x:c r="H108" s="164"/>
      <x:c r="I108" s="164"/>
      <x:c r="J108" s="164"/>
      <x:c r="K108" s="164"/>
      <x:c r="L108" s="164"/>
      <x:c r="M108" s="165"/>
    </x:row>
    <x:row r="109" spans="2:13" ht="24.949999999999999" customHeight="1">
      <x:c r="B109" s="35">
        <x:f t="shared" ref="B109:F109" si="41">IF(B42="","",B42)</x:f>
        <x:v>0</x:v>
      </x:c>
      <x:c r="C109" s="40">
        <x:f t="shared" si="41"/>
        <x:v>0</x:v>
      </x:c>
      <x:c r="D109" s="40">
        <x:f t="shared" si="41"/>
        <x:v>0</x:v>
      </x:c>
      <x:c r="E109" s="40">
        <x:f t="shared" si="41"/>
        <x:v>0</x:v>
      </x:c>
      <x:c r="F109" s="141">
        <x:f t="shared" si="41"/>
        <x:v>0</x:v>
      </x:c>
      <x:c r="G109" s="144"/>
      <x:c r="H109" s="79">
        <x:f t="shared" ref="H109:L109" si="42">IF(H42="","",H42)</x:f>
        <x:v>0</x:v>
      </x:c>
      <x:c r="I109" s="40">
        <x:f t="shared" si="42"/>
        <x:v>0</x:v>
      </x:c>
      <x:c r="J109" s="40">
        <x:f t="shared" si="42"/>
        <x:v>0</x:v>
      </x:c>
      <x:c r="K109" s="40">
        <x:f t="shared" si="42"/>
        <x:v>0</x:v>
      </x:c>
      <x:c r="L109" s="149">
        <x:f t="shared" si="42"/>
        <x:v>0</x:v>
      </x:c>
      <x:c r="M109" s="152"/>
    </x:row>
    <x:row r="110" spans="2:13" ht="24.949999999999999" customHeight="1">
      <x:c r="B110" s="36">
        <x:f t="shared" ref="B110:F110" si="43">IF(B43="","",B43)</x:f>
        <x:v>0</x:v>
      </x:c>
      <x:c r="C110" s="41">
        <x:f t="shared" si="43"/>
        <x:v>0</x:v>
      </x:c>
      <x:c r="D110" s="41">
        <x:f t="shared" si="43"/>
        <x:v>0</x:v>
      </x:c>
      <x:c r="E110" s="41">
        <x:f t="shared" si="43"/>
        <x:v>0</x:v>
      </x:c>
      <x:c r="F110" s="142" t="str">
        <x:f t="shared" si="43"/>
        <x:v/>
      </x:c>
      <x:c r="G110" s="145"/>
      <x:c r="H110" s="36">
        <x:f t="shared" ref="H110:L110" si="44">IF(H43="","",H43)</x:f>
        <x:v>0</x:v>
      </x:c>
      <x:c r="I110" s="41">
        <x:f t="shared" si="44"/>
        <x:v>0</x:v>
      </x:c>
      <x:c r="J110" s="41">
        <x:f t="shared" si="44"/>
        <x:v>0</x:v>
      </x:c>
      <x:c r="K110" s="41">
        <x:f t="shared" si="44"/>
        <x:v>0</x:v>
      </x:c>
      <x:c r="L110" s="150" t="str">
        <x:f t="shared" si="44"/>
        <x:v/>
      </x:c>
      <x:c r="M110" s="153"/>
    </x:row>
    <x:row r="111" spans="2:13" ht="24.949999999999999" customHeight="1">
      <x:c r="B111" s="36">
        <x:f t="shared" ref="B111:F111" si="45">IF(B44="","",B44)</x:f>
        <x:v>0</x:v>
      </x:c>
      <x:c r="C111" s="41">
        <x:f t="shared" si="45"/>
        <x:v>0</x:v>
      </x:c>
      <x:c r="D111" s="41">
        <x:f t="shared" si="45"/>
        <x:v>0</x:v>
      </x:c>
      <x:c r="E111" s="41">
        <x:f t="shared" si="45"/>
        <x:v>0</x:v>
      </x:c>
      <x:c r="F111" s="142" t="str">
        <x:f t="shared" si="45"/>
        <x:v/>
      </x:c>
      <x:c r="G111" s="145"/>
      <x:c r="H111" s="36">
        <x:f t="shared" ref="H111:L111" si="46">IF(H44="","",H44)</x:f>
        <x:v>0</x:v>
      </x:c>
      <x:c r="I111" s="41">
        <x:f t="shared" si="46"/>
        <x:v>0</x:v>
      </x:c>
      <x:c r="J111" s="41">
        <x:f t="shared" si="46"/>
        <x:v>0</x:v>
      </x:c>
      <x:c r="K111" s="41">
        <x:f t="shared" si="46"/>
        <x:v>0</x:v>
      </x:c>
      <x:c r="L111" s="150" t="str">
        <x:f t="shared" si="46"/>
        <x:v/>
      </x:c>
      <x:c r="M111" s="153"/>
    </x:row>
    <x:row r="112" spans="2:13" ht="24.949999999999999" customHeight="1">
      <x:c r="B112" s="36">
        <x:f t="shared" ref="B112:F112" si="47">IF(B45="","",B45)</x:f>
        <x:v>0</x:v>
      </x:c>
      <x:c r="C112" s="41">
        <x:f t="shared" si="47"/>
        <x:v>0</x:v>
      </x:c>
      <x:c r="D112" s="41">
        <x:f t="shared" si="47"/>
        <x:v>0</x:v>
      </x:c>
      <x:c r="E112" s="41">
        <x:f t="shared" si="47"/>
        <x:v>0</x:v>
      </x:c>
      <x:c r="F112" s="142" t="str">
        <x:f t="shared" si="47"/>
        <x:v/>
      </x:c>
      <x:c r="G112" s="145"/>
      <x:c r="H112" s="36">
        <x:f t="shared" ref="H112:L112" si="48">IF(H45="","",H45)</x:f>
        <x:v>0</x:v>
      </x:c>
      <x:c r="I112" s="41">
        <x:f t="shared" si="48"/>
        <x:v>0</x:v>
      </x:c>
      <x:c r="J112" s="41">
        <x:f t="shared" si="48"/>
        <x:v>0</x:v>
      </x:c>
      <x:c r="K112" s="41">
        <x:f t="shared" si="48"/>
        <x:v>0</x:v>
      </x:c>
      <x:c r="L112" s="150" t="str">
        <x:f t="shared" si="48"/>
        <x:v/>
      </x:c>
      <x:c r="M112" s="153"/>
    </x:row>
    <x:row r="113" spans="2:13" ht="24.949999999999999" customHeight="1">
      <x:c r="B113" s="36">
        <x:f t="shared" ref="B113:F113" si="49">IF(B46="","",B46)</x:f>
        <x:v>0</x:v>
      </x:c>
      <x:c r="C113" s="41">
        <x:f t="shared" si="49"/>
        <x:v>0</x:v>
      </x:c>
      <x:c r="D113" s="41">
        <x:f t="shared" si="49"/>
        <x:v>0</x:v>
      </x:c>
      <x:c r="E113" s="41">
        <x:f t="shared" si="49"/>
        <x:v>0</x:v>
      </x:c>
      <x:c r="F113" s="142" t="str">
        <x:f t="shared" si="49"/>
        <x:v/>
      </x:c>
      <x:c r="G113" s="145"/>
      <x:c r="H113" s="36">
        <x:f t="shared" ref="H113:L113" si="50">IF(H46="","",H46)</x:f>
        <x:v>0</x:v>
      </x:c>
      <x:c r="I113" s="41">
        <x:f t="shared" si="50"/>
        <x:v>0</x:v>
      </x:c>
      <x:c r="J113" s="41">
        <x:f t="shared" si="50"/>
        <x:v>0</x:v>
      </x:c>
      <x:c r="K113" s="41">
        <x:f t="shared" si="50"/>
        <x:v>0</x:v>
      </x:c>
      <x:c r="L113" s="150" t="str">
        <x:f t="shared" si="50"/>
        <x:v/>
      </x:c>
      <x:c r="M113" s="153"/>
    </x:row>
    <x:row r="114" spans="2:13" ht="24.949999999999999" customHeight="1">
      <x:c r="B114" s="36">
        <x:f t="shared" ref="B114:F114" si="51">IF(B47="","",B47)</x:f>
        <x:v>0</x:v>
      </x:c>
      <x:c r="C114" s="41">
        <x:f t="shared" si="51"/>
        <x:v>0</x:v>
      </x:c>
      <x:c r="D114" s="41">
        <x:f t="shared" si="51"/>
        <x:v>0</x:v>
      </x:c>
      <x:c r="E114" s="41">
        <x:f t="shared" si="51"/>
        <x:v>0</x:v>
      </x:c>
      <x:c r="F114" s="142" t="str">
        <x:f t="shared" si="51"/>
        <x:v/>
      </x:c>
      <x:c r="G114" s="145"/>
      <x:c r="H114" s="36">
        <x:f t="shared" ref="H114:L114" si="52">IF(H47="","",H47)</x:f>
        <x:v>0</x:v>
      </x:c>
      <x:c r="I114" s="41">
        <x:f t="shared" si="52"/>
        <x:v>0</x:v>
      </x:c>
      <x:c r="J114" s="41">
        <x:f t="shared" si="52"/>
        <x:v>0</x:v>
      </x:c>
      <x:c r="K114" s="41">
        <x:f t="shared" si="52"/>
        <x:v>0</x:v>
      </x:c>
      <x:c r="L114" s="150" t="str">
        <x:f t="shared" si="52"/>
        <x:v/>
      </x:c>
      <x:c r="M114" s="153"/>
    </x:row>
    <x:row r="115" spans="2:13" ht="24.949999999999999" customHeight="1">
      <x:c r="B115" s="37" t="str">
        <x:f t="shared" ref="B115:F115" si="53">IF(B48="","",B48)</x:f>
        <x:v/>
      </x:c>
      <x:c r="C115" s="42">
        <x:f t="shared" si="53"/>
        <x:v>0</x:v>
      </x:c>
      <x:c r="D115" s="42">
        <x:f t="shared" si="53"/>
        <x:v>0</x:v>
      </x:c>
      <x:c r="E115" s="42">
        <x:f t="shared" si="53"/>
        <x:v>0</x:v>
      </x:c>
      <x:c r="F115" s="143" t="str">
        <x:f t="shared" si="53"/>
        <x:v/>
      </x:c>
      <x:c r="G115" s="146"/>
      <x:c r="H115" s="37" t="str">
        <x:f t="shared" ref="H115:L115" si="54">IF(H48="","",H48)</x:f>
        <x:v/>
      </x:c>
      <x:c r="I115" s="42">
        <x:f t="shared" si="54"/>
        <x:v>0</x:v>
      </x:c>
      <x:c r="J115" s="42">
        <x:f t="shared" si="54"/>
        <x:v>0</x:v>
      </x:c>
      <x:c r="K115" s="42">
        <x:f t="shared" si="54"/>
        <x:v>0</x:v>
      </x:c>
      <x:c r="L115" s="151" t="str">
        <x:f t="shared" si="54"/>
        <x:v/>
      </x:c>
      <x:c r="M115" s="154"/>
    </x:row>
    <x:row r="116" spans="2:13" ht="24.949999999999999" customHeight="1"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</x:row>
    <x:row r="117" spans="2:13" ht="24.949999999999999" customHeight="1">
      <x:c r="B117" s="35">
        <x:f t="shared" ref="B117:M117" si="55">IF(B50="","",B50)</x:f>
        <x:v>0</x:v>
      </x:c>
      <x:c r="C117" s="40">
        <x:f t="shared" si="55"/>
        <x:v>0</x:v>
      </x:c>
      <x:c r="D117" s="40">
        <x:f t="shared" si="55"/>
        <x:v>0</x:v>
      </x:c>
      <x:c r="E117" s="40">
        <x:f t="shared" si="55"/>
        <x:v>0</x:v>
      </x:c>
      <x:c r="F117" s="149">
        <x:f t="shared" si="55"/>
        <x:v>0</x:v>
      </x:c>
      <x:c r="G117" s="152" t="str">
        <x:f t="shared" si="55"/>
        <x:v/>
      </x:c>
      <x:c r="H117" s="79">
        <x:f t="shared" si="55"/>
        <x:v>0</x:v>
      </x:c>
      <x:c r="I117" s="40">
        <x:f t="shared" si="55"/>
        <x:v>0</x:v>
      </x:c>
      <x:c r="J117" s="40">
        <x:f t="shared" si="55"/>
        <x:v>0</x:v>
      </x:c>
      <x:c r="K117" s="40">
        <x:f t="shared" si="55"/>
        <x:v>0</x:v>
      </x:c>
      <x:c r="L117" s="149">
        <x:f t="shared" si="55"/>
        <x:v>0</x:v>
      </x:c>
      <x:c r="M117" s="152" t="str">
        <x:f t="shared" si="55"/>
        <x:v/>
      </x:c>
    </x:row>
    <x:row r="118" spans="2:13" ht="24.949999999999999" customHeight="1">
      <x:c r="B118" s="36">
        <x:f t="shared" ref="B118:M118" si="56">IF(B51="","",B51)</x:f>
        <x:v>0</x:v>
      </x:c>
      <x:c r="C118" s="41">
        <x:f t="shared" si="56"/>
        <x:v>0</x:v>
      </x:c>
      <x:c r="D118" s="41">
        <x:f t="shared" si="56"/>
        <x:v>0</x:v>
      </x:c>
      <x:c r="E118" s="41">
        <x:f t="shared" si="56"/>
        <x:v>0</x:v>
      </x:c>
      <x:c r="F118" s="150" t="str">
        <x:f t="shared" si="56"/>
        <x:v/>
      </x:c>
      <x:c r="G118" s="153" t="str">
        <x:f t="shared" si="56"/>
        <x:v/>
      </x:c>
      <x:c r="H118" s="36">
        <x:f t="shared" si="56"/>
        <x:v>0</x:v>
      </x:c>
      <x:c r="I118" s="41">
        <x:f t="shared" si="56"/>
        <x:v>0</x:v>
      </x:c>
      <x:c r="J118" s="41">
        <x:f t="shared" si="56"/>
        <x:v>0</x:v>
      </x:c>
      <x:c r="K118" s="41">
        <x:f t="shared" si="56"/>
        <x:v>0</x:v>
      </x:c>
      <x:c r="L118" s="150" t="str">
        <x:f t="shared" si="56"/>
        <x:v/>
      </x:c>
      <x:c r="M118" s="153" t="str">
        <x:f t="shared" si="56"/>
        <x:v/>
      </x:c>
    </x:row>
    <x:row r="119" spans="2:13" ht="24.949999999999999" customHeight="1">
      <x:c r="B119" s="36">
        <x:f t="shared" ref="B119:M119" si="57">IF(B52="","",B52)</x:f>
        <x:v>0</x:v>
      </x:c>
      <x:c r="C119" s="41">
        <x:f t="shared" si="57"/>
        <x:v>0</x:v>
      </x:c>
      <x:c r="D119" s="41">
        <x:f t="shared" si="57"/>
        <x:v>0</x:v>
      </x:c>
      <x:c r="E119" s="41">
        <x:f t="shared" si="57"/>
        <x:v>0</x:v>
      </x:c>
      <x:c r="F119" s="150" t="str">
        <x:f t="shared" si="57"/>
        <x:v/>
      </x:c>
      <x:c r="G119" s="153" t="str">
        <x:f t="shared" si="57"/>
        <x:v/>
      </x:c>
      <x:c r="H119" s="36">
        <x:f t="shared" si="57"/>
        <x:v>0</x:v>
      </x:c>
      <x:c r="I119" s="41">
        <x:f t="shared" si="57"/>
        <x:v>0</x:v>
      </x:c>
      <x:c r="J119" s="41">
        <x:f t="shared" si="57"/>
        <x:v>0</x:v>
      </x:c>
      <x:c r="K119" s="41">
        <x:f t="shared" si="57"/>
        <x:v>0</x:v>
      </x:c>
      <x:c r="L119" s="150" t="str">
        <x:f t="shared" si="57"/>
        <x:v/>
      </x:c>
      <x:c r="M119" s="153" t="str">
        <x:f t="shared" si="57"/>
        <x:v/>
      </x:c>
    </x:row>
    <x:row r="120" spans="2:13" ht="24.949999999999999" customHeight="1">
      <x:c r="B120" s="36">
        <x:f t="shared" ref="B120:M120" si="58">IF(B53="","",B53)</x:f>
        <x:v>0</x:v>
      </x:c>
      <x:c r="C120" s="41">
        <x:f t="shared" si="58"/>
        <x:v>0</x:v>
      </x:c>
      <x:c r="D120" s="41">
        <x:f t="shared" si="58"/>
        <x:v>0</x:v>
      </x:c>
      <x:c r="E120" s="41">
        <x:f t="shared" si="58"/>
        <x:v>0</x:v>
      </x:c>
      <x:c r="F120" s="150" t="str">
        <x:f t="shared" si="58"/>
        <x:v/>
      </x:c>
      <x:c r="G120" s="153" t="str">
        <x:f t="shared" si="58"/>
        <x:v/>
      </x:c>
      <x:c r="H120" s="36">
        <x:f t="shared" si="58"/>
        <x:v>0</x:v>
      </x:c>
      <x:c r="I120" s="41">
        <x:f t="shared" si="58"/>
        <x:v>0</x:v>
      </x:c>
      <x:c r="J120" s="41">
        <x:f t="shared" si="58"/>
        <x:v>0</x:v>
      </x:c>
      <x:c r="K120" s="41">
        <x:f t="shared" si="58"/>
        <x:v>0</x:v>
      </x:c>
      <x:c r="L120" s="150" t="str">
        <x:f t="shared" si="58"/>
        <x:v/>
      </x:c>
      <x:c r="M120" s="153" t="str">
        <x:f t="shared" si="58"/>
        <x:v/>
      </x:c>
    </x:row>
    <x:row r="121" spans="2:13" ht="24.949999999999999" customHeight="1">
      <x:c r="B121" s="36">
        <x:f t="shared" ref="B121:M121" si="59">IF(B54="","",B54)</x:f>
        <x:v>0</x:v>
      </x:c>
      <x:c r="C121" s="41">
        <x:f t="shared" si="59"/>
        <x:v>0</x:v>
      </x:c>
      <x:c r="D121" s="41">
        <x:f t="shared" si="59"/>
        <x:v>0</x:v>
      </x:c>
      <x:c r="E121" s="41">
        <x:f t="shared" si="59"/>
        <x:v>0</x:v>
      </x:c>
      <x:c r="F121" s="150" t="str">
        <x:f t="shared" si="59"/>
        <x:v/>
      </x:c>
      <x:c r="G121" s="153" t="str">
        <x:f t="shared" si="59"/>
        <x:v/>
      </x:c>
      <x:c r="H121" s="36">
        <x:f t="shared" si="59"/>
        <x:v>0</x:v>
      </x:c>
      <x:c r="I121" s="41">
        <x:f t="shared" si="59"/>
        <x:v>0</x:v>
      </x:c>
      <x:c r="J121" s="41">
        <x:f t="shared" si="59"/>
        <x:v>0</x:v>
      </x:c>
      <x:c r="K121" s="41">
        <x:f t="shared" si="59"/>
        <x:v>0</x:v>
      </x:c>
      <x:c r="L121" s="150" t="str">
        <x:f t="shared" si="59"/>
        <x:v/>
      </x:c>
      <x:c r="M121" s="153" t="str">
        <x:f t="shared" si="59"/>
        <x:v/>
      </x:c>
    </x:row>
    <x:row r="122" spans="2:13" ht="24.949999999999999" customHeight="1">
      <x:c r="B122" s="36">
        <x:f t="shared" ref="B122:M122" si="60">IF(B55="","",B55)</x:f>
        <x:v>0</x:v>
      </x:c>
      <x:c r="C122" s="41">
        <x:f t="shared" si="60"/>
        <x:v>0</x:v>
      </x:c>
      <x:c r="D122" s="41">
        <x:f t="shared" si="60"/>
        <x:v>0</x:v>
      </x:c>
      <x:c r="E122" s="41">
        <x:f t="shared" si="60"/>
        <x:v>0</x:v>
      </x:c>
      <x:c r="F122" s="150" t="str">
        <x:f t="shared" si="60"/>
        <x:v/>
      </x:c>
      <x:c r="G122" s="153" t="str">
        <x:f t="shared" si="60"/>
        <x:v/>
      </x:c>
      <x:c r="H122" s="36">
        <x:f t="shared" si="60"/>
        <x:v>0</x:v>
      </x:c>
      <x:c r="I122" s="41">
        <x:f t="shared" si="60"/>
        <x:v>0</x:v>
      </x:c>
      <x:c r="J122" s="41">
        <x:f t="shared" si="60"/>
        <x:v>0</x:v>
      </x:c>
      <x:c r="K122" s="41">
        <x:f t="shared" si="60"/>
        <x:v>0</x:v>
      </x:c>
      <x:c r="L122" s="150" t="str">
        <x:f t="shared" si="60"/>
        <x:v/>
      </x:c>
      <x:c r="M122" s="153" t="str">
        <x:f t="shared" si="60"/>
        <x:v/>
      </x:c>
    </x:row>
    <x:row r="123" spans="2:13" ht="24.949999999999999" customHeight="1">
      <x:c r="B123" s="37" t="str">
        <x:f t="shared" ref="B123:M123" si="61">IF(B56="","",B56)</x:f>
        <x:v/>
      </x:c>
      <x:c r="C123" s="42">
        <x:f t="shared" si="61"/>
        <x:v>0</x:v>
      </x:c>
      <x:c r="D123" s="42">
        <x:f t="shared" si="61"/>
        <x:v>0</x:v>
      </x:c>
      <x:c r="E123" s="42">
        <x:f t="shared" si="61"/>
        <x:v>0</x:v>
      </x:c>
      <x:c r="F123" s="151" t="str">
        <x:f t="shared" si="61"/>
        <x:v/>
      </x:c>
      <x:c r="G123" s="154" t="str">
        <x:f t="shared" si="61"/>
        <x:v/>
      </x:c>
      <x:c r="H123" s="37" t="str">
        <x:f t="shared" si="61"/>
        <x:v/>
      </x:c>
      <x:c r="I123" s="42">
        <x:f t="shared" si="61"/>
        <x:v>0</x:v>
      </x:c>
      <x:c r="J123" s="42">
        <x:f t="shared" si="61"/>
        <x:v>0</x:v>
      </x:c>
      <x:c r="K123" s="42">
        <x:f t="shared" si="61"/>
        <x:v>0</x:v>
      </x:c>
      <x:c r="L123" s="151" t="str">
        <x:f t="shared" si="61"/>
        <x:v/>
      </x:c>
      <x:c r="M123" s="154" t="str">
        <x:f t="shared" si="61"/>
        <x:v/>
      </x:c>
    </x:row>
    <x:row r="124" ht="24.949999999999999" customHeight="1"/>
    <x:row r="125" spans="2:13" ht="24.949999999999999" customHeight="1">
      <x:c r="B125" s="35">
        <x:f t="shared" ref="B125:G125" si="62">IF(B58="","",B58)</x:f>
        <x:v>0</x:v>
      </x:c>
      <x:c r="C125" s="40">
        <x:f t="shared" si="62"/>
        <x:v>0</x:v>
      </x:c>
      <x:c r="D125" s="40">
        <x:f t="shared" si="62"/>
        <x:v>0</x:v>
      </x:c>
      <x:c r="E125" s="40">
        <x:f t="shared" si="62"/>
        <x:v>0</x:v>
      </x:c>
      <x:c r="F125" s="141">
        <x:f t="shared" si="62"/>
        <x:v>0</x:v>
      </x:c>
      <x:c r="G125" s="144" t="str">
        <x:f t="shared" si="62"/>
        <x:v/>
      </x:c>
      <x:c r="H125" s="18"/>
      <x:c r="I125" s="80"/>
      <x:c r="J125" s="80"/>
      <x:c r="K125" s="80"/>
      <x:c r="L125" s="147"/>
      <x:c r="M125" s="148"/>
    </x:row>
    <x:row r="126" spans="2:13" ht="24.949999999999999" customHeight="1">
      <x:c r="B126" s="36">
        <x:f t="shared" ref="B126:G126" si="63">IF(B59="","",B59)</x:f>
        <x:v>0</x:v>
      </x:c>
      <x:c r="C126" s="41">
        <x:f t="shared" si="63"/>
        <x:v>0</x:v>
      </x:c>
      <x:c r="D126" s="41">
        <x:f t="shared" si="63"/>
        <x:v>0</x:v>
      </x:c>
      <x:c r="E126" s="41">
        <x:f t="shared" si="63"/>
        <x:v>0</x:v>
      </x:c>
      <x:c r="F126" s="142" t="str">
        <x:f t="shared" si="63"/>
        <x:v/>
      </x:c>
      <x:c r="G126" s="145" t="str">
        <x:f t="shared" si="63"/>
        <x:v/>
      </x:c>
      <x:c r="H126" s="18"/>
      <x:c r="I126" s="80"/>
      <x:c r="J126" s="80"/>
      <x:c r="K126" s="80"/>
      <x:c r="L126" s="147"/>
      <x:c r="M126" s="148"/>
    </x:row>
    <x:row r="127" spans="2:13" ht="24.949999999999999" customHeight="1">
      <x:c r="B127" s="36">
        <x:f t="shared" ref="B127:G127" si="64">IF(B60="","",B60)</x:f>
        <x:v>0</x:v>
      </x:c>
      <x:c r="C127" s="41">
        <x:f t="shared" si="64"/>
        <x:v>0</x:v>
      </x:c>
      <x:c r="D127" s="41">
        <x:f t="shared" si="64"/>
        <x:v>0</x:v>
      </x:c>
      <x:c r="E127" s="41">
        <x:f t="shared" si="64"/>
        <x:v>0</x:v>
      </x:c>
      <x:c r="F127" s="142" t="str">
        <x:f t="shared" si="64"/>
        <x:v/>
      </x:c>
      <x:c r="G127" s="145" t="str">
        <x:f t="shared" si="64"/>
        <x:v/>
      </x:c>
      <x:c r="H127" s="18"/>
      <x:c r="I127" s="80"/>
      <x:c r="J127" s="80"/>
      <x:c r="K127" s="80"/>
      <x:c r="L127" s="147"/>
      <x:c r="M127" s="148"/>
    </x:row>
    <x:row r="128" spans="2:13" ht="24.949999999999999" customHeight="1">
      <x:c r="B128" s="36">
        <x:f t="shared" ref="B128:G128" si="65">IF(B61="","",B61)</x:f>
        <x:v>0</x:v>
      </x:c>
      <x:c r="C128" s="41">
        <x:f t="shared" si="65"/>
        <x:v>0</x:v>
      </x:c>
      <x:c r="D128" s="41">
        <x:f t="shared" si="65"/>
        <x:v>0</x:v>
      </x:c>
      <x:c r="E128" s="41">
        <x:f t="shared" si="65"/>
        <x:v>0</x:v>
      </x:c>
      <x:c r="F128" s="142" t="str">
        <x:f t="shared" si="65"/>
        <x:v/>
      </x:c>
      <x:c r="G128" s="145" t="str">
        <x:f t="shared" si="65"/>
        <x:v/>
      </x:c>
      <x:c r="H128" s="18"/>
      <x:c r="I128" s="80"/>
      <x:c r="J128" s="80"/>
      <x:c r="K128" s="80"/>
      <x:c r="L128" s="147"/>
      <x:c r="M128" s="148"/>
    </x:row>
    <x:row r="129" spans="2:13" ht="24.949999999999999" customHeight="1">
      <x:c r="B129" s="36">
        <x:f t="shared" ref="B129:G129" si="66">IF(B62="","",B62)</x:f>
        <x:v>0</x:v>
      </x:c>
      <x:c r="C129" s="41">
        <x:f t="shared" si="66"/>
        <x:v>0</x:v>
      </x:c>
      <x:c r="D129" s="41">
        <x:f t="shared" si="66"/>
        <x:v>0</x:v>
      </x:c>
      <x:c r="E129" s="41">
        <x:f t="shared" si="66"/>
        <x:v>0</x:v>
      </x:c>
      <x:c r="F129" s="142" t="str">
        <x:f t="shared" si="66"/>
        <x:v/>
      </x:c>
      <x:c r="G129" s="145" t="str">
        <x:f t="shared" si="66"/>
        <x:v/>
      </x:c>
      <x:c r="H129" s="18"/>
      <x:c r="I129" s="80"/>
      <x:c r="J129" s="80"/>
      <x:c r="K129" s="80"/>
      <x:c r="L129" s="147"/>
      <x:c r="M129" s="148"/>
    </x:row>
    <x:row r="130" spans="2:13" ht="24.949999999999999" customHeight="1">
      <x:c r="B130" s="36">
        <x:f t="shared" ref="B130:G130" si="67">IF(B63="","",B63)</x:f>
        <x:v>0</x:v>
      </x:c>
      <x:c r="C130" s="41">
        <x:f t="shared" si="67"/>
        <x:v>0</x:v>
      </x:c>
      <x:c r="D130" s="41">
        <x:f t="shared" si="67"/>
        <x:v>0</x:v>
      </x:c>
      <x:c r="E130" s="41">
        <x:f t="shared" si="67"/>
        <x:v>0</x:v>
      </x:c>
      <x:c r="F130" s="142" t="str">
        <x:f t="shared" si="67"/>
        <x:v/>
      </x:c>
      <x:c r="G130" s="145" t="str">
        <x:f t="shared" si="67"/>
        <x:v/>
      </x:c>
      <x:c r="H130" s="18"/>
      <x:c r="I130" s="80"/>
      <x:c r="J130" s="80"/>
      <x:c r="K130" s="80"/>
      <x:c r="L130" s="147"/>
      <x:c r="M130" s="148"/>
    </x:row>
    <x:row r="131" spans="2:13" ht="24.949999999999999" customHeight="1">
      <x:c r="B131" s="37" t="str">
        <x:f t="shared" ref="B131:G131" si="68">IF(B64="","",B64)</x:f>
        <x:v/>
      </x:c>
      <x:c r="C131" s="42">
        <x:f t="shared" si="68"/>
        <x:v>0</x:v>
      </x:c>
      <x:c r="D131" s="42">
        <x:f t="shared" si="68"/>
        <x:v>0</x:v>
      </x:c>
      <x:c r="E131" s="42">
        <x:f t="shared" si="68"/>
        <x:v>0</x:v>
      </x:c>
      <x:c r="F131" s="143" t="str">
        <x:f t="shared" si="68"/>
        <x:v/>
      </x:c>
      <x:c r="G131" s="146" t="str">
        <x:f t="shared" si="68"/>
        <x:v/>
      </x:c>
      <x:c r="H131" s="18"/>
      <x:c r="I131" s="81"/>
      <x:c r="J131" s="81"/>
      <x:c r="K131" s="81"/>
      <x:c r="L131" s="147"/>
      <x:c r="M131" s="148"/>
    </x:row>
  </x:sheetData>
  <x:mergeCells count="50">
    <x:mergeCell ref="F125:F131"/>
    <x:mergeCell ref="G125:G131"/>
    <x:mergeCell ref="L125:L131"/>
    <x:mergeCell ref="M125:M131"/>
    <x:mergeCell ref="F109:F115"/>
    <x:mergeCell ref="G109:G115"/>
    <x:mergeCell ref="L109:L115"/>
    <x:mergeCell ref="M109:M115"/>
    <x:mergeCell ref="F117:F123"/>
    <x:mergeCell ref="G117:G123"/>
    <x:mergeCell ref="L117:L123"/>
    <x:mergeCell ref="M117:M123"/>
    <x:mergeCell ref="B104:G104"/>
    <x:mergeCell ref="H104:H107"/>
    <x:mergeCell ref="I104:J104"/>
    <x:mergeCell ref="K104:M104"/>
    <x:mergeCell ref="B108:M108"/>
    <x:mergeCell ref="L69:M69"/>
    <x:mergeCell ref="B101:M101"/>
    <x:mergeCell ref="B102:E102"/>
    <x:mergeCell ref="F102:F103"/>
    <x:mergeCell ref="G102:I102"/>
    <x:mergeCell ref="J102:M102"/>
    <x:mergeCell ref="G103:I103"/>
    <x:mergeCell ref="F58:F64"/>
    <x:mergeCell ref="G58:G64"/>
    <x:mergeCell ref="L58:L64"/>
    <x:mergeCell ref="M58:M64"/>
    <x:mergeCell ref="A68:M68"/>
    <x:mergeCell ref="F42:F48"/>
    <x:mergeCell ref="G42:G48"/>
    <x:mergeCell ref="L42:L48"/>
    <x:mergeCell ref="M42:M48"/>
    <x:mergeCell ref="F50:F56"/>
    <x:mergeCell ref="G50:G56"/>
    <x:mergeCell ref="L50:L56"/>
    <x:mergeCell ref="M50:M56"/>
    <x:mergeCell ref="B37:G37"/>
    <x:mergeCell ref="H37:H40"/>
    <x:mergeCell ref="I37:J37"/>
    <x:mergeCell ref="K37:M37"/>
    <x:mergeCell ref="B41:M41"/>
    <x:mergeCell ref="A1:M1"/>
    <x:mergeCell ref="L2:M2"/>
    <x:mergeCell ref="B34:M34"/>
    <x:mergeCell ref="B35:E35"/>
    <x:mergeCell ref="F35:F36"/>
    <x:mergeCell ref="G35:I35"/>
    <x:mergeCell ref="J35:M35"/>
    <x:mergeCell ref="G36:I36"/>
  </x:mergeCells>
  <x:conditionalFormatting sqref="C38:C40">
    <x:cfRule type="cellIs" dxfId="155" priority="19" operator="greaterThan">
      <x:formula>199</x:formula>
    </x:cfRule>
  </x:conditionalFormatting>
  <x:conditionalFormatting sqref="C105:C107">
    <x:cfRule type="cellIs" dxfId="154" priority="3" operator="greaterThan">
      <x:formula>199</x:formula>
    </x:cfRule>
  </x:conditionalFormatting>
  <x:conditionalFormatting sqref="C4:E33">
    <x:cfRule type="cellIs" dxfId="153" priority="14" operator="between">
      <x:formula>200</x:formula>
      <x:formula>200</x:formula>
    </x:cfRule>
    <x:cfRule type="cellIs" dxfId="152" priority="13" operator="between">
      <x:formula>200</x:formula>
      <x:formula>300</x:formula>
    </x:cfRule>
  </x:conditionalFormatting>
  <x:conditionalFormatting sqref="C71:E100">
    <x:cfRule type="cellIs" dxfId="151" priority="7" operator="between">
      <x:formula>200</x:formula>
      <x:formula>200</x:formula>
    </x:cfRule>
    <x:cfRule type="cellIs" dxfId="150" priority="6" operator="between">
      <x:formula>200</x:formula>
      <x:formula>300</x:formula>
    </x:cfRule>
  </x:conditionalFormatting>
  <x:conditionalFormatting sqref="E38:E40">
    <x:cfRule type="cellIs" dxfId="149" priority="18" operator="greaterThan">
      <x:formula>199</x:formula>
    </x:cfRule>
  </x:conditionalFormatting>
  <x:conditionalFormatting sqref="E105:E107">
    <x:cfRule type="cellIs" dxfId="148" priority="2" operator="greaterThan">
      <x:formula>199</x:formula>
    </x:cfRule>
  </x:conditionalFormatting>
  <x:conditionalFormatting sqref="F4:F33">
    <x:cfRule type="cellIs" dxfId="147" priority="22" operator="greaterThan">
      <x:formula>599</x:formula>
    </x:cfRule>
    <x:cfRule type="cellIs" dxfId="146" priority="12" operator="between">
      <x:formula>600</x:formula>
      <x:formula>900</x:formula>
    </x:cfRule>
  </x:conditionalFormatting>
  <x:conditionalFormatting sqref="F71:F100">
    <x:cfRule type="cellIs" dxfId="145" priority="10" operator="greaterThan">
      <x:formula>599</x:formula>
    </x:cfRule>
    <x:cfRule type="cellIs" dxfId="144" priority="5" operator="between">
      <x:formula>600</x:formula>
      <x:formula>900</x:formula>
    </x:cfRule>
  </x:conditionalFormatting>
  <x:conditionalFormatting sqref="G4:G33">
    <x:cfRule type="cellIs" dxfId="143" priority="20" operator="greaterThan">
      <x:formula>199.9</x:formula>
    </x:cfRule>
  </x:conditionalFormatting>
  <x:conditionalFormatting sqref="G38:G40">
    <x:cfRule type="cellIs" dxfId="142" priority="17" operator="greaterThan">
      <x:formula>199</x:formula>
    </x:cfRule>
  </x:conditionalFormatting>
  <x:conditionalFormatting sqref="G71:G100">
    <x:cfRule type="cellIs" dxfId="141" priority="8" operator="greaterThan">
      <x:formula>199.9</x:formula>
    </x:cfRule>
  </x:conditionalFormatting>
  <x:conditionalFormatting sqref="G105:G107">
    <x:cfRule type="cellIs" dxfId="140" priority="1" operator="greaterThan">
      <x:formula>199</x:formula>
    </x:cfRule>
  </x:conditionalFormatting>
  <x:conditionalFormatting sqref="G4:H33">
    <x:cfRule type="cellIs" dxfId="139" priority="11" operator="between">
      <x:formula>200</x:formula>
      <x:formula>300</x:formula>
    </x:cfRule>
  </x:conditionalFormatting>
  <x:conditionalFormatting sqref="G71:H100">
    <x:cfRule type="cellIs" dxfId="138" priority="4" operator="between">
      <x:formula>200</x:formula>
      <x:formula>300</x:formula>
    </x:cfRule>
  </x:conditionalFormatting>
  <x:conditionalFormatting sqref="H4:H33">
    <x:cfRule type="cellIs" dxfId="137" priority="21" operator="greaterThan">
      <x:formula>199</x:formula>
    </x:cfRule>
  </x:conditionalFormatting>
  <x:conditionalFormatting sqref="H71:H100">
    <x:cfRule type="cellIs" dxfId="136" priority="9" operator="greaterThan">
      <x:formula>199</x:formula>
    </x:cfRule>
  </x:conditionalFormatting>
  <x:conditionalFormatting sqref="O37:O37">
    <x:cfRule type="cellIs" dxfId="135" priority="16" operator="greaterThan">
      <x:formula>200</x:formula>
    </x:cfRule>
  </x:conditionalFormatting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  <x:legacyDrawing r:id="rId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4"/>
  <x:dimension ref="A1:V125"/>
  <x:sheetViews>
    <x:sheetView topLeftCell="A91" zoomScale="85" zoomScaleNormal="85" zoomScaleSheetLayoutView="85" workbookViewId="0">
      <x:selection activeCell="K77" activeCellId="0" sqref="K77:K77"/>
    </x:sheetView>
  </x:sheetViews>
  <x:sheetFormatPr defaultColWidth="9" defaultRowHeight="16.399999999999999"/>
  <x:cols>
    <x:col min="1" max="1" width="4.625" style="11" customWidth="1"/>
    <x:col min="2" max="2" width="10.77734375" style="11" customWidth="1"/>
    <x:col min="3" max="7" width="9.625" style="11" customWidth="1"/>
    <x:col min="8" max="8" width="10.77734375" style="11" customWidth="1"/>
    <x:col min="9" max="11" width="9.625" style="11" customWidth="1"/>
    <x:col min="12" max="12" width="9" style="11" customWidth="1"/>
    <x:col min="13" max="13" width="9" style="11" bestFit="1" customWidth="1"/>
    <x:col min="14" max="14" width="9.875" style="11" bestFit="1" customWidth="1"/>
    <x:col min="15" max="15" width="9.375" style="11" customWidth="1"/>
    <x:col min="17" max="17" width="10.625" style="11" customWidth="1"/>
    <x:col min="19" max="19" width="13.125" style="11" customWidth="1"/>
    <x:col min="21" max="21" width="15" style="11" customWidth="1"/>
  </x:cols>
  <x:sheetData>
    <x:row r="1" spans="1:13" ht="60" customHeight="1">
      <x:c r="A1" s="185" t="s">
        <x:v>69</x:v>
      </x:c>
      <x:c r="B1" s="185"/>
      <x:c r="C1" s="185"/>
      <x:c r="D1" s="185"/>
      <x:c r="E1" s="185"/>
      <x:c r="F1" s="185"/>
      <x:c r="G1" s="185"/>
      <x:c r="H1" s="185"/>
      <x:c r="I1" s="185"/>
      <x:c r="J1" s="185"/>
      <x:c r="K1" s="185"/>
      <x:c r="L1" s="185"/>
      <x:c r="M1" s="185"/>
    </x:row>
    <x:row r="2" spans="1:22" ht="22.5" customHeight="1">
      <x:c r="A2" s="77"/>
      <x:c r="B2" s="77"/>
      <x:c r="C2" s="77"/>
      <x:c r="D2" s="77"/>
      <x:c r="E2" s="77"/>
      <x:c r="F2" s="77"/>
      <x:c r="G2" s="77"/>
      <x:c r="H2" s="77"/>
      <x:c r="I2" s="77"/>
      <x:c r="J2" s="77"/>
      <x:c r="K2" s="78" t="s">
        <x:v>8</x:v>
      </x:c>
      <x:c r="L2" s="166">
        <x:v>46113</x:v>
      </x:c>
      <x:c r="M2" s="167"/>
      <x:c r="S2" s="89" t="s">
        <x:v>44</x:v>
      </x:c>
      <x:c r="T2" s="90">
        <x:v>0</x:v>
      </x:c>
      <x:c r="U2" s="89" t="s">
        <x:v>61</x:v>
      </x:c>
      <x:c r="V2" s="90">
        <x:v>0</x:v>
      </x:c>
    </x:row>
    <x:row r="3" spans="1:22" ht="24.949999999999999" customHeight="1">
      <x:c r="A3" s="20"/>
      <x:c r="B3" s="14" t="s">
        <x:v>53</x:v>
      </x:c>
      <x:c r="C3" s="14" t="s">
        <x:v>2</x:v>
      </x:c>
      <x:c r="D3" s="14" t="s">
        <x:v>0</x:v>
      </x:c>
      <x:c r="E3" s="14" t="s">
        <x:v>10</x:v>
      </x:c>
      <x:c r="F3" s="14" t="s">
        <x:v>9</x:v>
      </x:c>
      <x:c r="G3" s="14" t="s">
        <x:v>6</x:v>
      </x:c>
      <x:c r="H3" s="16" t="s">
        <x:v>57</x:v>
      </x:c>
      <x:c r="I3" s="14" t="s">
        <x:v>2</x:v>
      </x:c>
      <x:c r="J3" s="14" t="s">
        <x:v>0</x:v>
      </x:c>
      <x:c r="K3" s="14" t="s">
        <x:v>10</x:v>
      </x:c>
      <x:c r="L3" s="15" t="s">
        <x:v>9</x:v>
      </x:c>
      <x:c r="M3" s="22" t="s">
        <x:v>13</x:v>
      </x:c>
      <x:c r="S3" s="92" t="s">
        <x:v>65</x:v>
      </x:c>
      <x:c r="T3" s="93"/>
      <x:c r="U3" s="93"/>
      <x:c r="V3" s="93"/>
    </x:row>
    <x:row r="4" spans="1:22" ht="24.949999999999999" customHeight="1">
      <x:c r="A4" s="12">
        <x:v>1</x:v>
      </x:c>
      <x:c r="B4" s="13"/>
      <x:c r="C4" s="62"/>
      <x:c r="D4" s="62"/>
      <x:c r="E4" s="62"/>
      <x:c r="F4" s="44">
        <x:f>SUM(C4:E4)</x:f>
        <x:v>0</x:v>
      </x:c>
      <x:c r="G4" s="45">
        <x:f>F4/3</x:f>
        <x:v>0</x:v>
      </x:c>
      <x:c r="H4" s="34" t="str">
        <x:f t="array" ref="H4:H4">IF(B4="","",IFERROR(INDEX('회원명단 및 기준에버'!D:G,MATCH(B4,'회원명단 및 기준에버'!$C:$C,0),CHOOSE(INT((MONTH($L$2)-1)/3)+1,1,2,3,4)),""))</x:f>
        <x:v/>
      </x:c>
      <x:c r="I4" s="38">
        <x:f>IFERROR(C4+-H4,0)</x:f>
        <x:v>0</x:v>
      </x:c>
      <x:c r="J4" s="38">
        <x:f>IFERROR(D4+-H4,0)</x:f>
        <x:v>0</x:v>
      </x:c>
      <x:c r="K4" s="38">
        <x:f>IFERROR(E4+-H4,0)</x:f>
        <x:v>0</x:v>
      </x:c>
      <x:c r="L4" s="63">
        <x:f>SUM(I4:K4)</x:f>
        <x:v>0</x:v>
      </x:c>
      <x:c r="M4" s="39">
        <x:f>IFERROR(G4+-H4,0)</x:f>
        <x:v>0</x:v>
      </x:c>
      <x:c r="N4" s="19"/>
      <x:c r="S4" s="104">
        <x:f t="shared" ref="S4:S33" si="0">MAX(C4:E4)-MIN(C4:E4)</x:f>
        <x:v>0</x:v>
      </x:c>
      <x:c r="T4" s="99">
        <x:f>IF($B4="",-999999999+A4,IF($V$2=0,(F4*10000+S4*1000+A4),(M4*10000+S4*10+A4)))</x:f>
        <x:v>-999999998</x:v>
      </x:c>
      <x:c r="U4" s="105">
        <x:f t="shared" ref="U4:U33" si="1">_xlfn.RANK.EQ(T4,$T$4:$T$33,0)</x:f>
        <x:v>30</x:v>
      </x:c>
      <x:c r="V4" s="106"/>
    </x:row>
    <x:row r="5" spans="1:22" ht="24.949999999999999" customHeight="1">
      <x:c r="A5" s="12">
        <x:v>2</x:v>
      </x:c>
      <x:c r="B5" s="13"/>
      <x:c r="C5" s="62"/>
      <x:c r="D5" s="62"/>
      <x:c r="E5" s="62"/>
      <x:c r="F5" s="44">
        <x:f>SUM(C5:E5)</x:f>
        <x:v>0</x:v>
      </x:c>
      <x:c r="G5" s="45">
        <x:f>F5/3</x:f>
        <x:v>0</x:v>
      </x:c>
      <x:c r="H5" s="34" t="str">
        <x:f t="array" ref="H5:H5">IF(B5="","",IFERROR(INDEX('회원명단 및 기준에버'!D:G,MATCH(B5,'회원명단 및 기준에버'!$C:$C,0),CHOOSE(INT((MONTH($L$2)-1)/3)+1,1,2,3,4)),""))</x:f>
        <x:v/>
      </x:c>
      <x:c r="I5" s="38">
        <x:f>IFERROR(C5+-H5,0)</x:f>
        <x:v>0</x:v>
      </x:c>
      <x:c r="J5" s="38">
        <x:f>IFERROR(D5+-H5,0)</x:f>
        <x:v>0</x:v>
      </x:c>
      <x:c r="K5" s="38">
        <x:f>IFERROR(E5+-H5,0)</x:f>
        <x:v>0</x:v>
      </x:c>
      <x:c r="L5" s="63">
        <x:f>SUM(I5:K5)</x:f>
        <x:v>0</x:v>
      </x:c>
      <x:c r="M5" s="39">
        <x:f>IFERROR(G5+-H5,0)</x:f>
        <x:v>0</x:v>
      </x:c>
      <x:c r="N5" s="19"/>
      <x:c r="S5" s="107">
        <x:f t="shared" si="0"/>
        <x:v>0</x:v>
      </x:c>
      <x:c r="T5" s="97">
        <x:f t="shared" ref="T5:T33" si="2">IF($B5="",-999999999+A5,IF($V$2=0,(F5*10000+S5*1000+A5),(M5*10000+S5*10+A5)))</x:f>
        <x:v>-999999997</x:v>
      </x:c>
      <x:c r="U5" s="91">
        <x:f t="shared" si="1"/>
        <x:v>29</x:v>
      </x:c>
      <x:c r="V5" s="108"/>
    </x:row>
    <x:row r="6" spans="1:22" ht="24.949999999999999" customHeight="1">
      <x:c r="A6" s="12">
        <x:v>3</x:v>
      </x:c>
      <x:c r="B6" s="13"/>
      <x:c r="C6" s="62"/>
      <x:c r="D6" s="62"/>
      <x:c r="E6" s="62"/>
      <x:c r="F6" s="44">
        <x:f>SUM(C6:E6)</x:f>
        <x:v>0</x:v>
      </x:c>
      <x:c r="G6" s="45">
        <x:f>F6/3</x:f>
        <x:v>0</x:v>
      </x:c>
      <x:c r="H6" s="34" t="str">
        <x:f t="array" ref="H6:H6">IF(B6="","",IFERROR(INDEX('회원명단 및 기준에버'!D:G,MATCH(B6,'회원명단 및 기준에버'!$C:$C,0),CHOOSE(INT((MONTH($L$2)-1)/3)+1,1,2,3,4)),""))</x:f>
        <x:v/>
      </x:c>
      <x:c r="I6" s="38">
        <x:f t="shared" ref="I6:I27" si="3">IFERROR(C6+-H6,0)</x:f>
        <x:v>0</x:v>
      </x:c>
      <x:c r="J6" s="38">
        <x:f t="shared" ref="J6:J27" si="4">IFERROR(D6+-H6,0)</x:f>
        <x:v>0</x:v>
      </x:c>
      <x:c r="K6" s="38">
        <x:f t="shared" ref="K6:K27" si="5">IFERROR(E6+-H6,0)</x:f>
        <x:v>0</x:v>
      </x:c>
      <x:c r="L6" s="63">
        <x:f t="shared" ref="L6:L27" si="6">SUM(I6:K6)</x:f>
        <x:v>0</x:v>
      </x:c>
      <x:c r="M6" s="39">
        <x:f t="shared" ref="M6:M27" si="7">IFERROR(G6+-H6,0)</x:f>
        <x:v>0</x:v>
      </x:c>
      <x:c r="S6" s="107">
        <x:f t="shared" si="0"/>
        <x:v>0</x:v>
      </x:c>
      <x:c r="T6" s="97">
        <x:f t="shared" si="2"/>
        <x:v>-999999996</x:v>
      </x:c>
      <x:c r="U6" s="91">
        <x:f t="shared" si="1"/>
        <x:v>28</x:v>
      </x:c>
      <x:c r="V6" s="108"/>
    </x:row>
    <x:row r="7" spans="1:22" ht="24.949999999999999" customHeight="1">
      <x:c r="A7" s="12">
        <x:v>4</x:v>
      </x:c>
      <x:c r="B7" s="13"/>
      <x:c r="C7" s="62"/>
      <x:c r="D7" s="62"/>
      <x:c r="E7" s="62"/>
      <x:c r="F7" s="44">
        <x:f>SUM(C7:E7)</x:f>
        <x:v>0</x:v>
      </x:c>
      <x:c r="G7" s="45">
        <x:f>F7/3</x:f>
        <x:v>0</x:v>
      </x:c>
      <x:c r="H7" s="34" t="str">
        <x:f t="array" ref="H7:H7">IF(B7="","",IFERROR(INDEX('회원명단 및 기준에버'!D:G,MATCH(B7,'회원명단 및 기준에버'!$C:$C,0),CHOOSE(INT((MONTH($L$2)-1)/3)+1,1,2,3,4)),""))</x:f>
        <x:v/>
      </x:c>
      <x:c r="I7" s="38">
        <x:f t="shared" si="3"/>
        <x:v>0</x:v>
      </x:c>
      <x:c r="J7" s="38">
        <x:f t="shared" si="4"/>
        <x:v>0</x:v>
      </x:c>
      <x:c r="K7" s="38">
        <x:f t="shared" si="5"/>
        <x:v>0</x:v>
      </x:c>
      <x:c r="L7" s="63">
        <x:f t="shared" si="6"/>
        <x:v>0</x:v>
      </x:c>
      <x:c r="M7" s="39">
        <x:f t="shared" si="7"/>
        <x:v>0</x:v>
      </x:c>
      <x:c r="S7" s="107">
        <x:f t="shared" si="0"/>
        <x:v>0</x:v>
      </x:c>
      <x:c r="T7" s="97">
        <x:f t="shared" si="2"/>
        <x:v>-999999995</x:v>
      </x:c>
      <x:c r="U7" s="91">
        <x:f t="shared" si="1"/>
        <x:v>27</x:v>
      </x:c>
      <x:c r="V7" s="108"/>
    </x:row>
    <x:row r="8" spans="1:22" ht="24.949999999999999" customHeight="1">
      <x:c r="A8" s="12">
        <x:v>5</x:v>
      </x:c>
      <x:c r="B8" s="13"/>
      <x:c r="C8" s="62"/>
      <x:c r="D8" s="62"/>
      <x:c r="E8" s="62"/>
      <x:c r="F8" s="44">
        <x:f t="shared" ref="F8:F27" si="8">SUM(C8:E8)</x:f>
        <x:v>0</x:v>
      </x:c>
      <x:c r="G8" s="45">
        <x:f t="shared" ref="G8:G27" si="9">F8/3</x:f>
        <x:v>0</x:v>
      </x:c>
      <x:c r="H8" s="34" t="str">
        <x:f t="array" ref="H8:H8">IF(B8="","",IFERROR(INDEX('회원명단 및 기준에버'!D:G,MATCH(B8,'회원명단 및 기준에버'!$C:$C,0),CHOOSE(INT((MONTH($L$2)-1)/3)+1,1,2,3,4)),""))</x:f>
        <x:v/>
      </x:c>
      <x:c r="I8" s="38">
        <x:f t="shared" si="3"/>
        <x:v>0</x:v>
      </x:c>
      <x:c r="J8" s="38">
        <x:f t="shared" si="4"/>
        <x:v>0</x:v>
      </x:c>
      <x:c r="K8" s="38">
        <x:f t="shared" si="5"/>
        <x:v>0</x:v>
      </x:c>
      <x:c r="L8" s="63">
        <x:f t="shared" si="6"/>
        <x:v>0</x:v>
      </x:c>
      <x:c r="M8" s="39">
        <x:f t="shared" si="7"/>
        <x:v>0</x:v>
      </x:c>
      <x:c r="S8" s="107">
        <x:f t="shared" si="0"/>
        <x:v>0</x:v>
      </x:c>
      <x:c r="T8" s="97">
        <x:f t="shared" si="2"/>
        <x:v>-999999994</x:v>
      </x:c>
      <x:c r="U8" s="91">
        <x:f t="shared" si="1"/>
        <x:v>26</x:v>
      </x:c>
      <x:c r="V8" s="108"/>
    </x:row>
    <x:row r="9" spans="1:22" ht="24.949999999999999" customHeight="1">
      <x:c r="A9" s="12">
        <x:v>6</x:v>
      </x:c>
      <x:c r="B9" s="13"/>
      <x:c r="C9" s="62"/>
      <x:c r="D9" s="62"/>
      <x:c r="E9" s="62"/>
      <x:c r="F9" s="44">
        <x:f t="shared" si="8"/>
        <x:v>0</x:v>
      </x:c>
      <x:c r="G9" s="45">
        <x:f t="shared" si="9"/>
        <x:v>0</x:v>
      </x:c>
      <x:c r="H9" s="34" t="str">
        <x:f t="array" ref="H9:H9">IF(B9="","",IFERROR(INDEX('회원명단 및 기준에버'!D:G,MATCH(B9,'회원명단 및 기준에버'!$C:$C,0),CHOOSE(INT((MONTH($L$2)-1)/3)+1,1,2,3,4)),""))</x:f>
        <x:v/>
      </x:c>
      <x:c r="I9" s="38">
        <x:f t="shared" si="3"/>
        <x:v>0</x:v>
      </x:c>
      <x:c r="J9" s="38">
        <x:f t="shared" si="4"/>
        <x:v>0</x:v>
      </x:c>
      <x:c r="K9" s="38">
        <x:f t="shared" si="5"/>
        <x:v>0</x:v>
      </x:c>
      <x:c r="L9" s="63">
        <x:f t="shared" si="6"/>
        <x:v>0</x:v>
      </x:c>
      <x:c r="M9" s="39">
        <x:f t="shared" si="7"/>
        <x:v>0</x:v>
      </x:c>
      <x:c r="S9" s="107">
        <x:f t="shared" si="0"/>
        <x:v>0</x:v>
      </x:c>
      <x:c r="T9" s="97">
        <x:f t="shared" si="2"/>
        <x:v>-999999993</x:v>
      </x:c>
      <x:c r="U9" s="91">
        <x:f t="shared" si="1"/>
        <x:v>25</x:v>
      </x:c>
      <x:c r="V9" s="108"/>
    </x:row>
    <x:row r="10" spans="1:22" ht="24.949999999999999" customHeight="1">
      <x:c r="A10" s="12">
        <x:v>7</x:v>
      </x:c>
      <x:c r="B10" s="13"/>
      <x:c r="C10" s="62"/>
      <x:c r="D10" s="62"/>
      <x:c r="E10" s="62"/>
      <x:c r="F10" s="44">
        <x:f t="shared" si="8"/>
        <x:v>0</x:v>
      </x:c>
      <x:c r="G10" s="45">
        <x:f t="shared" si="9"/>
        <x:v>0</x:v>
      </x:c>
      <x:c r="H10" s="34" t="str">
        <x:f t="array" ref="H10:H10">IF(B10="","",IFERROR(INDEX('회원명단 및 기준에버'!D:G,MATCH(B10,'회원명단 및 기준에버'!$C:$C,0),CHOOSE(INT((MONTH($L$2)-1)/3)+1,1,2,3,4)),""))</x:f>
        <x:v/>
      </x:c>
      <x:c r="I10" s="38">
        <x:f t="shared" si="3"/>
        <x:v>0</x:v>
      </x:c>
      <x:c r="J10" s="38">
        <x:f t="shared" si="4"/>
        <x:v>0</x:v>
      </x:c>
      <x:c r="K10" s="38">
        <x:f t="shared" si="5"/>
        <x:v>0</x:v>
      </x:c>
      <x:c r="L10" s="63">
        <x:f t="shared" si="6"/>
        <x:v>0</x:v>
      </x:c>
      <x:c r="M10" s="39">
        <x:f t="shared" si="7"/>
        <x:v>0</x:v>
      </x:c>
      <x:c r="S10" s="107">
        <x:f t="shared" si="0"/>
        <x:v>0</x:v>
      </x:c>
      <x:c r="T10" s="97">
        <x:f t="shared" si="2"/>
        <x:v>-999999992</x:v>
      </x:c>
      <x:c r="U10" s="91">
        <x:f t="shared" si="1"/>
        <x:v>24</x:v>
      </x:c>
      <x:c r="V10" s="108"/>
    </x:row>
    <x:row r="11" spans="1:22" ht="24.949999999999999" customHeight="1">
      <x:c r="A11" s="12">
        <x:v>8</x:v>
      </x:c>
      <x:c r="B11" s="13"/>
      <x:c r="C11" s="62"/>
      <x:c r="D11" s="62"/>
      <x:c r="E11" s="62"/>
      <x:c r="F11" s="44">
        <x:f t="shared" si="8"/>
        <x:v>0</x:v>
      </x:c>
      <x:c r="G11" s="45">
        <x:f t="shared" si="9"/>
        <x:v>0</x:v>
      </x:c>
      <x:c r="H11" s="34" t="str">
        <x:f t="array" ref="H11:H11">IF(B11="","",IFERROR(INDEX('회원명단 및 기준에버'!D:G,MATCH(B11,'회원명단 및 기준에버'!$C:$C,0),CHOOSE(INT((MONTH($L$2)-1)/3)+1,1,2,3,4)),""))</x:f>
        <x:v/>
      </x:c>
      <x:c r="I11" s="38">
        <x:f t="shared" si="3"/>
        <x:v>0</x:v>
      </x:c>
      <x:c r="J11" s="38">
        <x:f t="shared" si="4"/>
        <x:v>0</x:v>
      </x:c>
      <x:c r="K11" s="38">
        <x:f t="shared" si="5"/>
        <x:v>0</x:v>
      </x:c>
      <x:c r="L11" s="63">
        <x:f t="shared" si="6"/>
        <x:v>0</x:v>
      </x:c>
      <x:c r="M11" s="39">
        <x:f t="shared" si="7"/>
        <x:v>0</x:v>
      </x:c>
      <x:c r="S11" s="107">
        <x:f t="shared" si="0"/>
        <x:v>0</x:v>
      </x:c>
      <x:c r="T11" s="97">
        <x:f t="shared" si="2"/>
        <x:v>-999999991</x:v>
      </x:c>
      <x:c r="U11" s="91">
        <x:f t="shared" si="1"/>
        <x:v>23</x:v>
      </x:c>
      <x:c r="V11" s="108"/>
    </x:row>
    <x:row r="12" spans="1:22" ht="24.949999999999999" customHeight="1">
      <x:c r="A12" s="12">
        <x:v>9</x:v>
      </x:c>
      <x:c r="B12" s="13"/>
      <x:c r="C12" s="62"/>
      <x:c r="D12" s="62"/>
      <x:c r="E12" s="62"/>
      <x:c r="F12" s="44">
        <x:f t="shared" si="8"/>
        <x:v>0</x:v>
      </x:c>
      <x:c r="G12" s="45">
        <x:f t="shared" si="9"/>
        <x:v>0</x:v>
      </x:c>
      <x:c r="H12" s="34" t="str">
        <x:f t="array" ref="H12:H12">IF(B12="","",IFERROR(INDEX('회원명단 및 기준에버'!D:G,MATCH(B12,'회원명단 및 기준에버'!$C:$C,0),CHOOSE(INT((MONTH($L$2)-1)/3)+1,1,2,3,4)),""))</x:f>
        <x:v/>
      </x:c>
      <x:c r="I12" s="38">
        <x:f t="shared" si="3"/>
        <x:v>0</x:v>
      </x:c>
      <x:c r="J12" s="38">
        <x:f t="shared" si="4"/>
        <x:v>0</x:v>
      </x:c>
      <x:c r="K12" s="38">
        <x:f t="shared" si="5"/>
        <x:v>0</x:v>
      </x:c>
      <x:c r="L12" s="63">
        <x:f t="shared" si="6"/>
        <x:v>0</x:v>
      </x:c>
      <x:c r="M12" s="39">
        <x:f t="shared" si="7"/>
        <x:v>0</x:v>
      </x:c>
      <x:c r="S12" s="107">
        <x:f t="shared" si="0"/>
        <x:v>0</x:v>
      </x:c>
      <x:c r="T12" s="97">
        <x:f t="shared" si="2"/>
        <x:v>-999999990</x:v>
      </x:c>
      <x:c r="U12" s="91">
        <x:f t="shared" si="1"/>
        <x:v>22</x:v>
      </x:c>
      <x:c r="V12" s="108"/>
    </x:row>
    <x:row r="13" spans="1:22" ht="24.949999999999999" customHeight="1">
      <x:c r="A13" s="12">
        <x:v>10</x:v>
      </x:c>
      <x:c r="B13" s="13"/>
      <x:c r="C13" s="62"/>
      <x:c r="D13" s="62"/>
      <x:c r="E13" s="62"/>
      <x:c r="F13" s="44">
        <x:f t="shared" si="8"/>
        <x:v>0</x:v>
      </x:c>
      <x:c r="G13" s="45">
        <x:f t="shared" si="9"/>
        <x:v>0</x:v>
      </x:c>
      <x:c r="H13" s="34" t="str">
        <x:f t="array" ref="H13:H13">IF(B13="","",IFERROR(INDEX('회원명단 및 기준에버'!D:G,MATCH(B13,'회원명단 및 기준에버'!$C:$C,0),CHOOSE(INT((MONTH($L$2)-1)/3)+1,1,2,3,4)),""))</x:f>
        <x:v/>
      </x:c>
      <x:c r="I13" s="38">
        <x:f t="shared" si="3"/>
        <x:v>0</x:v>
      </x:c>
      <x:c r="J13" s="38">
        <x:f t="shared" si="4"/>
        <x:v>0</x:v>
      </x:c>
      <x:c r="K13" s="38">
        <x:f t="shared" si="5"/>
        <x:v>0</x:v>
      </x:c>
      <x:c r="L13" s="63">
        <x:f t="shared" si="6"/>
        <x:v>0</x:v>
      </x:c>
      <x:c r="M13" s="39">
        <x:f t="shared" si="7"/>
        <x:v>0</x:v>
      </x:c>
      <x:c r="S13" s="107">
        <x:f t="shared" si="0"/>
        <x:v>0</x:v>
      </x:c>
      <x:c r="T13" s="97">
        <x:f t="shared" si="2"/>
        <x:v>-999999989</x:v>
      </x:c>
      <x:c r="U13" s="91">
        <x:f t="shared" si="1"/>
        <x:v>21</x:v>
      </x:c>
      <x:c r="V13" s="108"/>
    </x:row>
    <x:row r="14" spans="1:22" ht="24.949999999999999" customHeight="1">
      <x:c r="A14" s="12">
        <x:v>11</x:v>
      </x:c>
      <x:c r="B14" s="13"/>
      <x:c r="C14" s="62"/>
      <x:c r="D14" s="62"/>
      <x:c r="E14" s="62"/>
      <x:c r="F14" s="44">
        <x:f t="shared" si="8"/>
        <x:v>0</x:v>
      </x:c>
      <x:c r="G14" s="45">
        <x:f t="shared" si="9"/>
        <x:v>0</x:v>
      </x:c>
      <x:c r="H14" s="34" t="str">
        <x:f t="array" ref="H14:H14">IF(B14="","",IFERROR(INDEX('회원명단 및 기준에버'!D:G,MATCH(B14,'회원명단 및 기준에버'!$C:$C,0),CHOOSE(INT((MONTH($L$2)-1)/3)+1,1,2,3,4)),""))</x:f>
        <x:v/>
      </x:c>
      <x:c r="I14" s="38">
        <x:f t="shared" si="3"/>
        <x:v>0</x:v>
      </x:c>
      <x:c r="J14" s="38">
        <x:f t="shared" si="4"/>
        <x:v>0</x:v>
      </x:c>
      <x:c r="K14" s="38">
        <x:f t="shared" si="5"/>
        <x:v>0</x:v>
      </x:c>
      <x:c r="L14" s="63">
        <x:f t="shared" si="6"/>
        <x:v>0</x:v>
      </x:c>
      <x:c r="M14" s="39">
        <x:f t="shared" si="7"/>
        <x:v>0</x:v>
      </x:c>
      <x:c r="S14" s="107">
        <x:f t="shared" si="0"/>
        <x:v>0</x:v>
      </x:c>
      <x:c r="T14" s="97">
        <x:f t="shared" si="2"/>
        <x:v>-999999988</x:v>
      </x:c>
      <x:c r="U14" s="91">
        <x:f t="shared" si="1"/>
        <x:v>20</x:v>
      </x:c>
      <x:c r="V14" s="108"/>
    </x:row>
    <x:row r="15" spans="1:22" ht="24.949999999999999" customHeight="1">
      <x:c r="A15" s="12">
        <x:v>12</x:v>
      </x:c>
      <x:c r="B15" s="13"/>
      <x:c r="C15" s="62"/>
      <x:c r="D15" s="62"/>
      <x:c r="E15" s="62"/>
      <x:c r="F15" s="44">
        <x:f t="shared" si="8"/>
        <x:v>0</x:v>
      </x:c>
      <x:c r="G15" s="45">
        <x:f t="shared" si="9"/>
        <x:v>0</x:v>
      </x:c>
      <x:c r="H15" s="34" t="str">
        <x:f t="array" ref="H15:H15">IF(B15="","",IFERROR(INDEX('회원명단 및 기준에버'!D:G,MATCH(B15,'회원명단 및 기준에버'!$C:$C,0),CHOOSE(INT((MONTH($L$2)-1)/3)+1,1,2,3,4)),""))</x:f>
        <x:v/>
      </x:c>
      <x:c r="I15" s="38">
        <x:f t="shared" si="3"/>
        <x:v>0</x:v>
      </x:c>
      <x:c r="J15" s="38">
        <x:f t="shared" si="4"/>
        <x:v>0</x:v>
      </x:c>
      <x:c r="K15" s="38">
        <x:f t="shared" si="5"/>
        <x:v>0</x:v>
      </x:c>
      <x:c r="L15" s="63">
        <x:f t="shared" si="6"/>
        <x:v>0</x:v>
      </x:c>
      <x:c r="M15" s="39">
        <x:f t="shared" si="7"/>
        <x:v>0</x:v>
      </x:c>
      <x:c r="S15" s="107">
        <x:f t="shared" si="0"/>
        <x:v>0</x:v>
      </x:c>
      <x:c r="T15" s="97">
        <x:f t="shared" si="2"/>
        <x:v>-999999987</x:v>
      </x:c>
      <x:c r="U15" s="91">
        <x:f t="shared" si="1"/>
        <x:v>19</x:v>
      </x:c>
      <x:c r="V15" s="108"/>
    </x:row>
    <x:row r="16" spans="1:22" ht="24.949999999999999" customHeight="1">
      <x:c r="A16" s="12">
        <x:v>13</x:v>
      </x:c>
      <x:c r="B16" s="13"/>
      <x:c r="C16" s="62"/>
      <x:c r="D16" s="62"/>
      <x:c r="E16" s="62"/>
      <x:c r="F16" s="44">
        <x:f t="shared" si="8"/>
        <x:v>0</x:v>
      </x:c>
      <x:c r="G16" s="45">
        <x:f t="shared" si="9"/>
        <x:v>0</x:v>
      </x:c>
      <x:c r="H16" s="34" t="str">
        <x:f t="array" ref="H16:H16">IF(B16="","",IFERROR(INDEX('회원명단 및 기준에버'!D:G,MATCH(B16,'회원명단 및 기준에버'!$C:$C,0),CHOOSE(INT((MONTH($L$2)-1)/3)+1,1,2,3,4)),""))</x:f>
        <x:v/>
      </x:c>
      <x:c r="I16" s="38">
        <x:f t="shared" si="3"/>
        <x:v>0</x:v>
      </x:c>
      <x:c r="J16" s="38">
        <x:f t="shared" si="4"/>
        <x:v>0</x:v>
      </x:c>
      <x:c r="K16" s="38">
        <x:f t="shared" si="5"/>
        <x:v>0</x:v>
      </x:c>
      <x:c r="L16" s="63">
        <x:f t="shared" si="6"/>
        <x:v>0</x:v>
      </x:c>
      <x:c r="M16" s="39">
        <x:f t="shared" si="7"/>
        <x:v>0</x:v>
      </x:c>
      <x:c r="S16" s="107">
        <x:f t="shared" si="0"/>
        <x:v>0</x:v>
      </x:c>
      <x:c r="T16" s="97">
        <x:f t="shared" si="2"/>
        <x:v>-999999986</x:v>
      </x:c>
      <x:c r="U16" s="91">
        <x:f t="shared" si="1"/>
        <x:v>18</x:v>
      </x:c>
      <x:c r="V16" s="108"/>
    </x:row>
    <x:row r="17" spans="1:22" ht="24.949999999999999" customHeight="1">
      <x:c r="A17" s="12">
        <x:v>14</x:v>
      </x:c>
      <x:c r="B17" s="13"/>
      <x:c r="C17" s="62"/>
      <x:c r="D17" s="62"/>
      <x:c r="E17" s="62"/>
      <x:c r="F17" s="44">
        <x:f t="shared" si="8"/>
        <x:v>0</x:v>
      </x:c>
      <x:c r="G17" s="45">
        <x:f t="shared" si="9"/>
        <x:v>0</x:v>
      </x:c>
      <x:c r="H17" s="34" t="str">
        <x:f t="array" ref="H17:H17">IF(B17="","",IFERROR(INDEX('회원명단 및 기준에버'!D:G,MATCH(B17,'회원명단 및 기준에버'!$C:$C,0),CHOOSE(INT((MONTH($L$2)-1)/3)+1,1,2,3,4)),""))</x:f>
        <x:v/>
      </x:c>
      <x:c r="I17" s="38">
        <x:f t="shared" si="3"/>
        <x:v>0</x:v>
      </x:c>
      <x:c r="J17" s="38">
        <x:f t="shared" si="4"/>
        <x:v>0</x:v>
      </x:c>
      <x:c r="K17" s="38">
        <x:f t="shared" si="5"/>
        <x:v>0</x:v>
      </x:c>
      <x:c r="L17" s="63">
        <x:f t="shared" si="6"/>
        <x:v>0</x:v>
      </x:c>
      <x:c r="M17" s="39">
        <x:f t="shared" si="7"/>
        <x:v>0</x:v>
      </x:c>
      <x:c r="S17" s="107">
        <x:f t="shared" si="0"/>
        <x:v>0</x:v>
      </x:c>
      <x:c r="T17" s="97">
        <x:f t="shared" si="2"/>
        <x:v>-999999985</x:v>
      </x:c>
      <x:c r="U17" s="91">
        <x:f t="shared" si="1"/>
        <x:v>17</x:v>
      </x:c>
      <x:c r="V17" s="108"/>
    </x:row>
    <x:row r="18" spans="1:22" ht="24.949999999999999" customHeight="1">
      <x:c r="A18" s="12">
        <x:v>15</x:v>
      </x:c>
      <x:c r="B18" s="13"/>
      <x:c r="C18" s="62"/>
      <x:c r="D18" s="62"/>
      <x:c r="E18" s="62"/>
      <x:c r="F18" s="44">
        <x:f t="shared" si="8"/>
        <x:v>0</x:v>
      </x:c>
      <x:c r="G18" s="45">
        <x:f t="shared" si="9"/>
        <x:v>0</x:v>
      </x:c>
      <x:c r="H18" s="34" t="str">
        <x:f t="array" ref="H18:H18">IF(B18="","",IFERROR(INDEX('회원명단 및 기준에버'!D:G,MATCH(B18,'회원명단 및 기준에버'!$C:$C,0),CHOOSE(INT((MONTH($L$2)-1)/3)+1,1,2,3,4)),""))</x:f>
        <x:v/>
      </x:c>
      <x:c r="I18" s="38">
        <x:f t="shared" si="3"/>
        <x:v>0</x:v>
      </x:c>
      <x:c r="J18" s="38">
        <x:f t="shared" si="4"/>
        <x:v>0</x:v>
      </x:c>
      <x:c r="K18" s="38">
        <x:f t="shared" si="5"/>
        <x:v>0</x:v>
      </x:c>
      <x:c r="L18" s="63">
        <x:f t="shared" si="6"/>
        <x:v>0</x:v>
      </x:c>
      <x:c r="M18" s="39">
        <x:f t="shared" si="7"/>
        <x:v>0</x:v>
      </x:c>
      <x:c r="S18" s="107">
        <x:f t="shared" si="0"/>
        <x:v>0</x:v>
      </x:c>
      <x:c r="T18" s="97">
        <x:f t="shared" si="2"/>
        <x:v>-999999984</x:v>
      </x:c>
      <x:c r="U18" s="91">
        <x:f t="shared" si="1"/>
        <x:v>16</x:v>
      </x:c>
      <x:c r="V18" s="108"/>
    </x:row>
    <x:row r="19" spans="1:22" ht="24.949999999999999" customHeight="1">
      <x:c r="A19" s="12">
        <x:v>16</x:v>
      </x:c>
      <x:c r="B19" s="13"/>
      <x:c r="C19" s="62"/>
      <x:c r="D19" s="62"/>
      <x:c r="E19" s="62"/>
      <x:c r="F19" s="44">
        <x:f t="shared" si="8"/>
        <x:v>0</x:v>
      </x:c>
      <x:c r="G19" s="45">
        <x:f t="shared" si="9"/>
        <x:v>0</x:v>
      </x:c>
      <x:c r="H19" s="34" t="str">
        <x:f t="array" ref="H19:H19">IF(B19="","",IFERROR(INDEX('회원명단 및 기준에버'!D:G,MATCH(B19,'회원명단 및 기준에버'!$C:$C,0),CHOOSE(INT((MONTH($L$2)-1)/3)+1,1,2,3,4)),""))</x:f>
        <x:v/>
      </x:c>
      <x:c r="I19" s="38">
        <x:f t="shared" si="3"/>
        <x:v>0</x:v>
      </x:c>
      <x:c r="J19" s="38">
        <x:f t="shared" si="4"/>
        <x:v>0</x:v>
      </x:c>
      <x:c r="K19" s="38">
        <x:f t="shared" si="5"/>
        <x:v>0</x:v>
      </x:c>
      <x:c r="L19" s="63">
        <x:f t="shared" si="6"/>
        <x:v>0</x:v>
      </x:c>
      <x:c r="M19" s="39">
        <x:f t="shared" si="7"/>
        <x:v>0</x:v>
      </x:c>
      <x:c r="S19" s="107">
        <x:f t="shared" si="0"/>
        <x:v>0</x:v>
      </x:c>
      <x:c r="T19" s="97">
        <x:f t="shared" si="2"/>
        <x:v>-999999983</x:v>
      </x:c>
      <x:c r="U19" s="91">
        <x:f t="shared" si="1"/>
        <x:v>15</x:v>
      </x:c>
      <x:c r="V19" s="108"/>
    </x:row>
    <x:row r="20" spans="1:22" ht="24.949999999999999" customHeight="1">
      <x:c r="A20" s="12">
        <x:v>17</x:v>
      </x:c>
      <x:c r="B20" s="13"/>
      <x:c r="C20" s="62"/>
      <x:c r="D20" s="62"/>
      <x:c r="E20" s="62"/>
      <x:c r="F20" s="44">
        <x:f t="shared" si="8"/>
        <x:v>0</x:v>
      </x:c>
      <x:c r="G20" s="45">
        <x:f t="shared" si="9"/>
        <x:v>0</x:v>
      </x:c>
      <x:c r="H20" s="34" t="str">
        <x:f t="array" ref="H20:H20">IF(B20="","",IFERROR(INDEX('회원명단 및 기준에버'!D:G,MATCH(B20,'회원명단 및 기준에버'!$C:$C,0),CHOOSE(INT((MONTH($L$2)-1)/3)+1,1,2,3,4)),""))</x:f>
        <x:v/>
      </x:c>
      <x:c r="I20" s="38">
        <x:f t="shared" si="3"/>
        <x:v>0</x:v>
      </x:c>
      <x:c r="J20" s="38">
        <x:f t="shared" si="4"/>
        <x:v>0</x:v>
      </x:c>
      <x:c r="K20" s="38">
        <x:f t="shared" si="5"/>
        <x:v>0</x:v>
      </x:c>
      <x:c r="L20" s="63">
        <x:f t="shared" si="6"/>
        <x:v>0</x:v>
      </x:c>
      <x:c r="M20" s="39">
        <x:f t="shared" si="7"/>
        <x:v>0</x:v>
      </x:c>
      <x:c r="S20" s="107">
        <x:f t="shared" si="0"/>
        <x:v>0</x:v>
      </x:c>
      <x:c r="T20" s="97">
        <x:f t="shared" si="2"/>
        <x:v>-999999982</x:v>
      </x:c>
      <x:c r="U20" s="91">
        <x:f t="shared" si="1"/>
        <x:v>14</x:v>
      </x:c>
      <x:c r="V20" s="108"/>
    </x:row>
    <x:row r="21" spans="1:22" ht="24.949999999999999" customHeight="1">
      <x:c r="A21" s="12">
        <x:v>18</x:v>
      </x:c>
      <x:c r="B21" s="13"/>
      <x:c r="C21" s="62"/>
      <x:c r="D21" s="62"/>
      <x:c r="E21" s="62"/>
      <x:c r="F21" s="44">
        <x:f t="shared" si="8"/>
        <x:v>0</x:v>
      </x:c>
      <x:c r="G21" s="45">
        <x:f t="shared" si="9"/>
        <x:v>0</x:v>
      </x:c>
      <x:c r="H21" s="34" t="str">
        <x:f t="array" ref="H21:H21">IF(B21="","",IFERROR(INDEX('회원명단 및 기준에버'!D:G,MATCH(B21,'회원명단 및 기준에버'!$C:$C,0),CHOOSE(INT((MONTH($L$2)-1)/3)+1,1,2,3,4)),""))</x:f>
        <x:v/>
      </x:c>
      <x:c r="I21" s="38">
        <x:f t="shared" si="3"/>
        <x:v>0</x:v>
      </x:c>
      <x:c r="J21" s="38">
        <x:f t="shared" si="4"/>
        <x:v>0</x:v>
      </x:c>
      <x:c r="K21" s="38">
        <x:f t="shared" si="5"/>
        <x:v>0</x:v>
      </x:c>
      <x:c r="L21" s="63">
        <x:f t="shared" si="6"/>
        <x:v>0</x:v>
      </x:c>
      <x:c r="M21" s="39">
        <x:f t="shared" si="7"/>
        <x:v>0</x:v>
      </x:c>
      <x:c r="S21" s="107">
        <x:f t="shared" si="0"/>
        <x:v>0</x:v>
      </x:c>
      <x:c r="T21" s="97">
        <x:f t="shared" si="2"/>
        <x:v>-999999981</x:v>
      </x:c>
      <x:c r="U21" s="91">
        <x:f t="shared" si="1"/>
        <x:v>13</x:v>
      </x:c>
      <x:c r="V21" s="108"/>
    </x:row>
    <x:row r="22" spans="1:22" ht="24.949999999999999" customHeight="1">
      <x:c r="A22" s="12">
        <x:v>19</x:v>
      </x:c>
      <x:c r="B22" s="13"/>
      <x:c r="C22" s="62"/>
      <x:c r="D22" s="62"/>
      <x:c r="E22" s="62"/>
      <x:c r="F22" s="44">
        <x:f t="shared" si="8"/>
        <x:v>0</x:v>
      </x:c>
      <x:c r="G22" s="45">
        <x:f t="shared" si="9"/>
        <x:v>0</x:v>
      </x:c>
      <x:c r="H22" s="34" t="str">
        <x:f t="array" ref="H22:H22">IF(B22="","",IFERROR(INDEX('회원명단 및 기준에버'!D:G,MATCH(B22,'회원명단 및 기준에버'!$C:$C,0),CHOOSE(INT((MONTH($L$2)-1)/3)+1,1,2,3,4)),""))</x:f>
        <x:v/>
      </x:c>
      <x:c r="I22" s="38">
        <x:f t="shared" si="3"/>
        <x:v>0</x:v>
      </x:c>
      <x:c r="J22" s="38">
        <x:f t="shared" si="4"/>
        <x:v>0</x:v>
      </x:c>
      <x:c r="K22" s="38">
        <x:f t="shared" si="5"/>
        <x:v>0</x:v>
      </x:c>
      <x:c r="L22" s="63">
        <x:f t="shared" si="6"/>
        <x:v>0</x:v>
      </x:c>
      <x:c r="M22" s="39">
        <x:f t="shared" si="7"/>
        <x:v>0</x:v>
      </x:c>
      <x:c r="S22" s="107">
        <x:f t="shared" si="0"/>
        <x:v>0</x:v>
      </x:c>
      <x:c r="T22" s="97">
        <x:f t="shared" si="2"/>
        <x:v>-999999980</x:v>
      </x:c>
      <x:c r="U22" s="91">
        <x:f t="shared" si="1"/>
        <x:v>12</x:v>
      </x:c>
      <x:c r="V22" s="108"/>
    </x:row>
    <x:row r="23" spans="1:22" ht="24.949999999999999" customHeight="1">
      <x:c r="A23" s="12">
        <x:v>20</x:v>
      </x:c>
      <x:c r="B23" s="13"/>
      <x:c r="C23" s="62"/>
      <x:c r="D23" s="62"/>
      <x:c r="E23" s="62"/>
      <x:c r="F23" s="44">
        <x:f t="shared" si="8"/>
        <x:v>0</x:v>
      </x:c>
      <x:c r="G23" s="45">
        <x:f t="shared" si="9"/>
        <x:v>0</x:v>
      </x:c>
      <x:c r="H23" s="34" t="str">
        <x:f t="array" ref="H23:H23">IF(B23="","",IFERROR(INDEX('회원명단 및 기준에버'!D:G,MATCH(B23,'회원명단 및 기준에버'!$C:$C,0),CHOOSE(INT((MONTH($L$2)-1)/3)+1,1,2,3,4)),""))</x:f>
        <x:v/>
      </x:c>
      <x:c r="I23" s="38">
        <x:f t="shared" si="3"/>
        <x:v>0</x:v>
      </x:c>
      <x:c r="J23" s="38">
        <x:f t="shared" si="4"/>
        <x:v>0</x:v>
      </x:c>
      <x:c r="K23" s="38">
        <x:f t="shared" si="5"/>
        <x:v>0</x:v>
      </x:c>
      <x:c r="L23" s="63">
        <x:f t="shared" si="6"/>
        <x:v>0</x:v>
      </x:c>
      <x:c r="M23" s="39">
        <x:f t="shared" si="7"/>
        <x:v>0</x:v>
      </x:c>
      <x:c r="S23" s="107">
        <x:f t="shared" si="0"/>
        <x:v>0</x:v>
      </x:c>
      <x:c r="T23" s="97">
        <x:f t="shared" si="2"/>
        <x:v>-999999979</x:v>
      </x:c>
      <x:c r="U23" s="91">
        <x:f t="shared" si="1"/>
        <x:v>11</x:v>
      </x:c>
      <x:c r="V23" s="108"/>
    </x:row>
    <x:row r="24" spans="1:22" ht="24.949999999999999" customHeight="1">
      <x:c r="A24" s="12">
        <x:v>21</x:v>
      </x:c>
      <x:c r="B24" s="13"/>
      <x:c r="C24" s="62"/>
      <x:c r="D24" s="62"/>
      <x:c r="E24" s="62"/>
      <x:c r="F24" s="44">
        <x:f t="shared" si="8"/>
        <x:v>0</x:v>
      </x:c>
      <x:c r="G24" s="45">
        <x:f t="shared" si="9"/>
        <x:v>0</x:v>
      </x:c>
      <x:c r="H24" s="34" t="str">
        <x:f t="array" ref="H24:H24">IF(B24="","",IFERROR(INDEX('회원명단 및 기준에버'!D:G,MATCH(B24,'회원명단 및 기준에버'!$C:$C,0),CHOOSE(INT((MONTH($L$2)-1)/3)+1,1,2,3,4)),""))</x:f>
        <x:v/>
      </x:c>
      <x:c r="I24" s="38">
        <x:f t="shared" si="3"/>
        <x:v>0</x:v>
      </x:c>
      <x:c r="J24" s="38">
        <x:f t="shared" si="4"/>
        <x:v>0</x:v>
      </x:c>
      <x:c r="K24" s="38">
        <x:f t="shared" si="5"/>
        <x:v>0</x:v>
      </x:c>
      <x:c r="L24" s="63">
        <x:f t="shared" si="6"/>
        <x:v>0</x:v>
      </x:c>
      <x:c r="M24" s="39">
        <x:f t="shared" si="7"/>
        <x:v>0</x:v>
      </x:c>
      <x:c r="S24" s="107">
        <x:f t="shared" si="0"/>
        <x:v>0</x:v>
      </x:c>
      <x:c r="T24" s="97">
        <x:f t="shared" si="2"/>
        <x:v>-999999978</x:v>
      </x:c>
      <x:c r="U24" s="91">
        <x:f t="shared" si="1"/>
        <x:v>10</x:v>
      </x:c>
      <x:c r="V24" s="108"/>
    </x:row>
    <x:row r="25" spans="1:22" ht="24.949999999999999" customHeight="1">
      <x:c r="A25" s="12">
        <x:v>22</x:v>
      </x:c>
      <x:c r="B25" s="13"/>
      <x:c r="C25" s="62"/>
      <x:c r="D25" s="62"/>
      <x:c r="E25" s="62"/>
      <x:c r="F25" s="44">
        <x:f t="shared" si="8"/>
        <x:v>0</x:v>
      </x:c>
      <x:c r="G25" s="45">
        <x:f t="shared" si="9"/>
        <x:v>0</x:v>
      </x:c>
      <x:c r="H25" s="34" t="str">
        <x:f t="array" ref="H25:H25">IF(B25="","",IFERROR(INDEX('회원명단 및 기준에버'!D:G,MATCH(B25,'회원명단 및 기준에버'!$C:$C,0),CHOOSE(INT((MONTH($L$2)-1)/3)+1,1,2,3,4)),""))</x:f>
        <x:v/>
      </x:c>
      <x:c r="I25" s="38">
        <x:f t="shared" si="3"/>
        <x:v>0</x:v>
      </x:c>
      <x:c r="J25" s="38">
        <x:f t="shared" si="4"/>
        <x:v>0</x:v>
      </x:c>
      <x:c r="K25" s="38">
        <x:f t="shared" si="5"/>
        <x:v>0</x:v>
      </x:c>
      <x:c r="L25" s="63">
        <x:f t="shared" si="6"/>
        <x:v>0</x:v>
      </x:c>
      <x:c r="M25" s="39">
        <x:f t="shared" si="7"/>
        <x:v>0</x:v>
      </x:c>
      <x:c r="S25" s="107">
        <x:f t="shared" si="0"/>
        <x:v>0</x:v>
      </x:c>
      <x:c r="T25" s="97">
        <x:f t="shared" si="2"/>
        <x:v>-999999977</x:v>
      </x:c>
      <x:c r="U25" s="91">
        <x:f t="shared" si="1"/>
        <x:v>9</x:v>
      </x:c>
      <x:c r="V25" s="108"/>
    </x:row>
    <x:row r="26" spans="1:22" ht="24.949999999999999" customHeight="1">
      <x:c r="A26" s="12">
        <x:v>23</x:v>
      </x:c>
      <x:c r="B26" s="13"/>
      <x:c r="C26" s="62"/>
      <x:c r="D26" s="62"/>
      <x:c r="E26" s="62"/>
      <x:c r="F26" s="44">
        <x:f t="shared" si="8"/>
        <x:v>0</x:v>
      </x:c>
      <x:c r="G26" s="45">
        <x:f t="shared" si="9"/>
        <x:v>0</x:v>
      </x:c>
      <x:c r="H26" s="34" t="str">
        <x:f t="array" ref="H26:H26">IF(B26="","",IFERROR(INDEX('회원명단 및 기준에버'!D:G,MATCH(B26,'회원명단 및 기준에버'!$C:$C,0),CHOOSE(INT((MONTH($L$2)-1)/3)+1,1,2,3,4)),""))</x:f>
        <x:v/>
      </x:c>
      <x:c r="I26" s="38">
        <x:f t="shared" si="3"/>
        <x:v>0</x:v>
      </x:c>
      <x:c r="J26" s="38">
        <x:f t="shared" si="4"/>
        <x:v>0</x:v>
      </x:c>
      <x:c r="K26" s="38">
        <x:f t="shared" si="5"/>
        <x:v>0</x:v>
      </x:c>
      <x:c r="L26" s="63">
        <x:f t="shared" si="6"/>
        <x:v>0</x:v>
      </x:c>
      <x:c r="M26" s="39">
        <x:f t="shared" si="7"/>
        <x:v>0</x:v>
      </x:c>
      <x:c r="S26" s="107">
        <x:f t="shared" si="0"/>
        <x:v>0</x:v>
      </x:c>
      <x:c r="T26" s="97">
        <x:f t="shared" si="2"/>
        <x:v>-999999976</x:v>
      </x:c>
      <x:c r="U26" s="91">
        <x:f t="shared" si="1"/>
        <x:v>8</x:v>
      </x:c>
      <x:c r="V26" s="108"/>
    </x:row>
    <x:row r="27" spans="1:22" ht="24.949999999999999" customHeight="1">
      <x:c r="A27" s="12">
        <x:v>24</x:v>
      </x:c>
      <x:c r="B27" s="13"/>
      <x:c r="C27" s="62"/>
      <x:c r="D27" s="62"/>
      <x:c r="E27" s="62"/>
      <x:c r="F27" s="44">
        <x:f t="shared" si="8"/>
        <x:v>0</x:v>
      </x:c>
      <x:c r="G27" s="45">
        <x:f t="shared" si="9"/>
        <x:v>0</x:v>
      </x:c>
      <x:c r="H27" s="34" t="str">
        <x:f t="array" ref="H27:H27">IF(B27="","",IFERROR(INDEX('회원명단 및 기준에버'!D:G,MATCH(B27,'회원명단 및 기준에버'!$C:$C,0),CHOOSE(INT((MONTH($L$2)-1)/3)+1,1,2,3,4)),""))</x:f>
        <x:v/>
      </x:c>
      <x:c r="I27" s="38">
        <x:f t="shared" si="3"/>
        <x:v>0</x:v>
      </x:c>
      <x:c r="J27" s="38">
        <x:f t="shared" si="4"/>
        <x:v>0</x:v>
      </x:c>
      <x:c r="K27" s="38">
        <x:f t="shared" si="5"/>
        <x:v>0</x:v>
      </x:c>
      <x:c r="L27" s="63">
        <x:f t="shared" si="6"/>
        <x:v>0</x:v>
      </x:c>
      <x:c r="M27" s="39">
        <x:f t="shared" si="7"/>
        <x:v>0</x:v>
      </x:c>
      <x:c r="S27" s="107">
        <x:f t="shared" si="0"/>
        <x:v>0</x:v>
      </x:c>
      <x:c r="T27" s="97">
        <x:f t="shared" si="2"/>
        <x:v>-999999975</x:v>
      </x:c>
      <x:c r="U27" s="91">
        <x:f t="shared" si="1"/>
        <x:v>7</x:v>
      </x:c>
      <x:c r="V27" s="108"/>
    </x:row>
    <x:row r="28" spans="1:22" ht="24.949999999999999" customHeight="1">
      <x:c r="A28" s="12">
        <x:v>25</x:v>
      </x:c>
      <x:c r="B28" s="13"/>
      <x:c r="C28" s="62"/>
      <x:c r="D28" s="62"/>
      <x:c r="E28" s="62"/>
      <x:c r="F28" s="44">
        <x:f t="shared" ref="F28:F33" si="10">SUM(C28:E28)</x:f>
        <x:v>0</x:v>
      </x:c>
      <x:c r="G28" s="45">
        <x:f t="shared" ref="G28:G33" si="11">F28/3</x:f>
        <x:v>0</x:v>
      </x:c>
      <x:c r="H28" s="34" t="str">
        <x:f t="array" ref="H28:H28">IF(B28="","",IFERROR(INDEX('회원명단 및 기준에버'!D:G,MATCH(B28,'회원명단 및 기준에버'!$C:$C,0),CHOOSE(INT((MONTH($L$2)-1)/3)+1,1,2,3,4)),""))</x:f>
        <x:v/>
      </x:c>
      <x:c r="I28" s="38">
        <x:f t="shared" ref="I28:I33" si="12">IFERROR(C28+-H28,0)</x:f>
        <x:v>0</x:v>
      </x:c>
      <x:c r="J28" s="38">
        <x:f t="shared" ref="J28:J33" si="13">IFERROR(D28+-H28,0)</x:f>
        <x:v>0</x:v>
      </x:c>
      <x:c r="K28" s="38">
        <x:f t="shared" ref="K28:K33" si="14">IFERROR(E28+-H28,0)</x:f>
        <x:v>0</x:v>
      </x:c>
      <x:c r="L28" s="63">
        <x:f t="shared" ref="L28:L33" si="15">SUM(I28:K28)</x:f>
        <x:v>0</x:v>
      </x:c>
      <x:c r="M28" s="39">
        <x:f t="shared" ref="M28:M33" si="16">IFERROR(G28+-H28,0)</x:f>
        <x:v>0</x:v>
      </x:c>
      <x:c r="S28" s="107">
        <x:f t="shared" si="0"/>
        <x:v>0</x:v>
      </x:c>
      <x:c r="T28" s="97">
        <x:f t="shared" si="2"/>
        <x:v>-999999974</x:v>
      </x:c>
      <x:c r="U28" s="91">
        <x:f t="shared" si="1"/>
        <x:v>6</x:v>
      </x:c>
      <x:c r="V28" s="108"/>
    </x:row>
    <x:row r="29" spans="1:22" ht="24.949999999999999" customHeight="1">
      <x:c r="A29" s="12">
        <x:v>26</x:v>
      </x:c>
      <x:c r="B29" s="13"/>
      <x:c r="C29" s="62"/>
      <x:c r="D29" s="62"/>
      <x:c r="E29" s="62"/>
      <x:c r="F29" s="44">
        <x:f t="shared" si="10"/>
        <x:v>0</x:v>
      </x:c>
      <x:c r="G29" s="45">
        <x:f t="shared" si="11"/>
        <x:v>0</x:v>
      </x:c>
      <x:c r="H29" s="34" t="str">
        <x:f t="array" ref="H29:H29">IF(B29="","",IFERROR(INDEX('회원명단 및 기준에버'!D:G,MATCH(B29,'회원명단 및 기준에버'!$C:$C,0),CHOOSE(INT((MONTH($L$2)-1)/3)+1,1,2,3,4)),""))</x:f>
        <x:v/>
      </x:c>
      <x:c r="I29" s="38">
        <x:f t="shared" si="12"/>
        <x:v>0</x:v>
      </x:c>
      <x:c r="J29" s="38">
        <x:f t="shared" si="13"/>
        <x:v>0</x:v>
      </x:c>
      <x:c r="K29" s="38">
        <x:f t="shared" si="14"/>
        <x:v>0</x:v>
      </x:c>
      <x:c r="L29" s="63">
        <x:f t="shared" si="15"/>
        <x:v>0</x:v>
      </x:c>
      <x:c r="M29" s="39">
        <x:f t="shared" si="16"/>
        <x:v>0</x:v>
      </x:c>
      <x:c r="S29" s="107">
        <x:f t="shared" si="0"/>
        <x:v>0</x:v>
      </x:c>
      <x:c r="T29" s="97">
        <x:f t="shared" si="2"/>
        <x:v>-999999973</x:v>
      </x:c>
      <x:c r="U29" s="91">
        <x:f t="shared" si="1"/>
        <x:v>5</x:v>
      </x:c>
      <x:c r="V29" s="108"/>
    </x:row>
    <x:row r="30" spans="1:22" ht="24.949999999999999" customHeight="1">
      <x:c r="A30" s="12">
        <x:v>27</x:v>
      </x:c>
      <x:c r="B30" s="13"/>
      <x:c r="C30" s="62"/>
      <x:c r="D30" s="62"/>
      <x:c r="E30" s="62"/>
      <x:c r="F30" s="44">
        <x:f t="shared" si="10"/>
        <x:v>0</x:v>
      </x:c>
      <x:c r="G30" s="45">
        <x:f t="shared" si="11"/>
        <x:v>0</x:v>
      </x:c>
      <x:c r="H30" s="34" t="str">
        <x:f t="array" ref="H30:H30">IF(B30="","",IFERROR(INDEX('회원명단 및 기준에버'!D:G,MATCH(B30,'회원명단 및 기준에버'!$C:$C,0),CHOOSE(INT((MONTH($L$2)-1)/3)+1,1,2,3,4)),""))</x:f>
        <x:v/>
      </x:c>
      <x:c r="I30" s="38">
        <x:f t="shared" si="12"/>
        <x:v>0</x:v>
      </x:c>
      <x:c r="J30" s="38">
        <x:f t="shared" si="13"/>
        <x:v>0</x:v>
      </x:c>
      <x:c r="K30" s="38">
        <x:f t="shared" si="14"/>
        <x:v>0</x:v>
      </x:c>
      <x:c r="L30" s="63">
        <x:f t="shared" si="15"/>
        <x:v>0</x:v>
      </x:c>
      <x:c r="M30" s="39">
        <x:f t="shared" si="16"/>
        <x:v>0</x:v>
      </x:c>
      <x:c r="S30" s="107">
        <x:f t="shared" si="0"/>
        <x:v>0</x:v>
      </x:c>
      <x:c r="T30" s="97">
        <x:f t="shared" si="2"/>
        <x:v>-999999972</x:v>
      </x:c>
      <x:c r="U30" s="91">
        <x:f t="shared" si="1"/>
        <x:v>4</x:v>
      </x:c>
      <x:c r="V30" s="108"/>
    </x:row>
    <x:row r="31" spans="1:22" ht="24.949999999999999" customHeight="1">
      <x:c r="A31" s="12">
        <x:v>28</x:v>
      </x:c>
      <x:c r="B31" s="13"/>
      <x:c r="C31" s="62"/>
      <x:c r="D31" s="62"/>
      <x:c r="E31" s="62"/>
      <x:c r="F31" s="44">
        <x:f t="shared" si="10"/>
        <x:v>0</x:v>
      </x:c>
      <x:c r="G31" s="45">
        <x:f t="shared" si="11"/>
        <x:v>0</x:v>
      </x:c>
      <x:c r="H31" s="34" t="str">
        <x:f t="array" ref="H31:H31">IF(B31="","",IFERROR(INDEX('회원명단 및 기준에버'!D:G,MATCH(B31,'회원명단 및 기준에버'!$C:$C,0),CHOOSE(INT((MONTH($L$2)-1)/3)+1,1,2,3,4)),""))</x:f>
        <x:v/>
      </x:c>
      <x:c r="I31" s="38">
        <x:f t="shared" si="12"/>
        <x:v>0</x:v>
      </x:c>
      <x:c r="J31" s="38">
        <x:f t="shared" si="13"/>
        <x:v>0</x:v>
      </x:c>
      <x:c r="K31" s="38">
        <x:f t="shared" si="14"/>
        <x:v>0</x:v>
      </x:c>
      <x:c r="L31" s="63">
        <x:f t="shared" si="15"/>
        <x:v>0</x:v>
      </x:c>
      <x:c r="M31" s="39">
        <x:f t="shared" si="16"/>
        <x:v>0</x:v>
      </x:c>
      <x:c r="S31" s="107">
        <x:f t="shared" si="0"/>
        <x:v>0</x:v>
      </x:c>
      <x:c r="T31" s="97">
        <x:f t="shared" si="2"/>
        <x:v>-999999971</x:v>
      </x:c>
      <x:c r="U31" s="91">
        <x:f t="shared" si="1"/>
        <x:v>3</x:v>
      </x:c>
      <x:c r="V31" s="108"/>
    </x:row>
    <x:row r="32" spans="1:22" ht="24.949999999999999" customHeight="1">
      <x:c r="A32" s="12">
        <x:v>29</x:v>
      </x:c>
      <x:c r="B32" s="13"/>
      <x:c r="C32" s="62"/>
      <x:c r="D32" s="62"/>
      <x:c r="E32" s="62"/>
      <x:c r="F32" s="44">
        <x:f t="shared" si="10"/>
        <x:v>0</x:v>
      </x:c>
      <x:c r="G32" s="45">
        <x:f t="shared" si="11"/>
        <x:v>0</x:v>
      </x:c>
      <x:c r="H32" s="34" t="str">
        <x:f t="array" ref="H32:H32">IF(B32="","",IFERROR(INDEX('회원명단 및 기준에버'!D:G,MATCH(B32,'회원명단 및 기준에버'!$C:$C,0),CHOOSE(INT((MONTH($L$2)-1)/3)+1,1,2,3,4)),""))</x:f>
        <x:v/>
      </x:c>
      <x:c r="I32" s="38">
        <x:f t="shared" si="12"/>
        <x:v>0</x:v>
      </x:c>
      <x:c r="J32" s="38">
        <x:f t="shared" si="13"/>
        <x:v>0</x:v>
      </x:c>
      <x:c r="K32" s="38">
        <x:f t="shared" si="14"/>
        <x:v>0</x:v>
      </x:c>
      <x:c r="L32" s="63">
        <x:f t="shared" si="15"/>
        <x:v>0</x:v>
      </x:c>
      <x:c r="M32" s="39">
        <x:f t="shared" si="16"/>
        <x:v>0</x:v>
      </x:c>
      <x:c r="S32" s="107">
        <x:f t="shared" si="0"/>
        <x:v>0</x:v>
      </x:c>
      <x:c r="T32" s="97">
        <x:f t="shared" si="2"/>
        <x:v>-999999970</x:v>
      </x:c>
      <x:c r="U32" s="91">
        <x:f t="shared" si="1"/>
        <x:v>2</x:v>
      </x:c>
      <x:c r="V32" s="108"/>
    </x:row>
    <x:row r="33" spans="1:22" ht="24.949999999999999" customHeight="1">
      <x:c r="A33" s="12">
        <x:v>30</x:v>
      </x:c>
      <x:c r="B33" s="13"/>
      <x:c r="C33" s="62"/>
      <x:c r="D33" s="62"/>
      <x:c r="E33" s="62"/>
      <x:c r="F33" s="44">
        <x:f t="shared" si="10"/>
        <x:v>0</x:v>
      </x:c>
      <x:c r="G33" s="45">
        <x:f t="shared" si="11"/>
        <x:v>0</x:v>
      </x:c>
      <x:c r="H33" s="34" t="str">
        <x:f t="array" ref="H33:H33">IF(B33="","",IFERROR(INDEX('회원명단 및 기준에버'!D:G,MATCH(B33,'회원명단 및 기준에버'!$C:$C,0),CHOOSE(INT((MONTH($L$2)-1)/3)+1,1,2,3,4)),""))</x:f>
        <x:v/>
      </x:c>
      <x:c r="I33" s="38">
        <x:f t="shared" si="12"/>
        <x:v>0</x:v>
      </x:c>
      <x:c r="J33" s="38">
        <x:f t="shared" si="13"/>
        <x:v>0</x:v>
      </x:c>
      <x:c r="K33" s="38">
        <x:f t="shared" si="14"/>
        <x:v>0</x:v>
      </x:c>
      <x:c r="L33" s="63">
        <x:f t="shared" si="15"/>
        <x:v>0</x:v>
      </x:c>
      <x:c r="M33" s="39">
        <x:f t="shared" si="16"/>
        <x:v>0</x:v>
      </x:c>
      <x:c r="S33" s="109">
        <x:f t="shared" si="0"/>
        <x:v>0</x:v>
      </x:c>
      <x:c r="T33" s="103">
        <x:f t="shared" si="2"/>
        <x:v>-999999969</x:v>
      </x:c>
      <x:c r="U33" s="110">
        <x:f t="shared" si="1"/>
        <x:v>1</x:v>
      </x:c>
      <x:c r="V33" s="111"/>
    </x:row>
    <x:row r="34" spans="2:13" s="18" customFormat="1" ht="24.949999999999999" customHeight="1">
      <x:c r="B34" s="168" t="s">
        <x:v>63</x:v>
      </x:c>
      <x:c r="C34" s="169"/>
      <x:c r="D34" s="169"/>
      <x:c r="E34" s="169"/>
      <x:c r="F34" s="169"/>
      <x:c r="G34" s="169"/>
      <x:c r="H34" s="169"/>
      <x:c r="I34" s="169"/>
      <x:c r="J34" s="169"/>
      <x:c r="K34" s="169"/>
      <x:c r="L34" s="169"/>
      <x:c r="M34" s="170"/>
    </x:row>
    <x:row r="35" spans="2:13" s="18" customFormat="1" ht="24.949999999999999" customHeight="1">
      <x:c r="B35" s="171" t="s">
        <x:v>68</x:v>
      </x:c>
      <x:c r="C35" s="172"/>
      <x:c r="D35" s="172"/>
      <x:c r="E35" s="173"/>
      <x:c r="F35" s="174" t="s">
        <x:v>28</x:v>
      </x:c>
      <x:c r="G35" s="176" t="s">
        <x:v>14</x:v>
      </x:c>
      <x:c r="H35" s="177"/>
      <x:c r="I35" s="178"/>
      <x:c r="J35" s="179" t="s">
        <x:v>64</x:v>
      </x:c>
      <x:c r="K35" s="180"/>
      <x:c r="L35" s="180"/>
      <x:c r="M35" s="181"/>
    </x:row>
    <x:row r="36" spans="2:13" s="18" customFormat="1" ht="24.949999999999999" customHeight="1">
      <x:c r="B36" s="54"/>
      <x:c r="C36" s="24"/>
      <x:c r="D36" s="55"/>
      <x:c r="E36" s="56"/>
      <x:c r="F36" s="175"/>
      <x:c r="G36" s="182" t="s">
        <x:v>62</x:v>
      </x:c>
      <x:c r="H36" s="183"/>
      <x:c r="I36" s="184"/>
      <x:c r="J36" s="26"/>
      <x:c r="K36" s="27"/>
      <x:c r="L36" s="27"/>
      <x:c r="M36" s="28"/>
    </x:row>
    <x:row r="37" spans="2:13" s="18" customFormat="1" ht="24.949999999999999" customHeight="1">
      <x:c r="B37" s="155" t="s">
        <x:v>29</x:v>
      </x:c>
      <x:c r="C37" s="156"/>
      <x:c r="D37" s="156"/>
      <x:c r="E37" s="156"/>
      <x:c r="F37" s="156"/>
      <x:c r="G37" s="156"/>
      <x:c r="H37" s="157"/>
      <x:c r="I37" s="158" t="s">
        <x:v>66</x:v>
      </x:c>
      <x:c r="J37" s="159"/>
      <x:c r="K37" s="160" t="s">
        <x:v>67</x:v>
      </x:c>
      <x:c r="L37" s="161"/>
      <x:c r="M37" s="162"/>
    </x:row>
    <x:row r="38" spans="2:13" s="18" customFormat="1" ht="24.949999999999999" customHeight="1">
      <x:c r="B38" s="21"/>
      <x:c r="C38" s="64"/>
      <x:c r="D38" s="32"/>
      <x:c r="E38" s="67"/>
      <x:c r="F38" s="30"/>
      <x:c r="G38" s="70"/>
      <x:c r="H38" s="157"/>
      <x:c r="I38" s="23"/>
      <x:c r="J38" s="50"/>
      <x:c r="K38" s="57"/>
      <x:c r="L38" s="58"/>
      <x:c r="M38" s="59"/>
    </x:row>
    <x:row r="39" spans="2:13" s="18" customFormat="1" ht="24.949999999999999" customHeight="1">
      <x:c r="B39" s="46"/>
      <x:c r="C39" s="65"/>
      <x:c r="D39" s="47"/>
      <x:c r="E39" s="68"/>
      <x:c r="F39" s="48"/>
      <x:c r="G39" s="71"/>
      <x:c r="H39" s="157"/>
      <x:c r="I39" s="49"/>
      <x:c r="J39" s="51"/>
      <x:c r="K39" s="57"/>
      <x:c r="L39" s="58"/>
      <x:c r="M39" s="59"/>
    </x:row>
    <x:row r="40" spans="2:13" s="18" customFormat="1" ht="24.949999999999999" customHeight="1">
      <x:c r="B40" s="29"/>
      <x:c r="C40" s="66"/>
      <x:c r="D40" s="33"/>
      <x:c r="E40" s="69"/>
      <x:c r="F40" s="31"/>
      <x:c r="G40" s="72"/>
      <x:c r="H40" s="157"/>
      <x:c r="I40" s="24"/>
      <x:c r="J40" s="52"/>
      <x:c r="K40" s="60"/>
      <x:c r="L40" s="53"/>
      <x:c r="M40" s="61"/>
    </x:row>
    <x:row r="41" spans="1:13" s="18" customFormat="1" ht="24.949999999999999" customHeight="1">
      <x:c r="A41" s="17"/>
      <x:c r="B41" s="163" t="s">
        <x:v>51</x:v>
      </x:c>
      <x:c r="C41" s="164"/>
      <x:c r="D41" s="164"/>
      <x:c r="E41" s="164"/>
      <x:c r="F41" s="164"/>
      <x:c r="G41" s="164"/>
      <x:c r="H41" s="164"/>
      <x:c r="I41" s="164"/>
      <x:c r="J41" s="164"/>
      <x:c r="K41" s="164"/>
      <x:c r="L41" s="164"/>
      <x:c r="M41" s="165"/>
    </x:row>
    <x:row r="42" spans="2:13" s="18" customFormat="1" ht="24.949999999999999" customHeight="1">
      <x:c r="B42" s="20">
        <x:f>$B4</x:f>
        <x:v>0</x:v>
      </x:c>
      <x:c r="C42" s="95">
        <x:f>IF($T$2=0,$C4,$I4)</x:f>
        <x:v>0</x:v>
      </x:c>
      <x:c r="D42" s="95">
        <x:f>IF($T$2=0,$D4,$J4)</x:f>
        <x:v>0</x:v>
      </x:c>
      <x:c r="E42" s="95">
        <x:f>IF($T$2=0,$E4,$K4)</x:f>
        <x:v>0</x:v>
      </x:c>
      <x:c r="F42" s="141">
        <x:f>E47+D47+C47</x:f>
        <x:v>0</x:v>
      </x:c>
      <x:c r="G42" s="144"/>
      <x:c r="H42" s="94">
        <x:f>$B9</x:f>
        <x:v>0</x:v>
      </x:c>
      <x:c r="I42" s="95">
        <x:f>IF($T$2=0,$C9,$I9)</x:f>
        <x:v>0</x:v>
      </x:c>
      <x:c r="J42" s="95">
        <x:f>IF($T$2=0,$D9,$J9)</x:f>
        <x:v>0</x:v>
      </x:c>
      <x:c r="K42" s="95">
        <x:f>IF($T$2=0,$E9,$K9)</x:f>
        <x:v>0</x:v>
      </x:c>
      <x:c r="L42" s="149">
        <x:f>K47+J47+I47</x:f>
        <x:v>0</x:v>
      </x:c>
      <x:c r="M42" s="152"/>
    </x:row>
    <x:row r="43" spans="2:13" s="18" customFormat="1" ht="24.949999999999999" customHeight="1">
      <x:c r="B43" s="12">
        <x:f>$B5</x:f>
        <x:v>0</x:v>
      </x:c>
      <x:c r="C43" s="38">
        <x:f>IF($T$2=0,$C5,$I5)</x:f>
        <x:v>0</x:v>
      </x:c>
      <x:c r="D43" s="38">
        <x:f>IF($T$2=0,$D5,$J5)</x:f>
        <x:v>0</x:v>
      </x:c>
      <x:c r="E43" s="38">
        <x:f>IF($T$2=0,$E5,$K5)</x:f>
        <x:v>0</x:v>
      </x:c>
      <x:c r="F43" s="142"/>
      <x:c r="G43" s="145"/>
      <x:c r="H43" s="12">
        <x:f>$B10</x:f>
        <x:v>0</x:v>
      </x:c>
      <x:c r="I43" s="38">
        <x:f>IF($T$2=0,$C10,$I10)</x:f>
        <x:v>0</x:v>
      </x:c>
      <x:c r="J43" s="38">
        <x:f>IF($T$2=0,$D10,$J10)</x:f>
        <x:v>0</x:v>
      </x:c>
      <x:c r="K43" s="38">
        <x:f>IF($T$2=0,$E10,$K10)</x:f>
        <x:v>0</x:v>
      </x:c>
      <x:c r="L43" s="150"/>
      <x:c r="M43" s="153"/>
    </x:row>
    <x:row r="44" spans="2:13" s="18" customFormat="1" ht="24.949999999999999" customHeight="1">
      <x:c r="B44" s="12">
        <x:f>$B6</x:f>
        <x:v>0</x:v>
      </x:c>
      <x:c r="C44" s="38">
        <x:f>IF($T$2=0,$C6,$I6)</x:f>
        <x:v>0</x:v>
      </x:c>
      <x:c r="D44" s="38">
        <x:f>IF($T$2=0,$D6,$J6)</x:f>
        <x:v>0</x:v>
      </x:c>
      <x:c r="E44" s="38">
        <x:f>IF($T$2=0,$E6,$K6)</x:f>
        <x:v>0</x:v>
      </x:c>
      <x:c r="F44" s="142"/>
      <x:c r="G44" s="145"/>
      <x:c r="H44" s="12">
        <x:f>$B11</x:f>
        <x:v>0</x:v>
      </x:c>
      <x:c r="I44" s="38">
        <x:f>IF($T$2=0,$C11,$I11)</x:f>
        <x:v>0</x:v>
      </x:c>
      <x:c r="J44" s="38">
        <x:f>IF($T$2=0,$D11,$J11)</x:f>
        <x:v>0</x:v>
      </x:c>
      <x:c r="K44" s="38">
        <x:f>IF($T$2=0,$E11,$K11)</x:f>
        <x:v>0</x:v>
      </x:c>
      <x:c r="L44" s="150"/>
      <x:c r="M44" s="153"/>
    </x:row>
    <x:row r="45" spans="2:13" s="18" customFormat="1" ht="24.949999999999999" customHeight="1">
      <x:c r="B45" s="12">
        <x:f>$B7</x:f>
        <x:v>0</x:v>
      </x:c>
      <x:c r="C45" s="38">
        <x:f>IF($T$2=0,$C7,$I7)</x:f>
        <x:v>0</x:v>
      </x:c>
      <x:c r="D45" s="38">
        <x:f>IF($T$2=0,$D7,$J7)</x:f>
        <x:v>0</x:v>
      </x:c>
      <x:c r="E45" s="38">
        <x:f>IF($T$2=0,$E7,$K7)</x:f>
        <x:v>0</x:v>
      </x:c>
      <x:c r="F45" s="142"/>
      <x:c r="G45" s="145"/>
      <x:c r="H45" s="12">
        <x:f>$B12</x:f>
        <x:v>0</x:v>
      </x:c>
      <x:c r="I45" s="38">
        <x:f>IF($T$2=0,$C12,$I12)</x:f>
        <x:v>0</x:v>
      </x:c>
      <x:c r="J45" s="38">
        <x:f>IF($T$2=0,$D12,$J12)</x:f>
        <x:v>0</x:v>
      </x:c>
      <x:c r="K45" s="38">
        <x:f>IF($T$2=0,$E12,$K12)</x:f>
        <x:v>0</x:v>
      </x:c>
      <x:c r="L45" s="150"/>
      <x:c r="M45" s="153"/>
    </x:row>
    <x:row r="46" spans="2:13" s="18" customFormat="1" ht="24.949999999999999" customHeight="1">
      <x:c r="B46" s="12">
        <x:f>$B8</x:f>
        <x:v>0</x:v>
      </x:c>
      <x:c r="C46" s="38">
        <x:f>IF($T$2=0,$C8,$I8)</x:f>
        <x:v>0</x:v>
      </x:c>
      <x:c r="D46" s="38">
        <x:f>IF($T$2=0,$D8,$J8)</x:f>
        <x:v>0</x:v>
      </x:c>
      <x:c r="E46" s="38">
        <x:f>IF($T$2=0,$E8,$K8)</x:f>
        <x:v>0</x:v>
      </x:c>
      <x:c r="F46" s="142"/>
      <x:c r="G46" s="145"/>
      <x:c r="H46" s="12">
        <x:f>$B13</x:f>
        <x:v>0</x:v>
      </x:c>
      <x:c r="I46" s="38">
        <x:f>IF($T$2=0,$C13,$I13)</x:f>
        <x:v>0</x:v>
      </x:c>
      <x:c r="J46" s="38">
        <x:f>IF($T$2=0,$D13,$J13)</x:f>
        <x:v>0</x:v>
      </x:c>
      <x:c r="K46" s="38">
        <x:f>IF($T$2=0,$E13,$K13)</x:f>
        <x:v>0</x:v>
      </x:c>
      <x:c r="L46" s="150"/>
      <x:c r="M46" s="153"/>
    </x:row>
    <x:row r="47" spans="2:13" s="18" customFormat="1" ht="24.949999999999999" customHeight="1">
      <x:c r="B47" s="193"/>
      <x:c r="C47" s="194">
        <x:f>SUM(C42:C46)</x:f>
        <x:v>0</x:v>
      </x:c>
      <x:c r="D47" s="194">
        <x:f>SUM(D42:D46)</x:f>
        <x:v>0</x:v>
      </x:c>
      <x:c r="E47" s="194">
        <x:f>SUM(E42:E46)</x:f>
        <x:v>0</x:v>
      </x:c>
      <x:c r="F47" s="143"/>
      <x:c r="G47" s="146"/>
      <x:c r="H47" s="193"/>
      <x:c r="I47" s="194">
        <x:f>SUM(I42:I46)</x:f>
        <x:v>0</x:v>
      </x:c>
      <x:c r="J47" s="194">
        <x:f>SUM(J42:J46)</x:f>
        <x:v>0</x:v>
      </x:c>
      <x:c r="K47" s="194">
        <x:f>SUM(K42:K46)</x:f>
        <x:v>0</x:v>
      </x:c>
      <x:c r="L47" s="151"/>
      <x:c r="M47" s="154"/>
    </x:row>
    <x:row r="48" s="18" customFormat="1" ht="24.949999999999999" customHeight="1"/>
    <x:row r="49" spans="2:13" s="18" customFormat="1" ht="24.949999999999999" customHeight="1">
      <x:c r="B49" s="20">
        <x:f>$B14</x:f>
        <x:v>0</x:v>
      </x:c>
      <x:c r="C49" s="95">
        <x:f>IF($T$2=0,$C14,$I14)</x:f>
        <x:v>0</x:v>
      </x:c>
      <x:c r="D49" s="95">
        <x:f>IF($T$2=0,$D14,$J14)</x:f>
        <x:v>0</x:v>
      </x:c>
      <x:c r="E49" s="95">
        <x:f>IF($T$2=0,$E14,$K14)</x:f>
        <x:v>0</x:v>
      </x:c>
      <x:c r="F49" s="141">
        <x:f>E54+D54+C54</x:f>
        <x:v>0</x:v>
      </x:c>
      <x:c r="G49" s="144"/>
      <x:c r="H49" s="94">
        <x:f>$B19</x:f>
        <x:v>0</x:v>
      </x:c>
      <x:c r="I49" s="95">
        <x:f>IF($T$2=0,$C19,$I19)</x:f>
        <x:v>0</x:v>
      </x:c>
      <x:c r="J49" s="95">
        <x:f>IF($T$2=0,$D19,$J19)</x:f>
        <x:v>0</x:v>
      </x:c>
      <x:c r="K49" s="95">
        <x:f>IF($T$2=0,$E19,$K19)</x:f>
        <x:v>0</x:v>
      </x:c>
      <x:c r="L49" s="149">
        <x:f>K54+J54+I54</x:f>
        <x:v>0</x:v>
      </x:c>
      <x:c r="M49" s="152"/>
    </x:row>
    <x:row r="50" spans="2:13" s="17" customFormat="1" ht="24.949999999999999" customHeight="1">
      <x:c r="B50" s="12">
        <x:f>$B15</x:f>
        <x:v>0</x:v>
      </x:c>
      <x:c r="C50" s="38">
        <x:f>IF($T$2=0,$C15,$I15)</x:f>
        <x:v>0</x:v>
      </x:c>
      <x:c r="D50" s="38">
        <x:f>IF($T$2=0,$D15,$J15)</x:f>
        <x:v>0</x:v>
      </x:c>
      <x:c r="E50" s="38">
        <x:f>IF($T$2=0,$E15,$K15)</x:f>
        <x:v>0</x:v>
      </x:c>
      <x:c r="F50" s="142"/>
      <x:c r="G50" s="145"/>
      <x:c r="H50" s="12">
        <x:f>$B20</x:f>
        <x:v>0</x:v>
      </x:c>
      <x:c r="I50" s="38">
        <x:f>IF($T$2=0,$C20,$I20)</x:f>
        <x:v>0</x:v>
      </x:c>
      <x:c r="J50" s="38">
        <x:f>IF($T$2=0,$D20,$J20)</x:f>
        <x:v>0</x:v>
      </x:c>
      <x:c r="K50" s="38">
        <x:f>IF($T$2=0,$E20,$K20)</x:f>
        <x:v>0</x:v>
      </x:c>
      <x:c r="L50" s="150"/>
      <x:c r="M50" s="153"/>
    </x:row>
    <x:row r="51" spans="2:13" s="17" customFormat="1" ht="24.949999999999999" customHeight="1">
      <x:c r="B51" s="12">
        <x:f>$B16</x:f>
        <x:v>0</x:v>
      </x:c>
      <x:c r="C51" s="38">
        <x:f>IF($T$2=0,$C16,$I16)</x:f>
        <x:v>0</x:v>
      </x:c>
      <x:c r="D51" s="38">
        <x:f>IF($T$2=0,$D16,$J16)</x:f>
        <x:v>0</x:v>
      </x:c>
      <x:c r="E51" s="38">
        <x:f>IF($T$2=0,$E16,$K16)</x:f>
        <x:v>0</x:v>
      </x:c>
      <x:c r="F51" s="142"/>
      <x:c r="G51" s="145"/>
      <x:c r="H51" s="12">
        <x:f>$B21</x:f>
        <x:v>0</x:v>
      </x:c>
      <x:c r="I51" s="38">
        <x:f>IF($T$2=0,$C21,$I21)</x:f>
        <x:v>0</x:v>
      </x:c>
      <x:c r="J51" s="38">
        <x:f>IF($T$2=0,$D21,$J21)</x:f>
        <x:v>0</x:v>
      </x:c>
      <x:c r="K51" s="38">
        <x:f>IF($T$2=0,$E21,$K21)</x:f>
        <x:v>0</x:v>
      </x:c>
      <x:c r="L51" s="150"/>
      <x:c r="M51" s="153"/>
    </x:row>
    <x:row r="52" spans="2:13" s="17" customFormat="1" ht="24.949999999999999" customHeight="1">
      <x:c r="B52" s="12">
        <x:f>$B17</x:f>
        <x:v>0</x:v>
      </x:c>
      <x:c r="C52" s="38">
        <x:f>IF($T$2=0,$C17,$I17)</x:f>
        <x:v>0</x:v>
      </x:c>
      <x:c r="D52" s="38">
        <x:f>IF($T$2=0,$D17,$J17)</x:f>
        <x:v>0</x:v>
      </x:c>
      <x:c r="E52" s="38">
        <x:f>IF($T$2=0,$E17,$K17)</x:f>
        <x:v>0</x:v>
      </x:c>
      <x:c r="F52" s="142"/>
      <x:c r="G52" s="145"/>
      <x:c r="H52" s="12">
        <x:f>$B22</x:f>
        <x:v>0</x:v>
      </x:c>
      <x:c r="I52" s="38">
        <x:f>IF($T$2=0,$C22,$I22)</x:f>
        <x:v>0</x:v>
      </x:c>
      <x:c r="J52" s="38">
        <x:f>IF($T$2=0,$D22,$J22)</x:f>
        <x:v>0</x:v>
      </x:c>
      <x:c r="K52" s="38">
        <x:f>IF($T$2=0,$E22,$K22)</x:f>
        <x:v>0</x:v>
      </x:c>
      <x:c r="L52" s="150"/>
      <x:c r="M52" s="153"/>
    </x:row>
    <x:row r="53" spans="2:13" s="17" customFormat="1" ht="24.949999999999999" customHeight="1">
      <x:c r="B53" s="12">
        <x:f>$B18</x:f>
        <x:v>0</x:v>
      </x:c>
      <x:c r="C53" s="38">
        <x:f>IF($T$2=0,$C18,$I18)</x:f>
        <x:v>0</x:v>
      </x:c>
      <x:c r="D53" s="38">
        <x:f>IF($T$2=0,$D18,$J18)</x:f>
        <x:v>0</x:v>
      </x:c>
      <x:c r="E53" s="38">
        <x:f>IF($T$2=0,$E18,$K18)</x:f>
        <x:v>0</x:v>
      </x:c>
      <x:c r="F53" s="142"/>
      <x:c r="G53" s="145"/>
      <x:c r="H53" s="12">
        <x:f>$B23</x:f>
        <x:v>0</x:v>
      </x:c>
      <x:c r="I53" s="38">
        <x:f>IF($T$2=0,$C23,$I23)</x:f>
        <x:v>0</x:v>
      </x:c>
      <x:c r="J53" s="38">
        <x:f>IF($T$2=0,$D23,$J23)</x:f>
        <x:v>0</x:v>
      </x:c>
      <x:c r="K53" s="38">
        <x:f>IF($T$2=0,$E23,$K23)</x:f>
        <x:v>0</x:v>
      </x:c>
      <x:c r="L53" s="150"/>
      <x:c r="M53" s="153"/>
    </x:row>
    <x:row r="54" spans="2:13" s="17" customFormat="1" ht="24.949999999999999" customHeight="1">
      <x:c r="B54" s="193"/>
      <x:c r="C54" s="194">
        <x:f>SUM(C49:C53)</x:f>
        <x:v>0</x:v>
      </x:c>
      <x:c r="D54" s="194">
        <x:f>SUM(D49:D53)</x:f>
        <x:v>0</x:v>
      </x:c>
      <x:c r="E54" s="194">
        <x:f>SUM(E49:E53)</x:f>
        <x:v>0</x:v>
      </x:c>
      <x:c r="F54" s="143"/>
      <x:c r="G54" s="146"/>
      <x:c r="H54" s="193"/>
      <x:c r="I54" s="194">
        <x:f>SUM(I49:I53)</x:f>
        <x:v>0</x:v>
      </x:c>
      <x:c r="J54" s="194">
        <x:f>SUM(J49:J53)</x:f>
        <x:v>0</x:v>
      </x:c>
      <x:c r="K54" s="194">
        <x:f>SUM(K49:K53)</x:f>
        <x:v>0</x:v>
      </x:c>
      <x:c r="L54" s="151"/>
      <x:c r="M54" s="154"/>
    </x:row>
    <x:row r="55" ht="24.949999999999999" customHeight="1"/>
    <x:row r="56" spans="2:13" ht="24.949999999999999" customHeight="1">
      <x:c r="B56" s="20">
        <x:f>$B24</x:f>
        <x:v>0</x:v>
      </x:c>
      <x:c r="C56" s="95">
        <x:f>IF($T$2=0,$C24,$I24)</x:f>
        <x:v>0</x:v>
      </x:c>
      <x:c r="D56" s="95">
        <x:f>IF($T$2=0,$D24,$J24)</x:f>
        <x:v>0</x:v>
      </x:c>
      <x:c r="E56" s="95">
        <x:f>IF($T$2=0,$E24,$K24)</x:f>
        <x:v>0</x:v>
      </x:c>
      <x:c r="F56" s="141">
        <x:f>E61+D61+C61</x:f>
        <x:v>0</x:v>
      </x:c>
      <x:c r="G56" s="144"/>
      <x:c r="H56" s="20">
        <x:f>$B29</x:f>
        <x:v>0</x:v>
      </x:c>
      <x:c r="I56" s="95">
        <x:f>IF($T$2=0,$C29,$I29)</x:f>
        <x:v>0</x:v>
      </x:c>
      <x:c r="J56" s="95">
        <x:f>IF($T$2=0,$D29,$J29)</x:f>
        <x:v>0</x:v>
      </x:c>
      <x:c r="K56" s="95">
        <x:f>IF($T$2=0,$E29,$K29)</x:f>
        <x:v>0</x:v>
      </x:c>
      <x:c r="L56" s="141">
        <x:f>K61+J61+I61</x:f>
        <x:v>0</x:v>
      </x:c>
      <x:c r="M56" s="144"/>
    </x:row>
    <x:row r="57" spans="2:13" ht="24.949999999999999" customHeight="1">
      <x:c r="B57" s="12">
        <x:f>$B25</x:f>
        <x:v>0</x:v>
      </x:c>
      <x:c r="C57" s="38">
        <x:f>IF($T$2=0,$C25,$I25)</x:f>
        <x:v>0</x:v>
      </x:c>
      <x:c r="D57" s="38">
        <x:f>IF($T$2=0,$D25,$J25)</x:f>
        <x:v>0</x:v>
      </x:c>
      <x:c r="E57" s="38">
        <x:f>IF($T$2=0,$E25,$K25)</x:f>
        <x:v>0</x:v>
      </x:c>
      <x:c r="F57" s="142"/>
      <x:c r="G57" s="145"/>
      <x:c r="H57" s="12">
        <x:f>$B30</x:f>
        <x:v>0</x:v>
      </x:c>
      <x:c r="I57" s="38">
        <x:f>IF($T$2=0,$C30,$I30)</x:f>
        <x:v>0</x:v>
      </x:c>
      <x:c r="J57" s="38">
        <x:f>IF($T$2=0,$D30,$J30)</x:f>
        <x:v>0</x:v>
      </x:c>
      <x:c r="K57" s="38">
        <x:f>IF($T$2=0,$E30,$K30)</x:f>
        <x:v>0</x:v>
      </x:c>
      <x:c r="L57" s="142"/>
      <x:c r="M57" s="145"/>
    </x:row>
    <x:row r="58" spans="2:13" ht="24.949999999999999" customHeight="1">
      <x:c r="B58" s="12">
        <x:f>$B26</x:f>
        <x:v>0</x:v>
      </x:c>
      <x:c r="C58" s="38">
        <x:f>IF($T$2=0,$C26,$I26)</x:f>
        <x:v>0</x:v>
      </x:c>
      <x:c r="D58" s="38">
        <x:f>IF($T$2=0,$D26,$J26)</x:f>
        <x:v>0</x:v>
      </x:c>
      <x:c r="E58" s="38">
        <x:f>IF($T$2=0,$E26,$K26)</x:f>
        <x:v>0</x:v>
      </x:c>
      <x:c r="F58" s="142"/>
      <x:c r="G58" s="145"/>
      <x:c r="H58" s="12">
        <x:f t="shared" ref="H58:H60" si="17">$B31</x:f>
        <x:v>0</x:v>
      </x:c>
      <x:c r="I58" s="38">
        <x:f>IF($T$2=0,$C31,$I31)</x:f>
        <x:v>0</x:v>
      </x:c>
      <x:c r="J58" s="38">
        <x:f>IF($T$2=0,$D31,$J31)</x:f>
        <x:v>0</x:v>
      </x:c>
      <x:c r="K58" s="38">
        <x:f>IF($T$2=0,$E31,$K31)</x:f>
        <x:v>0</x:v>
      </x:c>
      <x:c r="L58" s="142"/>
      <x:c r="M58" s="145"/>
    </x:row>
    <x:row r="59" spans="2:13" ht="24.949999999999999" customHeight="1">
      <x:c r="B59" s="12">
        <x:f>$B27</x:f>
        <x:v>0</x:v>
      </x:c>
      <x:c r="C59" s="38">
        <x:f>IF($T$2=0,$C27,$I27)</x:f>
        <x:v>0</x:v>
      </x:c>
      <x:c r="D59" s="38">
        <x:f>IF($T$2=0,$D27,$J27)</x:f>
        <x:v>0</x:v>
      </x:c>
      <x:c r="E59" s="38">
        <x:f>IF($T$2=0,$E27,$K27)</x:f>
        <x:v>0</x:v>
      </x:c>
      <x:c r="F59" s="142"/>
      <x:c r="G59" s="145"/>
      <x:c r="H59" s="12">
        <x:f t="shared" si="17"/>
        <x:v>0</x:v>
      </x:c>
      <x:c r="I59" s="38">
        <x:f>IF($T$2=0,$C32,$I32)</x:f>
        <x:v>0</x:v>
      </x:c>
      <x:c r="J59" s="38">
        <x:f>IF($T$2=0,$D32,$J32)</x:f>
        <x:v>0</x:v>
      </x:c>
      <x:c r="K59" s="38">
        <x:f>IF($T$2=0,$E32,$K32)</x:f>
        <x:v>0</x:v>
      </x:c>
      <x:c r="L59" s="142"/>
      <x:c r="M59" s="145"/>
    </x:row>
    <x:row r="60" spans="2:13" ht="24.949999999999999" customHeight="1">
      <x:c r="B60" s="12">
        <x:f>$B28</x:f>
        <x:v>0</x:v>
      </x:c>
      <x:c r="C60" s="38">
        <x:f>IF($T$2=0,$C28,$I28)</x:f>
        <x:v>0</x:v>
      </x:c>
      <x:c r="D60" s="38">
        <x:f>IF($T$2=0,$D28,$J28)</x:f>
        <x:v>0</x:v>
      </x:c>
      <x:c r="E60" s="38">
        <x:f>IF($T$2=0,$E28,$K28)</x:f>
        <x:v>0</x:v>
      </x:c>
      <x:c r="F60" s="142"/>
      <x:c r="G60" s="145"/>
      <x:c r="H60" s="12">
        <x:f t="shared" si="17"/>
        <x:v>0</x:v>
      </x:c>
      <x:c r="I60" s="38">
        <x:f>IF($T$2=0,$C33,$I33)</x:f>
        <x:v>0</x:v>
      </x:c>
      <x:c r="J60" s="38">
        <x:f>IF($T$2=0,$D33,$J33)</x:f>
        <x:v>0</x:v>
      </x:c>
      <x:c r="K60" s="38">
        <x:f>IF($T$2=0,$E33,$K33)</x:f>
        <x:v>0</x:v>
      </x:c>
      <x:c r="L60" s="142"/>
      <x:c r="M60" s="145"/>
    </x:row>
    <x:row r="61" spans="2:13" ht="24.949999999999999" customHeight="1">
      <x:c r="B61" s="193"/>
      <x:c r="C61" s="194">
        <x:f>SUM(C56:C60)</x:f>
        <x:v>0</x:v>
      </x:c>
      <x:c r="D61" s="194">
        <x:f>SUM(D56:D60)</x:f>
        <x:v>0</x:v>
      </x:c>
      <x:c r="E61" s="194">
        <x:f>SUM(E56:E60)</x:f>
        <x:v>0</x:v>
      </x:c>
      <x:c r="F61" s="143"/>
      <x:c r="G61" s="146"/>
      <x:c r="H61" s="193"/>
      <x:c r="I61" s="194">
        <x:f>SUM(I56:I60)</x:f>
        <x:v>0</x:v>
      </x:c>
      <x:c r="J61" s="194">
        <x:f>SUM(J56:J60)</x:f>
        <x:v>0</x:v>
      </x:c>
      <x:c r="K61" s="194">
        <x:f>SUM(K56:K60)</x:f>
        <x:v>0</x:v>
      </x:c>
      <x:c r="L61" s="143"/>
      <x:c r="M61" s="146"/>
    </x:row>
    <x:row r="62" ht="24.949999999999999" customHeight="1"/>
    <x:row r="63" ht="24.949999999999999" customHeight="1"/>
    <x:row r="64" ht="24.949999999999999" customHeight="1"/>
    <x:row r="65" spans="1:13" ht="60" customHeight="1">
      <x:c r="A65" s="185" t="str">
        <x:f>A1</x:f>
        <x:v>2026 아르케 존 00회 정기 모임 점수</x:v>
      </x:c>
      <x:c r="B65" s="185"/>
      <x:c r="C65" s="185"/>
      <x:c r="D65" s="185"/>
      <x:c r="E65" s="185"/>
      <x:c r="F65" s="185"/>
      <x:c r="G65" s="185"/>
      <x:c r="H65" s="185"/>
      <x:c r="I65" s="185"/>
      <x:c r="J65" s="185"/>
      <x:c r="K65" s="185"/>
      <x:c r="L65" s="185"/>
      <x:c r="M65" s="185"/>
    </x:row>
    <x:row r="66" spans="1:13" ht="24.949999999999999" customHeight="1">
      <x:c r="A66" s="77"/>
      <x:c r="B66" s="77"/>
      <x:c r="C66" s="77"/>
      <x:c r="D66" s="77"/>
      <x:c r="E66" s="77"/>
      <x:c r="F66" s="77"/>
      <x:c r="G66" s="77"/>
      <x:c r="H66" s="77"/>
      <x:c r="I66" s="77"/>
      <x:c r="J66" s="77"/>
      <x:c r="K66" s="78" t="s">
        <x:v>8</x:v>
      </x:c>
      <x:c r="L66" s="166">
        <x:f>L2</x:f>
        <x:v>46113</x:v>
      </x:c>
      <x:c r="M66" s="167"/>
    </x:row>
    <x:row r="67" spans="1:13" ht="24.949999999999999" customHeight="1">
      <x:c r="A67" s="20"/>
      <x:c r="B67" s="14" t="s">
        <x:v>53</x:v>
      </x:c>
      <x:c r="C67" s="14" t="s">
        <x:v>2</x:v>
      </x:c>
      <x:c r="D67" s="14" t="s">
        <x:v>0</x:v>
      </x:c>
      <x:c r="E67" s="14" t="s">
        <x:v>10</x:v>
      </x:c>
      <x:c r="F67" s="14" t="s">
        <x:v>9</x:v>
      </x:c>
      <x:c r="G67" s="14" t="s">
        <x:v>6</x:v>
      </x:c>
      <x:c r="H67" s="16" t="s">
        <x:v>57</x:v>
      </x:c>
      <x:c r="I67" s="14" t="s">
        <x:v>2</x:v>
      </x:c>
      <x:c r="J67" s="14" t="s">
        <x:v>0</x:v>
      </x:c>
      <x:c r="K67" s="14" t="s">
        <x:v>10</x:v>
      </x:c>
      <x:c r="L67" s="15" t="s">
        <x:v>9</x:v>
      </x:c>
      <x:c r="M67" s="22" t="s">
        <x:v>13</x:v>
      </x:c>
    </x:row>
    <x:row r="68" spans="1:13" ht="24.949999999999999" customHeight="1">
      <x:c r="A68" s="12">
        <x:v>1</x:v>
      </x:c>
      <x:c r="B68" s="13">
        <x:f t="array" ref="B68:B68">INDEX($B$4:$M$33,MATCH($A68,$U$4:$U$33,0),COLUMN(A$1))</x:f>
        <x:v>0</x:v>
      </x:c>
      <x:c r="C68" s="62">
        <x:f t="array" ref="C68:C68">INDEX($B$4:$M$33,MATCH($A68,$U$4:$U$33,0),COLUMN(B$1))</x:f>
        <x:v>0</x:v>
      </x:c>
      <x:c r="D68" s="62">
        <x:f t="array" ref="D68:D68">INDEX($B$4:$M$33,MATCH($A68,$U$4:$U$33,0),COLUMN(C$1))</x:f>
        <x:v>0</x:v>
      </x:c>
      <x:c r="E68" s="62">
        <x:f t="array" ref="E68:E68">INDEX($B$4:$M$33,MATCH($A68,$U$4:$U$33,0),COLUMN(D$1))</x:f>
        <x:v>0</x:v>
      </x:c>
      <x:c r="F68" s="44">
        <x:f>SUM(C68:E68)</x:f>
        <x:v>0</x:v>
      </x:c>
      <x:c r="G68" s="45">
        <x:f>F68/3</x:f>
        <x:v>0</x:v>
      </x:c>
      <x:c r="H68" s="34" t="str">
        <x:f t="array" ref="H68:H68">IF(B68="","",IFERROR(INDEX('회원명단 및 기준에버'!D:G,MATCH(B68,'회원명단 및 기준에버'!$C:$C,0),CHOOSE(INT((MONTH($L$2)-1)/3)+1,1,2,3,4)),""))</x:f>
        <x:v/>
      </x:c>
      <x:c r="I68" s="38">
        <x:f>IFERROR(C68+-H68,0)</x:f>
        <x:v>0</x:v>
      </x:c>
      <x:c r="J68" s="38">
        <x:f>IFERROR(D68+-H68,0)</x:f>
        <x:v>0</x:v>
      </x:c>
      <x:c r="K68" s="38">
        <x:f>IFERROR(E68+-H68,0)</x:f>
        <x:v>0</x:v>
      </x:c>
      <x:c r="L68" s="63">
        <x:f>SUM(I68:K68)</x:f>
        <x:v>0</x:v>
      </x:c>
      <x:c r="M68" s="39">
        <x:f>IFERROR(G68+-H68,0)</x:f>
        <x:v>0</x:v>
      </x:c>
    </x:row>
    <x:row r="69" spans="1:13" ht="24.949999999999999" customHeight="1">
      <x:c r="A69" s="12">
        <x:v>2</x:v>
      </x:c>
      <x:c r="B69" s="13">
        <x:f t="array" ref="B69:B69">INDEX($B$4:$M$33,MATCH($A69,$U$4:$U$33,0),COLUMN(A$1))</x:f>
        <x:v>0</x:v>
      </x:c>
      <x:c r="C69" s="62">
        <x:f t="array" ref="C69:C69">INDEX($B$4:$M$33,MATCH($A69,$U$4:$U$33,0),COLUMN(B$1))</x:f>
        <x:v>0</x:v>
      </x:c>
      <x:c r="D69" s="62">
        <x:f t="array" ref="D69:D69">INDEX($B$4:$M$33,MATCH($A69,$U$4:$U$33,0),COLUMN(C$1))</x:f>
        <x:v>0</x:v>
      </x:c>
      <x:c r="E69" s="62">
        <x:f t="array" ref="E69:E69">INDEX($B$4:$M$33,MATCH($A69,$U$4:$U$33,0),COLUMN(D$1))</x:f>
        <x:v>0</x:v>
      </x:c>
      <x:c r="F69" s="44">
        <x:f>SUM(C69:E69)</x:f>
        <x:v>0</x:v>
      </x:c>
      <x:c r="G69" s="45">
        <x:f>F69/3</x:f>
        <x:v>0</x:v>
      </x:c>
      <x:c r="H69" s="34" t="str">
        <x:f t="array" ref="H69:H69">IF(B69="","",IFERROR(INDEX('회원명단 및 기준에버'!D:G,MATCH(B69,'회원명단 및 기준에버'!$C:$C,0),CHOOSE(INT((MONTH($L$2)-1)/3)+1,1,2,3,4)),""))</x:f>
        <x:v/>
      </x:c>
      <x:c r="I69" s="38">
        <x:f>IFERROR(C69+-H69,0)</x:f>
        <x:v>0</x:v>
      </x:c>
      <x:c r="J69" s="38">
        <x:f>IFERROR(D69+-H69,0)</x:f>
        <x:v>0</x:v>
      </x:c>
      <x:c r="K69" s="38">
        <x:f>IFERROR(E69+-H69,0)</x:f>
        <x:v>0</x:v>
      </x:c>
      <x:c r="L69" s="63">
        <x:f>SUM(I69:K69)</x:f>
        <x:v>0</x:v>
      </x:c>
      <x:c r="M69" s="39">
        <x:f>IFERROR(G69+-H69,0)</x:f>
        <x:v>0</x:v>
      </x:c>
    </x:row>
    <x:row r="70" spans="1:13" ht="24.949999999999999" customHeight="1">
      <x:c r="A70" s="12">
        <x:v>3</x:v>
      </x:c>
      <x:c r="B70" s="13">
        <x:f t="array" ref="B70:B70">INDEX($B$4:$M$33,MATCH($A70,$U$4:$U$33,0),COLUMN(A$1))</x:f>
        <x:v>0</x:v>
      </x:c>
      <x:c r="C70" s="62">
        <x:f t="array" ref="C70:C70">INDEX($B$4:$M$33,MATCH($A70,$U$4:$U$33,0),COLUMN(B$1))</x:f>
        <x:v>0</x:v>
      </x:c>
      <x:c r="D70" s="62">
        <x:f t="array" ref="D70:D70">INDEX($B$4:$M$33,MATCH($A70,$U$4:$U$33,0),COLUMN(C$1))</x:f>
        <x:v>0</x:v>
      </x:c>
      <x:c r="E70" s="62">
        <x:f t="array" ref="E70:E70">INDEX($B$4:$M$33,MATCH($A70,$U$4:$U$33,0),COLUMN(D$1))</x:f>
        <x:v>0</x:v>
      </x:c>
      <x:c r="F70" s="44">
        <x:f>SUM(C70:E70)</x:f>
        <x:v>0</x:v>
      </x:c>
      <x:c r="G70" s="45">
        <x:f>F70/3</x:f>
        <x:v>0</x:v>
      </x:c>
      <x:c r="H70" s="34" t="str">
        <x:f t="array" ref="H70:H70">IF(B70="","",IFERROR(INDEX('회원명단 및 기준에버'!D:G,MATCH(B70,'회원명단 및 기준에버'!$C:$C,0),CHOOSE(INT((MONTH($L$2)-1)/3)+1,1,2,3,4)),""))</x:f>
        <x:v/>
      </x:c>
      <x:c r="I70" s="38">
        <x:f t="shared" ref="I70:I97" si="18">IFERROR(C70+-H70,0)</x:f>
        <x:v>0</x:v>
      </x:c>
      <x:c r="J70" s="38">
        <x:f t="shared" ref="J70:J97" si="19">IFERROR(D70+-H70,0)</x:f>
        <x:v>0</x:v>
      </x:c>
      <x:c r="K70" s="38">
        <x:f t="shared" ref="K70:K97" si="20">IFERROR(E70+-H70,0)</x:f>
        <x:v>0</x:v>
      </x:c>
      <x:c r="L70" s="63">
        <x:f t="shared" ref="L70:L97" si="21">SUM(I70:K70)</x:f>
        <x:v>0</x:v>
      </x:c>
      <x:c r="M70" s="39">
        <x:f t="shared" ref="M70:M97" si="22">IFERROR(G70+-H70,0)</x:f>
        <x:v>0</x:v>
      </x:c>
    </x:row>
    <x:row r="71" spans="1:13" ht="24.949999999999999" customHeight="1">
      <x:c r="A71" s="12">
        <x:v>4</x:v>
      </x:c>
      <x:c r="B71" s="13">
        <x:f t="array" ref="B71:B71">INDEX($B$4:$M$33,MATCH($A71,$U$4:$U$33,0),COLUMN(A$1))</x:f>
        <x:v>0</x:v>
      </x:c>
      <x:c r="C71" s="62">
        <x:f t="array" ref="C71:C71">INDEX($B$4:$M$33,MATCH($A71,$U$4:$U$33,0),COLUMN(B$1))</x:f>
        <x:v>0</x:v>
      </x:c>
      <x:c r="D71" s="62">
        <x:f t="array" ref="D71:D71">INDEX($B$4:$M$33,MATCH($A71,$U$4:$U$33,0),COLUMN(C$1))</x:f>
        <x:v>0</x:v>
      </x:c>
      <x:c r="E71" s="62">
        <x:f t="array" ref="E71:E71">INDEX($B$4:$M$33,MATCH($A71,$U$4:$U$33,0),COLUMN(D$1))</x:f>
        <x:v>0</x:v>
      </x:c>
      <x:c r="F71" s="44">
        <x:f>SUM(C71:E71)</x:f>
        <x:v>0</x:v>
      </x:c>
      <x:c r="G71" s="45">
        <x:f>F71/3</x:f>
        <x:v>0</x:v>
      </x:c>
      <x:c r="H71" s="34" t="str">
        <x:f t="array" ref="H71:H71">IF(B71="","",IFERROR(INDEX('회원명단 및 기준에버'!D:G,MATCH(B71,'회원명단 및 기준에버'!$C:$C,0),CHOOSE(INT((MONTH($L$2)-1)/3)+1,1,2,3,4)),""))</x:f>
        <x:v/>
      </x:c>
      <x:c r="I71" s="38">
        <x:f t="shared" si="18"/>
        <x:v>0</x:v>
      </x:c>
      <x:c r="J71" s="38">
        <x:f t="shared" si="19"/>
        <x:v>0</x:v>
      </x:c>
      <x:c r="K71" s="38">
        <x:f t="shared" si="20"/>
        <x:v>0</x:v>
      </x:c>
      <x:c r="L71" s="63">
        <x:f t="shared" si="21"/>
        <x:v>0</x:v>
      </x:c>
      <x:c r="M71" s="39">
        <x:f t="shared" si="22"/>
        <x:v>0</x:v>
      </x:c>
    </x:row>
    <x:row r="72" spans="1:13" ht="24.949999999999999" customHeight="1">
      <x:c r="A72" s="12">
        <x:v>5</x:v>
      </x:c>
      <x:c r="B72" s="13">
        <x:f t="array" ref="B72:B72">INDEX($B$4:$M$33,MATCH($A72,$U$4:$U$33,0),COLUMN(A$1))</x:f>
        <x:v>0</x:v>
      </x:c>
      <x:c r="C72" s="62">
        <x:f t="array" ref="C72:C72">INDEX($B$4:$M$33,MATCH($A72,$U$4:$U$33,0),COLUMN(B$1))</x:f>
        <x:v>0</x:v>
      </x:c>
      <x:c r="D72" s="62">
        <x:f t="array" ref="D72:D72">INDEX($B$4:$M$33,MATCH($A72,$U$4:$U$33,0),COLUMN(C$1))</x:f>
        <x:v>0</x:v>
      </x:c>
      <x:c r="E72" s="62">
        <x:f t="array" ref="E72:E72">INDEX($B$4:$M$33,MATCH($A72,$U$4:$U$33,0),COLUMN(D$1))</x:f>
        <x:v>0</x:v>
      </x:c>
      <x:c r="F72" s="44">
        <x:f t="shared" ref="F72:F97" si="23">SUM(C72:E72)</x:f>
        <x:v>0</x:v>
      </x:c>
      <x:c r="G72" s="45">
        <x:f t="shared" ref="G72:G97" si="24">F72/3</x:f>
        <x:v>0</x:v>
      </x:c>
      <x:c r="H72" s="34" t="str">
        <x:f t="array" ref="H72:H72">IF(B72="","",IFERROR(INDEX('회원명단 및 기준에버'!D:G,MATCH(B72,'회원명단 및 기준에버'!$C:$C,0),CHOOSE(INT((MONTH($L$2)-1)/3)+1,1,2,3,4)),""))</x:f>
        <x:v/>
      </x:c>
      <x:c r="I72" s="38">
        <x:f t="shared" si="18"/>
        <x:v>0</x:v>
      </x:c>
      <x:c r="J72" s="38">
        <x:f t="shared" si="19"/>
        <x:v>0</x:v>
      </x:c>
      <x:c r="K72" s="38">
        <x:f t="shared" si="20"/>
        <x:v>0</x:v>
      </x:c>
      <x:c r="L72" s="63">
        <x:f t="shared" si="21"/>
        <x:v>0</x:v>
      </x:c>
      <x:c r="M72" s="39">
        <x:f t="shared" si="22"/>
        <x:v>0</x:v>
      </x:c>
    </x:row>
    <x:row r="73" spans="1:13" ht="24.949999999999999" customHeight="1">
      <x:c r="A73" s="12">
        <x:v>6</x:v>
      </x:c>
      <x:c r="B73" s="13">
        <x:f t="array" ref="B73:B73">INDEX($B$4:$M$33,MATCH($A73,$U$4:$U$33,0),COLUMN(A$1))</x:f>
        <x:v>0</x:v>
      </x:c>
      <x:c r="C73" s="62">
        <x:f t="array" ref="C73:C73">INDEX($B$4:$M$33,MATCH($A73,$U$4:$U$33,0),COLUMN(B$1))</x:f>
        <x:v>0</x:v>
      </x:c>
      <x:c r="D73" s="62">
        <x:f t="array" ref="D73:D73">INDEX($B$4:$M$33,MATCH($A73,$U$4:$U$33,0),COLUMN(C$1))</x:f>
        <x:v>0</x:v>
      </x:c>
      <x:c r="E73" s="62">
        <x:f t="array" ref="E73:E73">INDEX($B$4:$M$33,MATCH($A73,$U$4:$U$33,0),COLUMN(D$1))</x:f>
        <x:v>0</x:v>
      </x:c>
      <x:c r="F73" s="44">
        <x:f t="shared" si="23"/>
        <x:v>0</x:v>
      </x:c>
      <x:c r="G73" s="45">
        <x:f t="shared" si="24"/>
        <x:v>0</x:v>
      </x:c>
      <x:c r="H73" s="34" t="str">
        <x:f t="array" ref="H73:H73">IF(B73="","",IFERROR(INDEX('회원명단 및 기준에버'!D:G,MATCH(B73,'회원명단 및 기준에버'!$C:$C,0),CHOOSE(INT((MONTH($L$2)-1)/3)+1,1,2,3,4)),""))</x:f>
        <x:v/>
      </x:c>
      <x:c r="I73" s="38">
        <x:f t="shared" si="18"/>
        <x:v>0</x:v>
      </x:c>
      <x:c r="J73" s="38">
        <x:f t="shared" si="19"/>
        <x:v>0</x:v>
      </x:c>
      <x:c r="K73" s="38">
        <x:f t="shared" si="20"/>
        <x:v>0</x:v>
      </x:c>
      <x:c r="L73" s="63">
        <x:f t="shared" si="21"/>
        <x:v>0</x:v>
      </x:c>
      <x:c r="M73" s="39">
        <x:f t="shared" si="22"/>
        <x:v>0</x:v>
      </x:c>
    </x:row>
    <x:row r="74" spans="1:13" ht="24.949999999999999" customHeight="1">
      <x:c r="A74" s="12">
        <x:v>7</x:v>
      </x:c>
      <x:c r="B74" s="13">
        <x:f t="array" ref="B74:B74">INDEX($B$4:$M$33,MATCH($A74,$U$4:$U$33,0),COLUMN(A$1))</x:f>
        <x:v>0</x:v>
      </x:c>
      <x:c r="C74" s="62">
        <x:f t="array" ref="C74:C74">INDEX($B$4:$M$33,MATCH($A74,$U$4:$U$33,0),COLUMN(B$1))</x:f>
        <x:v>0</x:v>
      </x:c>
      <x:c r="D74" s="62">
        <x:f t="array" ref="D74:D74">INDEX($B$4:$M$33,MATCH($A74,$U$4:$U$33,0),COLUMN(C$1))</x:f>
        <x:v>0</x:v>
      </x:c>
      <x:c r="E74" s="62">
        <x:f t="array" ref="E74:E74">INDEX($B$4:$M$33,MATCH($A74,$U$4:$U$33,0),COLUMN(D$1))</x:f>
        <x:v>0</x:v>
      </x:c>
      <x:c r="F74" s="44">
        <x:f t="shared" si="23"/>
        <x:v>0</x:v>
      </x:c>
      <x:c r="G74" s="45">
        <x:f t="shared" si="24"/>
        <x:v>0</x:v>
      </x:c>
      <x:c r="H74" s="34" t="str">
        <x:f t="array" ref="H74:H74">IF(B74="","",IFERROR(INDEX('회원명단 및 기준에버'!D:G,MATCH(B74,'회원명단 및 기준에버'!$C:$C,0),CHOOSE(INT((MONTH($L$2)-1)/3)+1,1,2,3,4)),""))</x:f>
        <x:v/>
      </x:c>
      <x:c r="I74" s="38">
        <x:f t="shared" si="18"/>
        <x:v>0</x:v>
      </x:c>
      <x:c r="J74" s="38">
        <x:f t="shared" si="19"/>
        <x:v>0</x:v>
      </x:c>
      <x:c r="K74" s="38">
        <x:f t="shared" si="20"/>
        <x:v>0</x:v>
      </x:c>
      <x:c r="L74" s="63">
        <x:f t="shared" si="21"/>
        <x:v>0</x:v>
      </x:c>
      <x:c r="M74" s="39">
        <x:f t="shared" si="22"/>
        <x:v>0</x:v>
      </x:c>
    </x:row>
    <x:row r="75" spans="1:13" ht="24.949999999999999" customHeight="1">
      <x:c r="A75" s="12">
        <x:v>8</x:v>
      </x:c>
      <x:c r="B75" s="13">
        <x:f t="array" ref="B75:B75">INDEX($B$4:$M$33,MATCH($A75,$U$4:$U$33,0),COLUMN(A$1))</x:f>
        <x:v>0</x:v>
      </x:c>
      <x:c r="C75" s="62">
        <x:f t="array" ref="C75:C75">INDEX($B$4:$M$33,MATCH($A75,$U$4:$U$33,0),COLUMN(B$1))</x:f>
        <x:v>0</x:v>
      </x:c>
      <x:c r="D75" s="62">
        <x:f t="array" ref="D75:D75">INDEX($B$4:$M$33,MATCH($A75,$U$4:$U$33,0),COLUMN(C$1))</x:f>
        <x:v>0</x:v>
      </x:c>
      <x:c r="E75" s="62">
        <x:f t="array" ref="E75:E75">INDEX($B$4:$M$33,MATCH($A75,$U$4:$U$33,0),COLUMN(D$1))</x:f>
        <x:v>0</x:v>
      </x:c>
      <x:c r="F75" s="44">
        <x:f t="shared" si="23"/>
        <x:v>0</x:v>
      </x:c>
      <x:c r="G75" s="45">
        <x:f t="shared" si="24"/>
        <x:v>0</x:v>
      </x:c>
      <x:c r="H75" s="34" t="str">
        <x:f t="array" ref="H75:H75">IF(B75="","",IFERROR(INDEX('회원명단 및 기준에버'!D:G,MATCH(B75,'회원명단 및 기준에버'!$C:$C,0),CHOOSE(INT((MONTH($L$2)-1)/3)+1,1,2,3,4)),""))</x:f>
        <x:v/>
      </x:c>
      <x:c r="I75" s="38">
        <x:f t="shared" si="18"/>
        <x:v>0</x:v>
      </x:c>
      <x:c r="J75" s="38">
        <x:f t="shared" si="19"/>
        <x:v>0</x:v>
      </x:c>
      <x:c r="K75" s="38">
        <x:f t="shared" si="20"/>
        <x:v>0</x:v>
      </x:c>
      <x:c r="L75" s="63">
        <x:f t="shared" si="21"/>
        <x:v>0</x:v>
      </x:c>
      <x:c r="M75" s="39">
        <x:f t="shared" si="22"/>
        <x:v>0</x:v>
      </x:c>
    </x:row>
    <x:row r="76" spans="1:13" ht="24.949999999999999" customHeight="1">
      <x:c r="A76" s="12">
        <x:v>9</x:v>
      </x:c>
      <x:c r="B76" s="13">
        <x:f t="array" ref="B76:B76">INDEX($B$4:$M$33,MATCH($A76,$U$4:$U$33,0),COLUMN(A$1))</x:f>
        <x:v>0</x:v>
      </x:c>
      <x:c r="C76" s="62">
        <x:f t="array" ref="C76:C76">INDEX($B$4:$M$33,MATCH($A76,$U$4:$U$33,0),COLUMN(B$1))</x:f>
        <x:v>0</x:v>
      </x:c>
      <x:c r="D76" s="62">
        <x:f t="array" ref="D76:D76">INDEX($B$4:$M$33,MATCH($A76,$U$4:$U$33,0),COLUMN(C$1))</x:f>
        <x:v>0</x:v>
      </x:c>
      <x:c r="E76" s="62">
        <x:f t="array" ref="E76:E76">INDEX($B$4:$M$33,MATCH($A76,$U$4:$U$33,0),COLUMN(D$1))</x:f>
        <x:v>0</x:v>
      </x:c>
      <x:c r="F76" s="44">
        <x:f t="shared" si="23"/>
        <x:v>0</x:v>
      </x:c>
      <x:c r="G76" s="45">
        <x:f t="shared" si="24"/>
        <x:v>0</x:v>
      </x:c>
      <x:c r="H76" s="34" t="str">
        <x:f t="array" ref="H76:H76">IF(B76="","",IFERROR(INDEX('회원명단 및 기준에버'!D:G,MATCH(B76,'회원명단 및 기준에버'!$C:$C,0),CHOOSE(INT((MONTH($L$2)-1)/3)+1,1,2,3,4)),""))</x:f>
        <x:v/>
      </x:c>
      <x:c r="I76" s="38">
        <x:f t="shared" si="18"/>
        <x:v>0</x:v>
      </x:c>
      <x:c r="J76" s="38">
        <x:f t="shared" si="19"/>
        <x:v>0</x:v>
      </x:c>
      <x:c r="K76" s="38">
        <x:f t="shared" si="20"/>
        <x:v>0</x:v>
      </x:c>
      <x:c r="L76" s="63">
        <x:f t="shared" si="21"/>
        <x:v>0</x:v>
      </x:c>
      <x:c r="M76" s="39">
        <x:f t="shared" si="22"/>
        <x:v>0</x:v>
      </x:c>
    </x:row>
    <x:row r="77" spans="1:13" ht="24.949999999999999" customHeight="1">
      <x:c r="A77" s="12">
        <x:v>10</x:v>
      </x:c>
      <x:c r="B77" s="13">
        <x:f t="array" ref="B77:B77">INDEX($B$4:$M$33,MATCH($A77,$U$4:$U$33,0),COLUMN(A$1))</x:f>
        <x:v>0</x:v>
      </x:c>
      <x:c r="C77" s="62">
        <x:f t="array" ref="C77:C77">INDEX($B$4:$M$33,MATCH($A77,$U$4:$U$33,0),COLUMN(B$1))</x:f>
        <x:v>0</x:v>
      </x:c>
      <x:c r="D77" s="62">
        <x:f t="array" ref="D77:D77">INDEX($B$4:$M$33,MATCH($A77,$U$4:$U$33,0),COLUMN(C$1))</x:f>
        <x:v>0</x:v>
      </x:c>
      <x:c r="E77" s="62">
        <x:f t="array" ref="E77:E77">INDEX($B$4:$M$33,MATCH($A77,$U$4:$U$33,0),COLUMN(D$1))</x:f>
        <x:v>0</x:v>
      </x:c>
      <x:c r="F77" s="44">
        <x:f t="shared" si="23"/>
        <x:v>0</x:v>
      </x:c>
      <x:c r="G77" s="45">
        <x:f t="shared" si="24"/>
        <x:v>0</x:v>
      </x:c>
      <x:c r="H77" s="34" t="str">
        <x:f t="array" ref="H77:H77">IF(B77="","",IFERROR(INDEX('회원명단 및 기준에버'!D:G,MATCH(B77,'회원명단 및 기준에버'!$C:$C,0),CHOOSE(INT((MONTH($L$2)-1)/3)+1,1,2,3,4)),""))</x:f>
        <x:v/>
      </x:c>
      <x:c r="I77" s="38">
        <x:f t="shared" si="18"/>
        <x:v>0</x:v>
      </x:c>
      <x:c r="J77" s="38">
        <x:f t="shared" si="19"/>
        <x:v>0</x:v>
      </x:c>
      <x:c r="K77" s="38">
        <x:f t="shared" si="20"/>
        <x:v>0</x:v>
      </x:c>
      <x:c r="L77" s="63">
        <x:f t="shared" si="21"/>
        <x:v>0</x:v>
      </x:c>
      <x:c r="M77" s="39">
        <x:f t="shared" si="22"/>
        <x:v>0</x:v>
      </x:c>
    </x:row>
    <x:row r="78" spans="1:13" ht="24.949999999999999" customHeight="1">
      <x:c r="A78" s="12">
        <x:v>11</x:v>
      </x:c>
      <x:c r="B78" s="13">
        <x:f t="array" ref="B78:B78">INDEX($B$4:$M$33,MATCH($A78,$U$4:$U$33,0),COLUMN(A$1))</x:f>
        <x:v>0</x:v>
      </x:c>
      <x:c r="C78" s="62">
        <x:f t="array" ref="C78:C78">INDEX($B$4:$M$33,MATCH($A78,$U$4:$U$33,0),COLUMN(B$1))</x:f>
        <x:v>0</x:v>
      </x:c>
      <x:c r="D78" s="62">
        <x:f t="array" ref="D78:D78">INDEX($B$4:$M$33,MATCH($A78,$U$4:$U$33,0),COLUMN(C$1))</x:f>
        <x:v>0</x:v>
      </x:c>
      <x:c r="E78" s="62">
        <x:f t="array" ref="E78:E78">INDEX($B$4:$M$33,MATCH($A78,$U$4:$U$33,0),COLUMN(D$1))</x:f>
        <x:v>0</x:v>
      </x:c>
      <x:c r="F78" s="44">
        <x:f t="shared" si="23"/>
        <x:v>0</x:v>
      </x:c>
      <x:c r="G78" s="45">
        <x:f t="shared" si="24"/>
        <x:v>0</x:v>
      </x:c>
      <x:c r="H78" s="34" t="str">
        <x:f t="array" ref="H78:H78">IF(B78="","",IFERROR(INDEX('회원명단 및 기준에버'!D:G,MATCH(B78,'회원명단 및 기준에버'!$C:$C,0),CHOOSE(INT((MONTH($L$2)-1)/3)+1,1,2,3,4)),""))</x:f>
        <x:v/>
      </x:c>
      <x:c r="I78" s="38">
        <x:f t="shared" si="18"/>
        <x:v>0</x:v>
      </x:c>
      <x:c r="J78" s="38">
        <x:f t="shared" si="19"/>
        <x:v>0</x:v>
      </x:c>
      <x:c r="K78" s="38">
        <x:f t="shared" si="20"/>
        <x:v>0</x:v>
      </x:c>
      <x:c r="L78" s="63">
        <x:f t="shared" si="21"/>
        <x:v>0</x:v>
      </x:c>
      <x:c r="M78" s="39">
        <x:f t="shared" si="22"/>
        <x:v>0</x:v>
      </x:c>
    </x:row>
    <x:row r="79" spans="1:13" ht="24.949999999999999" customHeight="1">
      <x:c r="A79" s="12">
        <x:v>12</x:v>
      </x:c>
      <x:c r="B79" s="13">
        <x:f t="array" ref="B79:B79">INDEX($B$4:$M$33,MATCH($A79,$U$4:$U$33,0),COLUMN(A$1))</x:f>
        <x:v>0</x:v>
      </x:c>
      <x:c r="C79" s="62">
        <x:f t="array" ref="C79:C79">INDEX($B$4:$M$33,MATCH($A79,$U$4:$U$33,0),COLUMN(B$1))</x:f>
        <x:v>0</x:v>
      </x:c>
      <x:c r="D79" s="62">
        <x:f t="array" ref="D79:D79">INDEX($B$4:$M$33,MATCH($A79,$U$4:$U$33,0),COLUMN(C$1))</x:f>
        <x:v>0</x:v>
      </x:c>
      <x:c r="E79" s="62">
        <x:f t="array" ref="E79:E79">INDEX($B$4:$M$33,MATCH($A79,$U$4:$U$33,0),COLUMN(D$1))</x:f>
        <x:v>0</x:v>
      </x:c>
      <x:c r="F79" s="44">
        <x:f t="shared" si="23"/>
        <x:v>0</x:v>
      </x:c>
      <x:c r="G79" s="45">
        <x:f t="shared" si="24"/>
        <x:v>0</x:v>
      </x:c>
      <x:c r="H79" s="34" t="str">
        <x:f t="array" ref="H79:H79">IF(B79="","",IFERROR(INDEX('회원명단 및 기준에버'!D:G,MATCH(B79,'회원명단 및 기준에버'!$C:$C,0),CHOOSE(INT((MONTH($L$2)-1)/3)+1,1,2,3,4)),""))</x:f>
        <x:v/>
      </x:c>
      <x:c r="I79" s="38">
        <x:f t="shared" si="18"/>
        <x:v>0</x:v>
      </x:c>
      <x:c r="J79" s="38">
        <x:f t="shared" si="19"/>
        <x:v>0</x:v>
      </x:c>
      <x:c r="K79" s="38">
        <x:f t="shared" si="20"/>
        <x:v>0</x:v>
      </x:c>
      <x:c r="L79" s="63">
        <x:f t="shared" si="21"/>
        <x:v>0</x:v>
      </x:c>
      <x:c r="M79" s="39">
        <x:f t="shared" si="22"/>
        <x:v>0</x:v>
      </x:c>
    </x:row>
    <x:row r="80" spans="1:13" ht="24.949999999999999" customHeight="1">
      <x:c r="A80" s="12">
        <x:v>13</x:v>
      </x:c>
      <x:c r="B80" s="13">
        <x:f t="array" ref="B80:B80">INDEX($B$4:$M$33,MATCH($A80,$U$4:$U$33,0),COLUMN(A$1))</x:f>
        <x:v>0</x:v>
      </x:c>
      <x:c r="C80" s="62">
        <x:f t="array" ref="C80:C80">INDEX($B$4:$M$33,MATCH($A80,$U$4:$U$33,0),COLUMN(B$1))</x:f>
        <x:v>0</x:v>
      </x:c>
      <x:c r="D80" s="62">
        <x:f t="array" ref="D80:D80">INDEX($B$4:$M$33,MATCH($A80,$U$4:$U$33,0),COLUMN(C$1))</x:f>
        <x:v>0</x:v>
      </x:c>
      <x:c r="E80" s="62">
        <x:f t="array" ref="E80:E80">INDEX($B$4:$M$33,MATCH($A80,$U$4:$U$33,0),COLUMN(D$1))</x:f>
        <x:v>0</x:v>
      </x:c>
      <x:c r="F80" s="44">
        <x:f t="shared" si="23"/>
        <x:v>0</x:v>
      </x:c>
      <x:c r="G80" s="45">
        <x:f t="shared" si="24"/>
        <x:v>0</x:v>
      </x:c>
      <x:c r="H80" s="34" t="str">
        <x:f t="array" ref="H80:H80">IF(B80="","",IFERROR(INDEX('회원명단 및 기준에버'!D:G,MATCH(B80,'회원명단 및 기준에버'!$C:$C,0),CHOOSE(INT((MONTH($L$2)-1)/3)+1,1,2,3,4)),""))</x:f>
        <x:v/>
      </x:c>
      <x:c r="I80" s="38">
        <x:f t="shared" si="18"/>
        <x:v>0</x:v>
      </x:c>
      <x:c r="J80" s="38">
        <x:f t="shared" si="19"/>
        <x:v>0</x:v>
      </x:c>
      <x:c r="K80" s="38">
        <x:f t="shared" si="20"/>
        <x:v>0</x:v>
      </x:c>
      <x:c r="L80" s="63">
        <x:f t="shared" si="21"/>
        <x:v>0</x:v>
      </x:c>
      <x:c r="M80" s="39">
        <x:f t="shared" si="22"/>
        <x:v>0</x:v>
      </x:c>
    </x:row>
    <x:row r="81" spans="1:13" ht="24.949999999999999" customHeight="1">
      <x:c r="A81" s="12">
        <x:v>14</x:v>
      </x:c>
      <x:c r="B81" s="13">
        <x:f t="array" ref="B81:B81">INDEX($B$4:$M$33,MATCH($A81,$U$4:$U$33,0),COLUMN(A$1))</x:f>
        <x:v>0</x:v>
      </x:c>
      <x:c r="C81" s="62">
        <x:f t="array" ref="C81:C81">INDEX($B$4:$M$33,MATCH($A81,$U$4:$U$33,0),COLUMN(B$1))</x:f>
        <x:v>0</x:v>
      </x:c>
      <x:c r="D81" s="62">
        <x:f t="array" ref="D81:D81">INDEX($B$4:$M$33,MATCH($A81,$U$4:$U$33,0),COLUMN(C$1))</x:f>
        <x:v>0</x:v>
      </x:c>
      <x:c r="E81" s="62">
        <x:f t="array" ref="E81:E81">INDEX($B$4:$M$33,MATCH($A81,$U$4:$U$33,0),COLUMN(D$1))</x:f>
        <x:v>0</x:v>
      </x:c>
      <x:c r="F81" s="44">
        <x:f t="shared" si="23"/>
        <x:v>0</x:v>
      </x:c>
      <x:c r="G81" s="45">
        <x:f t="shared" si="24"/>
        <x:v>0</x:v>
      </x:c>
      <x:c r="H81" s="34" t="str">
        <x:f t="array" ref="H81:H81">IF(B81="","",IFERROR(INDEX('회원명단 및 기준에버'!D:G,MATCH(B81,'회원명단 및 기준에버'!$C:$C,0),CHOOSE(INT((MONTH($L$2)-1)/3)+1,1,2,3,4)),""))</x:f>
        <x:v/>
      </x:c>
      <x:c r="I81" s="38">
        <x:f t="shared" si="18"/>
        <x:v>0</x:v>
      </x:c>
      <x:c r="J81" s="38">
        <x:f t="shared" si="19"/>
        <x:v>0</x:v>
      </x:c>
      <x:c r="K81" s="38">
        <x:f t="shared" si="20"/>
        <x:v>0</x:v>
      </x:c>
      <x:c r="L81" s="63">
        <x:f t="shared" si="21"/>
        <x:v>0</x:v>
      </x:c>
      <x:c r="M81" s="39">
        <x:f t="shared" si="22"/>
        <x:v>0</x:v>
      </x:c>
    </x:row>
    <x:row r="82" spans="1:13" ht="24.949999999999999" customHeight="1">
      <x:c r="A82" s="12">
        <x:v>15</x:v>
      </x:c>
      <x:c r="B82" s="13">
        <x:f t="array" ref="B82:B82">INDEX($B$4:$M$33,MATCH($A82,$U$4:$U$33,0),COLUMN(A$1))</x:f>
        <x:v>0</x:v>
      </x:c>
      <x:c r="C82" s="62">
        <x:f t="array" ref="C82:C82">INDEX($B$4:$M$33,MATCH($A82,$U$4:$U$33,0),COLUMN(B$1))</x:f>
        <x:v>0</x:v>
      </x:c>
      <x:c r="D82" s="62">
        <x:f t="array" ref="D82:D82">INDEX($B$4:$M$33,MATCH($A82,$U$4:$U$33,0),COLUMN(C$1))</x:f>
        <x:v>0</x:v>
      </x:c>
      <x:c r="E82" s="62">
        <x:f t="array" ref="E82:E82">INDEX($B$4:$M$33,MATCH($A82,$U$4:$U$33,0),COLUMN(D$1))</x:f>
        <x:v>0</x:v>
      </x:c>
      <x:c r="F82" s="44">
        <x:f t="shared" si="23"/>
        <x:v>0</x:v>
      </x:c>
      <x:c r="G82" s="45">
        <x:f t="shared" si="24"/>
        <x:v>0</x:v>
      </x:c>
      <x:c r="H82" s="34" t="str">
        <x:f t="array" ref="H82:H82">IF(B82="","",IFERROR(INDEX('회원명단 및 기준에버'!D:G,MATCH(B82,'회원명단 및 기준에버'!$C:$C,0),CHOOSE(INT((MONTH($L$2)-1)/3)+1,1,2,3,4)),""))</x:f>
        <x:v/>
      </x:c>
      <x:c r="I82" s="38">
        <x:f t="shared" si="18"/>
        <x:v>0</x:v>
      </x:c>
      <x:c r="J82" s="38">
        <x:f t="shared" si="19"/>
        <x:v>0</x:v>
      </x:c>
      <x:c r="K82" s="38">
        <x:f t="shared" si="20"/>
        <x:v>0</x:v>
      </x:c>
      <x:c r="L82" s="63">
        <x:f t="shared" si="21"/>
        <x:v>0</x:v>
      </x:c>
      <x:c r="M82" s="39">
        <x:f t="shared" si="22"/>
        <x:v>0</x:v>
      </x:c>
    </x:row>
    <x:row r="83" spans="1:13" ht="24.949999999999999" customHeight="1">
      <x:c r="A83" s="12">
        <x:v>16</x:v>
      </x:c>
      <x:c r="B83" s="13">
        <x:f t="array" ref="B83:B83">INDEX($B$4:$M$33,MATCH($A83,$U$4:$U$33,0),COLUMN(A$1))</x:f>
        <x:v>0</x:v>
      </x:c>
      <x:c r="C83" s="62">
        <x:f t="array" ref="C83:C83">INDEX($B$4:$M$33,MATCH($A83,$U$4:$U$33,0),COLUMN(B$1))</x:f>
        <x:v>0</x:v>
      </x:c>
      <x:c r="D83" s="62">
        <x:f t="array" ref="D83:D83">INDEX($B$4:$M$33,MATCH($A83,$U$4:$U$33,0),COLUMN(C$1))</x:f>
        <x:v>0</x:v>
      </x:c>
      <x:c r="E83" s="62">
        <x:f t="array" ref="E83:E83">INDEX($B$4:$M$33,MATCH($A83,$U$4:$U$33,0),COLUMN(D$1))</x:f>
        <x:v>0</x:v>
      </x:c>
      <x:c r="F83" s="44">
        <x:f t="shared" si="23"/>
        <x:v>0</x:v>
      </x:c>
      <x:c r="G83" s="45">
        <x:f t="shared" si="24"/>
        <x:v>0</x:v>
      </x:c>
      <x:c r="H83" s="34" t="str">
        <x:f t="array" ref="H83:H83">IF(B83="","",IFERROR(INDEX('회원명단 및 기준에버'!D:G,MATCH(B83,'회원명단 및 기준에버'!$C:$C,0),CHOOSE(INT((MONTH($L$2)-1)/3)+1,1,2,3,4)),""))</x:f>
        <x:v/>
      </x:c>
      <x:c r="I83" s="38">
        <x:f t="shared" si="18"/>
        <x:v>0</x:v>
      </x:c>
      <x:c r="J83" s="38">
        <x:f t="shared" si="19"/>
        <x:v>0</x:v>
      </x:c>
      <x:c r="K83" s="38">
        <x:f t="shared" si="20"/>
        <x:v>0</x:v>
      </x:c>
      <x:c r="L83" s="63">
        <x:f t="shared" si="21"/>
        <x:v>0</x:v>
      </x:c>
      <x:c r="M83" s="39">
        <x:f t="shared" si="22"/>
        <x:v>0</x:v>
      </x:c>
    </x:row>
    <x:row r="84" spans="1:13" ht="24.949999999999999" customHeight="1">
      <x:c r="A84" s="12">
        <x:v>17</x:v>
      </x:c>
      <x:c r="B84" s="13">
        <x:f t="array" ref="B84:B84">INDEX($B$4:$M$33,MATCH($A84,$U$4:$U$33,0),COLUMN(A$1))</x:f>
        <x:v>0</x:v>
      </x:c>
      <x:c r="C84" s="62">
        <x:f t="array" ref="C84:C84">INDEX($B$4:$M$33,MATCH($A84,$U$4:$U$33,0),COLUMN(B$1))</x:f>
        <x:v>0</x:v>
      </x:c>
      <x:c r="D84" s="62">
        <x:f t="array" ref="D84:D84">INDEX($B$4:$M$33,MATCH($A84,$U$4:$U$33,0),COLUMN(C$1))</x:f>
        <x:v>0</x:v>
      </x:c>
      <x:c r="E84" s="62">
        <x:f t="array" ref="E84:E84">INDEX($B$4:$M$33,MATCH($A84,$U$4:$U$33,0),COLUMN(D$1))</x:f>
        <x:v>0</x:v>
      </x:c>
      <x:c r="F84" s="44">
        <x:f t="shared" si="23"/>
        <x:v>0</x:v>
      </x:c>
      <x:c r="G84" s="45">
        <x:f t="shared" si="24"/>
        <x:v>0</x:v>
      </x:c>
      <x:c r="H84" s="34" t="str">
        <x:f t="array" ref="H84:H84">IF(B84="","",IFERROR(INDEX('회원명단 및 기준에버'!D:G,MATCH(B84,'회원명단 및 기준에버'!$C:$C,0),CHOOSE(INT((MONTH($L$2)-1)/3)+1,1,2,3,4)),""))</x:f>
        <x:v/>
      </x:c>
      <x:c r="I84" s="38">
        <x:f t="shared" si="18"/>
        <x:v>0</x:v>
      </x:c>
      <x:c r="J84" s="38">
        <x:f t="shared" si="19"/>
        <x:v>0</x:v>
      </x:c>
      <x:c r="K84" s="38">
        <x:f t="shared" si="20"/>
        <x:v>0</x:v>
      </x:c>
      <x:c r="L84" s="63">
        <x:f t="shared" si="21"/>
        <x:v>0</x:v>
      </x:c>
      <x:c r="M84" s="39">
        <x:f t="shared" si="22"/>
        <x:v>0</x:v>
      </x:c>
    </x:row>
    <x:row r="85" spans="1:13" ht="24.949999999999999" customHeight="1">
      <x:c r="A85" s="12">
        <x:v>18</x:v>
      </x:c>
      <x:c r="B85" s="13">
        <x:f t="array" ref="B85:B85">INDEX($B$4:$M$33,MATCH($A85,$U$4:$U$33,0),COLUMN(A$1))</x:f>
        <x:v>0</x:v>
      </x:c>
      <x:c r="C85" s="62">
        <x:f t="array" ref="C85:C85">INDEX($B$4:$M$33,MATCH($A85,$U$4:$U$33,0),COLUMN(B$1))</x:f>
        <x:v>0</x:v>
      </x:c>
      <x:c r="D85" s="62">
        <x:f t="array" ref="D85:D85">INDEX($B$4:$M$33,MATCH($A85,$U$4:$U$33,0),COLUMN(C$1))</x:f>
        <x:v>0</x:v>
      </x:c>
      <x:c r="E85" s="62">
        <x:f t="array" ref="E85:E85">INDEX($B$4:$M$33,MATCH($A85,$U$4:$U$33,0),COLUMN(D$1))</x:f>
        <x:v>0</x:v>
      </x:c>
      <x:c r="F85" s="44">
        <x:f t="shared" si="23"/>
        <x:v>0</x:v>
      </x:c>
      <x:c r="G85" s="45">
        <x:f t="shared" si="24"/>
        <x:v>0</x:v>
      </x:c>
      <x:c r="H85" s="34" t="str">
        <x:f t="array" ref="H85:H85">IF(B85="","",IFERROR(INDEX('회원명단 및 기준에버'!D:G,MATCH(B85,'회원명단 및 기준에버'!$C:$C,0),CHOOSE(INT((MONTH($L$2)-1)/3)+1,1,2,3,4)),""))</x:f>
        <x:v/>
      </x:c>
      <x:c r="I85" s="38">
        <x:f t="shared" si="18"/>
        <x:v>0</x:v>
      </x:c>
      <x:c r="J85" s="38">
        <x:f t="shared" si="19"/>
        <x:v>0</x:v>
      </x:c>
      <x:c r="K85" s="38">
        <x:f t="shared" si="20"/>
        <x:v>0</x:v>
      </x:c>
      <x:c r="L85" s="63">
        <x:f t="shared" si="21"/>
        <x:v>0</x:v>
      </x:c>
      <x:c r="M85" s="39">
        <x:f t="shared" si="22"/>
        <x:v>0</x:v>
      </x:c>
    </x:row>
    <x:row r="86" spans="1:13" ht="24.949999999999999" customHeight="1">
      <x:c r="A86" s="12">
        <x:v>19</x:v>
      </x:c>
      <x:c r="B86" s="13">
        <x:f t="array" ref="B86:B86">INDEX($B$4:$M$33,MATCH($A86,$U$4:$U$33,0),COLUMN(A$1))</x:f>
        <x:v>0</x:v>
      </x:c>
      <x:c r="C86" s="62">
        <x:f t="array" ref="C86:C86">INDEX($B$4:$M$33,MATCH($A86,$U$4:$U$33,0),COLUMN(B$1))</x:f>
        <x:v>0</x:v>
      </x:c>
      <x:c r="D86" s="62">
        <x:f t="array" ref="D86:D86">INDEX($B$4:$M$33,MATCH($A86,$U$4:$U$33,0),COLUMN(C$1))</x:f>
        <x:v>0</x:v>
      </x:c>
      <x:c r="E86" s="62">
        <x:f t="array" ref="E86:E86">INDEX($B$4:$M$33,MATCH($A86,$U$4:$U$33,0),COLUMN(D$1))</x:f>
        <x:v>0</x:v>
      </x:c>
      <x:c r="F86" s="44">
        <x:f t="shared" si="23"/>
        <x:v>0</x:v>
      </x:c>
      <x:c r="G86" s="45">
        <x:f t="shared" si="24"/>
        <x:v>0</x:v>
      </x:c>
      <x:c r="H86" s="34" t="str">
        <x:f t="array" ref="H86:H86">IF(B86="","",IFERROR(INDEX('회원명단 및 기준에버'!D:G,MATCH(B86,'회원명단 및 기준에버'!$C:$C,0),CHOOSE(INT((MONTH($L$2)-1)/3)+1,1,2,3,4)),""))</x:f>
        <x:v/>
      </x:c>
      <x:c r="I86" s="38">
        <x:f t="shared" si="18"/>
        <x:v>0</x:v>
      </x:c>
      <x:c r="J86" s="38">
        <x:f t="shared" si="19"/>
        <x:v>0</x:v>
      </x:c>
      <x:c r="K86" s="38">
        <x:f t="shared" si="20"/>
        <x:v>0</x:v>
      </x:c>
      <x:c r="L86" s="63">
        <x:f t="shared" si="21"/>
        <x:v>0</x:v>
      </x:c>
      <x:c r="M86" s="39">
        <x:f t="shared" si="22"/>
        <x:v>0</x:v>
      </x:c>
    </x:row>
    <x:row r="87" spans="1:13" ht="24.949999999999999" customHeight="1">
      <x:c r="A87" s="12">
        <x:v>20</x:v>
      </x:c>
      <x:c r="B87" s="13">
        <x:f t="array" ref="B87:B87">INDEX($B$4:$M$33,MATCH($A87,$U$4:$U$33,0),COLUMN(A$1))</x:f>
        <x:v>0</x:v>
      </x:c>
      <x:c r="C87" s="62">
        <x:f t="array" ref="C87:C87">INDEX($B$4:$M$33,MATCH($A87,$U$4:$U$33,0),COLUMN(B$1))</x:f>
        <x:v>0</x:v>
      </x:c>
      <x:c r="D87" s="62">
        <x:f t="array" ref="D87:D87">INDEX($B$4:$M$33,MATCH($A87,$U$4:$U$33,0),COLUMN(C$1))</x:f>
        <x:v>0</x:v>
      </x:c>
      <x:c r="E87" s="62">
        <x:f t="array" ref="E87:E87">INDEX($B$4:$M$33,MATCH($A87,$U$4:$U$33,0),COLUMN(D$1))</x:f>
        <x:v>0</x:v>
      </x:c>
      <x:c r="F87" s="44">
        <x:f t="shared" si="23"/>
        <x:v>0</x:v>
      </x:c>
      <x:c r="G87" s="45">
        <x:f t="shared" si="24"/>
        <x:v>0</x:v>
      </x:c>
      <x:c r="H87" s="34" t="str">
        <x:f t="array" ref="H87:H87">IF(B87="","",IFERROR(INDEX('회원명단 및 기준에버'!D:G,MATCH(B87,'회원명단 및 기준에버'!$C:$C,0),CHOOSE(INT((MONTH($L$2)-1)/3)+1,1,2,3,4)),""))</x:f>
        <x:v/>
      </x:c>
      <x:c r="I87" s="38">
        <x:f t="shared" si="18"/>
        <x:v>0</x:v>
      </x:c>
      <x:c r="J87" s="38">
        <x:f t="shared" si="19"/>
        <x:v>0</x:v>
      </x:c>
      <x:c r="K87" s="38">
        <x:f t="shared" si="20"/>
        <x:v>0</x:v>
      </x:c>
      <x:c r="L87" s="63">
        <x:f t="shared" si="21"/>
        <x:v>0</x:v>
      </x:c>
      <x:c r="M87" s="39">
        <x:f t="shared" si="22"/>
        <x:v>0</x:v>
      </x:c>
    </x:row>
    <x:row r="88" spans="1:13" ht="24.949999999999999" customHeight="1">
      <x:c r="A88" s="12">
        <x:v>21</x:v>
      </x:c>
      <x:c r="B88" s="13">
        <x:f t="array" ref="B88:B88">INDEX($B$4:$M$33,MATCH($A88,$U$4:$U$33,0),COLUMN(A$1))</x:f>
        <x:v>0</x:v>
      </x:c>
      <x:c r="C88" s="62">
        <x:f t="array" ref="C88:C88">INDEX($B$4:$M$33,MATCH($A88,$U$4:$U$33,0),COLUMN(B$1))</x:f>
        <x:v>0</x:v>
      </x:c>
      <x:c r="D88" s="62">
        <x:f t="array" ref="D88:D88">INDEX($B$4:$M$33,MATCH($A88,$U$4:$U$33,0),COLUMN(C$1))</x:f>
        <x:v>0</x:v>
      </x:c>
      <x:c r="E88" s="62">
        <x:f t="array" ref="E88:E88">INDEX($B$4:$M$33,MATCH($A88,$U$4:$U$33,0),COLUMN(D$1))</x:f>
        <x:v>0</x:v>
      </x:c>
      <x:c r="F88" s="44">
        <x:f t="shared" si="23"/>
        <x:v>0</x:v>
      </x:c>
      <x:c r="G88" s="45">
        <x:f t="shared" si="24"/>
        <x:v>0</x:v>
      </x:c>
      <x:c r="H88" s="34" t="str">
        <x:f t="array" ref="H88:H88">IF(B88="","",IFERROR(INDEX('회원명단 및 기준에버'!D:G,MATCH(B88,'회원명단 및 기준에버'!$C:$C,0),CHOOSE(INT((MONTH($L$2)-1)/3)+1,1,2,3,4)),""))</x:f>
        <x:v/>
      </x:c>
      <x:c r="I88" s="38">
        <x:f t="shared" si="18"/>
        <x:v>0</x:v>
      </x:c>
      <x:c r="J88" s="38">
        <x:f t="shared" si="19"/>
        <x:v>0</x:v>
      </x:c>
      <x:c r="K88" s="38">
        <x:f t="shared" si="20"/>
        <x:v>0</x:v>
      </x:c>
      <x:c r="L88" s="63">
        <x:f t="shared" si="21"/>
        <x:v>0</x:v>
      </x:c>
      <x:c r="M88" s="39">
        <x:f t="shared" si="22"/>
        <x:v>0</x:v>
      </x:c>
    </x:row>
    <x:row r="89" spans="1:13" ht="24.949999999999999" customHeight="1">
      <x:c r="A89" s="12">
        <x:v>22</x:v>
      </x:c>
      <x:c r="B89" s="13">
        <x:f t="array" ref="B89:B89">INDEX($B$4:$M$33,MATCH($A89,$U$4:$U$33,0),COLUMN(A$1))</x:f>
        <x:v>0</x:v>
      </x:c>
      <x:c r="C89" s="62">
        <x:f t="array" ref="C89:C89">INDEX($B$4:$M$33,MATCH($A89,$U$4:$U$33,0),COLUMN(B$1))</x:f>
        <x:v>0</x:v>
      </x:c>
      <x:c r="D89" s="62">
        <x:f t="array" ref="D89:D89">INDEX($B$4:$M$33,MATCH($A89,$U$4:$U$33,0),COLUMN(C$1))</x:f>
        <x:v>0</x:v>
      </x:c>
      <x:c r="E89" s="62">
        <x:f t="array" ref="E89:E89">INDEX($B$4:$M$33,MATCH($A89,$U$4:$U$33,0),COLUMN(D$1))</x:f>
        <x:v>0</x:v>
      </x:c>
      <x:c r="F89" s="44">
        <x:f t="shared" si="23"/>
        <x:v>0</x:v>
      </x:c>
      <x:c r="G89" s="45">
        <x:f t="shared" si="24"/>
        <x:v>0</x:v>
      </x:c>
      <x:c r="H89" s="34" t="str">
        <x:f t="array" ref="H89:H89">IF(B89="","",IFERROR(INDEX('회원명단 및 기준에버'!D:G,MATCH(B89,'회원명단 및 기준에버'!$C:$C,0),CHOOSE(INT((MONTH($L$2)-1)/3)+1,1,2,3,4)),""))</x:f>
        <x:v/>
      </x:c>
      <x:c r="I89" s="38">
        <x:f t="shared" si="18"/>
        <x:v>0</x:v>
      </x:c>
      <x:c r="J89" s="38">
        <x:f t="shared" si="19"/>
        <x:v>0</x:v>
      </x:c>
      <x:c r="K89" s="38">
        <x:f t="shared" si="20"/>
        <x:v>0</x:v>
      </x:c>
      <x:c r="L89" s="63">
        <x:f t="shared" si="21"/>
        <x:v>0</x:v>
      </x:c>
      <x:c r="M89" s="39">
        <x:f t="shared" si="22"/>
        <x:v>0</x:v>
      </x:c>
    </x:row>
    <x:row r="90" spans="1:13" ht="24.949999999999999" customHeight="1">
      <x:c r="A90" s="12">
        <x:v>23</x:v>
      </x:c>
      <x:c r="B90" s="13">
        <x:f t="array" ref="B90:B90">INDEX($B$4:$M$33,MATCH($A90,$U$4:$U$33,0),COLUMN(A$1))</x:f>
        <x:v>0</x:v>
      </x:c>
      <x:c r="C90" s="62">
        <x:f t="array" ref="C90:C90">INDEX($B$4:$M$33,MATCH($A90,$U$4:$U$33,0),COLUMN(B$1))</x:f>
        <x:v>0</x:v>
      </x:c>
      <x:c r="D90" s="62">
        <x:f t="array" ref="D90:D90">INDEX($B$4:$M$33,MATCH($A90,$U$4:$U$33,0),COLUMN(C$1))</x:f>
        <x:v>0</x:v>
      </x:c>
      <x:c r="E90" s="62">
        <x:f t="array" ref="E90:E90">INDEX($B$4:$M$33,MATCH($A90,$U$4:$U$33,0),COLUMN(D$1))</x:f>
        <x:v>0</x:v>
      </x:c>
      <x:c r="F90" s="44">
        <x:f t="shared" si="23"/>
        <x:v>0</x:v>
      </x:c>
      <x:c r="G90" s="45">
        <x:f t="shared" si="24"/>
        <x:v>0</x:v>
      </x:c>
      <x:c r="H90" s="34" t="str">
        <x:f t="array" ref="H90:H90">IF(B90="","",IFERROR(INDEX('회원명단 및 기준에버'!D:G,MATCH(B90,'회원명단 및 기준에버'!$C:$C,0),CHOOSE(INT((MONTH($L$2)-1)/3)+1,1,2,3,4)),""))</x:f>
        <x:v/>
      </x:c>
      <x:c r="I90" s="38">
        <x:f t="shared" si="18"/>
        <x:v>0</x:v>
      </x:c>
      <x:c r="J90" s="38">
        <x:f t="shared" si="19"/>
        <x:v>0</x:v>
      </x:c>
      <x:c r="K90" s="38">
        <x:f t="shared" si="20"/>
        <x:v>0</x:v>
      </x:c>
      <x:c r="L90" s="63">
        <x:f t="shared" si="21"/>
        <x:v>0</x:v>
      </x:c>
      <x:c r="M90" s="39">
        <x:f t="shared" si="22"/>
        <x:v>0</x:v>
      </x:c>
    </x:row>
    <x:row r="91" spans="1:13" ht="24.949999999999999" customHeight="1">
      <x:c r="A91" s="12">
        <x:v>24</x:v>
      </x:c>
      <x:c r="B91" s="13">
        <x:f t="array" ref="B91:B91">INDEX($B$4:$M$33,MATCH($A91,$U$4:$U$33,0),COLUMN(A$1))</x:f>
        <x:v>0</x:v>
      </x:c>
      <x:c r="C91" s="62">
        <x:f t="array" ref="C91:C91">INDEX($B$4:$M$33,MATCH($A91,$U$4:$U$33,0),COLUMN(B$1))</x:f>
        <x:v>0</x:v>
      </x:c>
      <x:c r="D91" s="62">
        <x:f t="array" ref="D91:D91">INDEX($B$4:$M$33,MATCH($A91,$U$4:$U$33,0),COLUMN(C$1))</x:f>
        <x:v>0</x:v>
      </x:c>
      <x:c r="E91" s="62">
        <x:f t="array" ref="E91:E91">INDEX($B$4:$M$33,MATCH($A91,$U$4:$U$33,0),COLUMN(D$1))</x:f>
        <x:v>0</x:v>
      </x:c>
      <x:c r="F91" s="44">
        <x:f t="shared" si="23"/>
        <x:v>0</x:v>
      </x:c>
      <x:c r="G91" s="45">
        <x:f t="shared" si="24"/>
        <x:v>0</x:v>
      </x:c>
      <x:c r="H91" s="34" t="str">
        <x:f t="array" ref="H91:H91">IF(B91="","",IFERROR(INDEX('회원명단 및 기준에버'!D:G,MATCH(B91,'회원명단 및 기준에버'!$C:$C,0),CHOOSE(INT((MONTH($L$2)-1)/3)+1,1,2,3,4)),""))</x:f>
        <x:v/>
      </x:c>
      <x:c r="I91" s="38">
        <x:f t="shared" si="18"/>
        <x:v>0</x:v>
      </x:c>
      <x:c r="J91" s="38">
        <x:f t="shared" si="19"/>
        <x:v>0</x:v>
      </x:c>
      <x:c r="K91" s="38">
        <x:f t="shared" si="20"/>
        <x:v>0</x:v>
      </x:c>
      <x:c r="L91" s="63">
        <x:f t="shared" si="21"/>
        <x:v>0</x:v>
      </x:c>
      <x:c r="M91" s="39">
        <x:f t="shared" si="22"/>
        <x:v>0</x:v>
      </x:c>
    </x:row>
    <x:row r="92" spans="1:13" ht="24.949999999999999" customHeight="1">
      <x:c r="A92" s="12">
        <x:v>25</x:v>
      </x:c>
      <x:c r="B92" s="13">
        <x:f t="array" ref="B92:B92">INDEX($B$4:$M$33,MATCH($A92,$U$4:$U$33,0),COLUMN(A$1))</x:f>
        <x:v>0</x:v>
      </x:c>
      <x:c r="C92" s="62">
        <x:f t="array" ref="C92:C92">INDEX($B$4:$M$33,MATCH($A92,$U$4:$U$33,0),COLUMN(B$1))</x:f>
        <x:v>0</x:v>
      </x:c>
      <x:c r="D92" s="62">
        <x:f t="array" ref="D92:D92">INDEX($B$4:$M$33,MATCH($A92,$U$4:$U$33,0),COLUMN(C$1))</x:f>
        <x:v>0</x:v>
      </x:c>
      <x:c r="E92" s="62">
        <x:f t="array" ref="E92:E92">INDEX($B$4:$M$33,MATCH($A92,$U$4:$U$33,0),COLUMN(D$1))</x:f>
        <x:v>0</x:v>
      </x:c>
      <x:c r="F92" s="44">
        <x:f t="shared" si="23"/>
        <x:v>0</x:v>
      </x:c>
      <x:c r="G92" s="45">
        <x:f t="shared" si="24"/>
        <x:v>0</x:v>
      </x:c>
      <x:c r="H92" s="34" t="str">
        <x:f t="array" ref="H92:H92">IF(B92="","",IFERROR(INDEX('회원명단 및 기준에버'!D:G,MATCH(B92,'회원명단 및 기준에버'!$C:$C,0),CHOOSE(INT((MONTH($L$2)-1)/3)+1,1,2,3,4)),""))</x:f>
        <x:v/>
      </x:c>
      <x:c r="I92" s="38">
        <x:f t="shared" si="18"/>
        <x:v>0</x:v>
      </x:c>
      <x:c r="J92" s="38">
        <x:f t="shared" si="19"/>
        <x:v>0</x:v>
      </x:c>
      <x:c r="K92" s="38">
        <x:f t="shared" si="20"/>
        <x:v>0</x:v>
      </x:c>
      <x:c r="L92" s="63">
        <x:f t="shared" si="21"/>
        <x:v>0</x:v>
      </x:c>
      <x:c r="M92" s="39">
        <x:f t="shared" si="22"/>
        <x:v>0</x:v>
      </x:c>
    </x:row>
    <x:row r="93" spans="1:13" ht="24.949999999999999" customHeight="1">
      <x:c r="A93" s="12">
        <x:v>26</x:v>
      </x:c>
      <x:c r="B93" s="13">
        <x:f t="array" ref="B93:B93">INDEX($B$4:$M$33,MATCH($A93,$U$4:$U$33,0),COLUMN(A$1))</x:f>
        <x:v>0</x:v>
      </x:c>
      <x:c r="C93" s="62">
        <x:f t="array" ref="C93:C93">INDEX($B$4:$M$33,MATCH($A93,$U$4:$U$33,0),COLUMN(B$1))</x:f>
        <x:v>0</x:v>
      </x:c>
      <x:c r="D93" s="62">
        <x:f t="array" ref="D93:D93">INDEX($B$4:$M$33,MATCH($A93,$U$4:$U$33,0),COLUMN(C$1))</x:f>
        <x:v>0</x:v>
      </x:c>
      <x:c r="E93" s="62">
        <x:f t="array" ref="E93:E93">INDEX($B$4:$M$33,MATCH($A93,$U$4:$U$33,0),COLUMN(D$1))</x:f>
        <x:v>0</x:v>
      </x:c>
      <x:c r="F93" s="44">
        <x:f t="shared" si="23"/>
        <x:v>0</x:v>
      </x:c>
      <x:c r="G93" s="45">
        <x:f t="shared" si="24"/>
        <x:v>0</x:v>
      </x:c>
      <x:c r="H93" s="34" t="str">
        <x:f t="array" ref="H93:H93">IF(B93="","",IFERROR(INDEX('회원명단 및 기준에버'!D:G,MATCH(B93,'회원명단 및 기준에버'!$C:$C,0),CHOOSE(INT((MONTH($L$2)-1)/3)+1,1,2,3,4)),""))</x:f>
        <x:v/>
      </x:c>
      <x:c r="I93" s="38">
        <x:f t="shared" si="18"/>
        <x:v>0</x:v>
      </x:c>
      <x:c r="J93" s="38">
        <x:f t="shared" si="19"/>
        <x:v>0</x:v>
      </x:c>
      <x:c r="K93" s="38">
        <x:f t="shared" si="20"/>
        <x:v>0</x:v>
      </x:c>
      <x:c r="L93" s="63">
        <x:f t="shared" si="21"/>
        <x:v>0</x:v>
      </x:c>
      <x:c r="M93" s="39">
        <x:f t="shared" si="22"/>
        <x:v>0</x:v>
      </x:c>
    </x:row>
    <x:row r="94" spans="1:13" ht="24.949999999999999" customHeight="1">
      <x:c r="A94" s="12">
        <x:v>27</x:v>
      </x:c>
      <x:c r="B94" s="13">
        <x:f t="array" ref="B94:B94">INDEX($B$4:$M$33,MATCH($A94,$U$4:$U$33,0),COLUMN(A$1))</x:f>
        <x:v>0</x:v>
      </x:c>
      <x:c r="C94" s="62">
        <x:f t="array" ref="C94:C94">INDEX($B$4:$M$33,MATCH($A94,$U$4:$U$33,0),COLUMN(B$1))</x:f>
        <x:v>0</x:v>
      </x:c>
      <x:c r="D94" s="62">
        <x:f t="array" ref="D94:D94">INDEX($B$4:$M$33,MATCH($A94,$U$4:$U$33,0),COLUMN(C$1))</x:f>
        <x:v>0</x:v>
      </x:c>
      <x:c r="E94" s="62">
        <x:f t="array" ref="E94:E94">INDEX($B$4:$M$33,MATCH($A94,$U$4:$U$33,0),COLUMN(D$1))</x:f>
        <x:v>0</x:v>
      </x:c>
      <x:c r="F94" s="44">
        <x:f t="shared" si="23"/>
        <x:v>0</x:v>
      </x:c>
      <x:c r="G94" s="45">
        <x:f t="shared" si="24"/>
        <x:v>0</x:v>
      </x:c>
      <x:c r="H94" s="34" t="str">
        <x:f t="array" ref="H94:H94">IF(B94="","",IFERROR(INDEX('회원명단 및 기준에버'!D:G,MATCH(B94,'회원명단 및 기준에버'!$C:$C,0),CHOOSE(INT((MONTH($L$2)-1)/3)+1,1,2,3,4)),""))</x:f>
        <x:v/>
      </x:c>
      <x:c r="I94" s="38">
        <x:f t="shared" si="18"/>
        <x:v>0</x:v>
      </x:c>
      <x:c r="J94" s="38">
        <x:f t="shared" si="19"/>
        <x:v>0</x:v>
      </x:c>
      <x:c r="K94" s="38">
        <x:f t="shared" si="20"/>
        <x:v>0</x:v>
      </x:c>
      <x:c r="L94" s="63">
        <x:f t="shared" si="21"/>
        <x:v>0</x:v>
      </x:c>
      <x:c r="M94" s="39">
        <x:f t="shared" si="22"/>
        <x:v>0</x:v>
      </x:c>
    </x:row>
    <x:row r="95" spans="1:13" ht="24.949999999999999" customHeight="1">
      <x:c r="A95" s="12">
        <x:v>28</x:v>
      </x:c>
      <x:c r="B95" s="13">
        <x:f t="array" ref="B95:B95">INDEX($B$4:$M$33,MATCH($A95,$U$4:$U$33,0),COLUMN(A$1))</x:f>
        <x:v>0</x:v>
      </x:c>
      <x:c r="C95" s="62">
        <x:f t="array" ref="C95:C95">INDEX($B$4:$M$33,MATCH($A95,$U$4:$U$33,0),COLUMN(B$1))</x:f>
        <x:v>0</x:v>
      </x:c>
      <x:c r="D95" s="62">
        <x:f t="array" ref="D95:D95">INDEX($B$4:$M$33,MATCH($A95,$U$4:$U$33,0),COLUMN(C$1))</x:f>
        <x:v>0</x:v>
      </x:c>
      <x:c r="E95" s="62">
        <x:f t="array" ref="E95:E95">INDEX($B$4:$M$33,MATCH($A95,$U$4:$U$33,0),COLUMN(D$1))</x:f>
        <x:v>0</x:v>
      </x:c>
      <x:c r="F95" s="44">
        <x:f t="shared" si="23"/>
        <x:v>0</x:v>
      </x:c>
      <x:c r="G95" s="45">
        <x:f t="shared" si="24"/>
        <x:v>0</x:v>
      </x:c>
      <x:c r="H95" s="34" t="str">
        <x:f t="array" ref="H95:H95">IF(B95="","",IFERROR(INDEX('회원명단 및 기준에버'!D:G,MATCH(B95,'회원명단 및 기준에버'!$C:$C,0),CHOOSE(INT((MONTH($L$2)-1)/3)+1,1,2,3,4)),""))</x:f>
        <x:v/>
      </x:c>
      <x:c r="I95" s="38">
        <x:f t="shared" si="18"/>
        <x:v>0</x:v>
      </x:c>
      <x:c r="J95" s="38">
        <x:f t="shared" si="19"/>
        <x:v>0</x:v>
      </x:c>
      <x:c r="K95" s="38">
        <x:f t="shared" si="20"/>
        <x:v>0</x:v>
      </x:c>
      <x:c r="L95" s="63">
        <x:f t="shared" si="21"/>
        <x:v>0</x:v>
      </x:c>
      <x:c r="M95" s="39">
        <x:f t="shared" si="22"/>
        <x:v>0</x:v>
      </x:c>
    </x:row>
    <x:row r="96" spans="1:13" ht="24.949999999999999" customHeight="1">
      <x:c r="A96" s="12">
        <x:v>29</x:v>
      </x:c>
      <x:c r="B96" s="13">
        <x:f t="array" ref="B96:B96">INDEX($B$4:$M$33,MATCH($A96,$U$4:$U$33,0),COLUMN(A$1))</x:f>
        <x:v>0</x:v>
      </x:c>
      <x:c r="C96" s="62">
        <x:f t="array" ref="C96:C96">INDEX($B$4:$M$33,MATCH($A96,$U$4:$U$33,0),COLUMN(B$1))</x:f>
        <x:v>0</x:v>
      </x:c>
      <x:c r="D96" s="62">
        <x:f t="array" ref="D96:D96">INDEX($B$4:$M$33,MATCH($A96,$U$4:$U$33,0),COLUMN(C$1))</x:f>
        <x:v>0</x:v>
      </x:c>
      <x:c r="E96" s="62">
        <x:f t="array" ref="E96:E96">INDEX($B$4:$M$33,MATCH($A96,$U$4:$U$33,0),COLUMN(D$1))</x:f>
        <x:v>0</x:v>
      </x:c>
      <x:c r="F96" s="44">
        <x:f t="shared" si="23"/>
        <x:v>0</x:v>
      </x:c>
      <x:c r="G96" s="45">
        <x:f t="shared" si="24"/>
        <x:v>0</x:v>
      </x:c>
      <x:c r="H96" s="34" t="str">
        <x:f t="array" ref="H96:H96">IF(B96="","",IFERROR(INDEX('회원명단 및 기준에버'!D:G,MATCH(B96,'회원명단 및 기준에버'!$C:$C,0),CHOOSE(INT((MONTH($L$2)-1)/3)+1,1,2,3,4)),""))</x:f>
        <x:v/>
      </x:c>
      <x:c r="I96" s="38">
        <x:f t="shared" si="18"/>
        <x:v>0</x:v>
      </x:c>
      <x:c r="J96" s="38">
        <x:f t="shared" si="19"/>
        <x:v>0</x:v>
      </x:c>
      <x:c r="K96" s="38">
        <x:f t="shared" si="20"/>
        <x:v>0</x:v>
      </x:c>
      <x:c r="L96" s="63">
        <x:f t="shared" si="21"/>
        <x:v>0</x:v>
      </x:c>
      <x:c r="M96" s="39">
        <x:f t="shared" si="22"/>
        <x:v>0</x:v>
      </x:c>
    </x:row>
    <x:row r="97" spans="1:13" ht="24.949999999999999" customHeight="1">
      <x:c r="A97" s="12">
        <x:v>30</x:v>
      </x:c>
      <x:c r="B97" s="13">
        <x:f t="array" ref="B97:B97">INDEX($B$4:$M$33,MATCH($A97,$U$4:$U$33,0),COLUMN(A$1))</x:f>
        <x:v>0</x:v>
      </x:c>
      <x:c r="C97" s="62">
        <x:f t="array" ref="C97:C97">INDEX($B$4:$M$33,MATCH($A97,$U$4:$U$33,0),COLUMN(B$1))</x:f>
        <x:v>0</x:v>
      </x:c>
      <x:c r="D97" s="62">
        <x:f t="array" ref="D97:D97">INDEX($B$4:$M$33,MATCH($A97,$U$4:$U$33,0),COLUMN(C$1))</x:f>
        <x:v>0</x:v>
      </x:c>
      <x:c r="E97" s="62">
        <x:f t="array" ref="E97:E97">INDEX($B$4:$M$33,MATCH($A97,$U$4:$U$33,0),COLUMN(D$1))</x:f>
        <x:v>0</x:v>
      </x:c>
      <x:c r="F97" s="44">
        <x:f t="shared" si="23"/>
        <x:v>0</x:v>
      </x:c>
      <x:c r="G97" s="45">
        <x:f t="shared" si="24"/>
        <x:v>0</x:v>
      </x:c>
      <x:c r="H97" s="34" t="str">
        <x:f t="array" ref="H97:H97">IF(B97="","",IFERROR(INDEX('회원명단 및 기준에버'!D:G,MATCH(B97,'회원명단 및 기준에버'!$C:$C,0),CHOOSE(INT((MONTH($L$2)-1)/3)+1,1,2,3,4)),""))</x:f>
        <x:v/>
      </x:c>
      <x:c r="I97" s="38">
        <x:f t="shared" si="18"/>
        <x:v>0</x:v>
      </x:c>
      <x:c r="J97" s="38">
        <x:f t="shared" si="19"/>
        <x:v>0</x:v>
      </x:c>
      <x:c r="K97" s="38">
        <x:f t="shared" si="20"/>
        <x:v>0</x:v>
      </x:c>
      <x:c r="L97" s="63">
        <x:f t="shared" si="21"/>
        <x:v>0</x:v>
      </x:c>
      <x:c r="M97" s="39">
        <x:f t="shared" si="22"/>
        <x:v>0</x:v>
      </x:c>
    </x:row>
    <x:row r="98" spans="2:13" ht="24.949999999999999" customHeight="1">
      <x:c r="B98" s="168" t="s">
        <x:v>63</x:v>
      </x:c>
      <x:c r="C98" s="169"/>
      <x:c r="D98" s="169"/>
      <x:c r="E98" s="169"/>
      <x:c r="F98" s="169"/>
      <x:c r="G98" s="169"/>
      <x:c r="H98" s="169"/>
      <x:c r="I98" s="169"/>
      <x:c r="J98" s="169"/>
      <x:c r="K98" s="169"/>
      <x:c r="L98" s="169"/>
      <x:c r="M98" s="170"/>
    </x:row>
    <x:row r="99" spans="2:13" ht="24.949999999999999" customHeight="1">
      <x:c r="B99" s="171" t="s">
        <x:v>68</x:v>
      </x:c>
      <x:c r="C99" s="172"/>
      <x:c r="D99" s="172"/>
      <x:c r="E99" s="173"/>
      <x:c r="F99" s="174" t="s">
        <x:v>28</x:v>
      </x:c>
      <x:c r="G99" s="176" t="s">
        <x:v>14</x:v>
      </x:c>
      <x:c r="H99" s="177"/>
      <x:c r="I99" s="178"/>
      <x:c r="J99" s="179" t="s">
        <x:v>55</x:v>
      </x:c>
      <x:c r="K99" s="180"/>
      <x:c r="L99" s="180"/>
      <x:c r="M99" s="181"/>
    </x:row>
    <x:row r="100" spans="2:13" ht="24.949999999999999" customHeight="1">
      <x:c r="B100" s="54" t="str">
        <x:f>IF(B36="","",B36)</x:f>
        <x:v/>
      </x:c>
      <x:c r="C100" s="24" t="str">
        <x:f>IF(C36="","",C36)</x:f>
        <x:v/>
      </x:c>
      <x:c r="D100" s="24" t="str">
        <x:f>IF(D36="","",D36)</x:f>
        <x:v/>
      </x:c>
      <x:c r="E100" s="25" t="str">
        <x:f>IF(E36="","",E36)</x:f>
        <x:v/>
      </x:c>
      <x:c r="F100" s="175"/>
      <x:c r="G100" s="182" t="s">
        <x:v>62</x:v>
      </x:c>
      <x:c r="H100" s="183"/>
      <x:c r="I100" s="184"/>
      <x:c r="J100" s="26" t="str">
        <x:f>IF(J36="","",J36)</x:f>
        <x:v/>
      </x:c>
      <x:c r="K100" s="27" t="str">
        <x:f>IF(K36="","",K36)</x:f>
        <x:v/>
      </x:c>
      <x:c r="L100" s="27" t="str">
        <x:f>IF(L36="","",L36)</x:f>
        <x:v/>
      </x:c>
      <x:c r="M100" s="28" t="str">
        <x:f>IF(M36="","",M36)</x:f>
        <x:v/>
      </x:c>
    </x:row>
    <x:row r="101" spans="2:13" ht="24.949999999999999" customHeight="1">
      <x:c r="B101" s="155" t="s">
        <x:v>29</x:v>
      </x:c>
      <x:c r="C101" s="156"/>
      <x:c r="D101" s="156"/>
      <x:c r="E101" s="156"/>
      <x:c r="F101" s="156"/>
      <x:c r="G101" s="156"/>
      <x:c r="H101" s="157"/>
      <x:c r="I101" s="158" t="s">
        <x:v>66</x:v>
      </x:c>
      <x:c r="J101" s="159"/>
      <x:c r="K101" s="160" t="s">
        <x:v>67</x:v>
      </x:c>
      <x:c r="L101" s="161"/>
      <x:c r="M101" s="162"/>
    </x:row>
    <x:row r="102" spans="2:13" ht="24.949999999999999" customHeight="1">
      <x:c r="B102" s="21" t="str">
        <x:f t="shared" ref="B102:G104" si="25">IF(B38="","",B38)</x:f>
        <x:v/>
      </x:c>
      <x:c r="C102" s="64" t="str">
        <x:f t="shared" si="25"/>
        <x:v/>
      </x:c>
      <x:c r="D102" s="32" t="str">
        <x:f t="shared" si="25"/>
        <x:v/>
      </x:c>
      <x:c r="E102" s="67" t="str">
        <x:f t="shared" si="25"/>
        <x:v/>
      </x:c>
      <x:c r="F102" s="30" t="str">
        <x:f t="shared" si="25"/>
        <x:v/>
      </x:c>
      <x:c r="G102" s="70" t="str">
        <x:f t="shared" si="25"/>
        <x:v/>
      </x:c>
      <x:c r="H102" s="157"/>
      <x:c r="I102" s="23" t="str">
        <x:f>IF(I38="","",I38)</x:f>
        <x:v/>
      </x:c>
      <x:c r="J102" s="50" t="str">
        <x:f>IF(J38="","",J38)</x:f>
        <x:v/>
      </x:c>
      <x:c r="K102" s="57" t="str">
        <x:f>IF(K38="","",K38)</x:f>
        <x:v/>
      </x:c>
      <x:c r="L102" s="58" t="str">
        <x:f t="shared" ref="L102:M102" si="26">IF(L38="","",L38)</x:f>
        <x:v/>
      </x:c>
      <x:c r="M102" s="59" t="str">
        <x:f t="shared" si="26"/>
        <x:v/>
      </x:c>
    </x:row>
    <x:row r="103" spans="2:13" ht="24.949999999999999" customHeight="1">
      <x:c r="B103" s="46" t="str">
        <x:f t="shared" si="25"/>
        <x:v/>
      </x:c>
      <x:c r="C103" s="65" t="str">
        <x:f t="shared" si="25"/>
        <x:v/>
      </x:c>
      <x:c r="D103" s="47" t="str">
        <x:f t="shared" si="25"/>
        <x:v/>
      </x:c>
      <x:c r="E103" s="68" t="str">
        <x:f t="shared" si="25"/>
        <x:v/>
      </x:c>
      <x:c r="F103" s="48" t="str">
        <x:f t="shared" si="25"/>
        <x:v/>
      </x:c>
      <x:c r="G103" s="71" t="str">
        <x:f t="shared" si="25"/>
        <x:v/>
      </x:c>
      <x:c r="H103" s="157"/>
      <x:c r="I103" s="49" t="str">
        <x:f>IF(I39="","",I39)</x:f>
        <x:v/>
      </x:c>
      <x:c r="J103" s="51" t="str">
        <x:f>IF(J39="","",J39)</x:f>
        <x:v/>
      </x:c>
      <x:c r="K103" s="57" t="str">
        <x:f t="shared" ref="K103:M104" si="27">IF(K39="","",K39)</x:f>
        <x:v/>
      </x:c>
      <x:c r="L103" s="58" t="str">
        <x:f t="shared" si="27"/>
        <x:v/>
      </x:c>
      <x:c r="M103" s="59" t="str">
        <x:f t="shared" si="27"/>
        <x:v/>
      </x:c>
    </x:row>
    <x:row r="104" spans="2:13" ht="24.949999999999999" customHeight="1">
      <x:c r="B104" s="29" t="str">
        <x:f t="shared" si="25"/>
        <x:v/>
      </x:c>
      <x:c r="C104" s="66" t="str">
        <x:f t="shared" si="25"/>
        <x:v/>
      </x:c>
      <x:c r="D104" s="33" t="str">
        <x:f t="shared" si="25"/>
        <x:v/>
      </x:c>
      <x:c r="E104" s="69" t="str">
        <x:f t="shared" si="25"/>
        <x:v/>
      </x:c>
      <x:c r="F104" s="31" t="str">
        <x:f t="shared" si="25"/>
        <x:v/>
      </x:c>
      <x:c r="G104" s="72" t="str">
        <x:f t="shared" si="25"/>
        <x:v/>
      </x:c>
      <x:c r="H104" s="157"/>
      <x:c r="I104" s="24" t="str">
        <x:f>IF(I40="","",I40)</x:f>
        <x:v/>
      </x:c>
      <x:c r="J104" s="52" t="str">
        <x:f>IF(J40="","",J40)</x:f>
        <x:v/>
      </x:c>
      <x:c r="K104" s="60" t="str">
        <x:f t="shared" si="27"/>
        <x:v/>
      </x:c>
      <x:c r="L104" s="53" t="str">
        <x:f t="shared" si="27"/>
        <x:v/>
      </x:c>
      <x:c r="M104" s="61" t="str">
        <x:f t="shared" si="27"/>
        <x:v/>
      </x:c>
    </x:row>
    <x:row r="105" spans="2:13" ht="24.949999999999999" customHeight="1">
      <x:c r="B105" s="163" t="s">
        <x:v>51</x:v>
      </x:c>
      <x:c r="C105" s="164"/>
      <x:c r="D105" s="164"/>
      <x:c r="E105" s="164"/>
      <x:c r="F105" s="164"/>
      <x:c r="G105" s="164"/>
      <x:c r="H105" s="164"/>
      <x:c r="I105" s="164"/>
      <x:c r="J105" s="164"/>
      <x:c r="K105" s="164"/>
      <x:c r="L105" s="164"/>
      <x:c r="M105" s="165"/>
    </x:row>
    <x:row r="106" spans="2:13" ht="24.949999999999999" customHeight="1">
      <x:c r="B106" s="20">
        <x:f t="shared" ref="B106:F110" si="28">IF(B42="","",B42)</x:f>
        <x:v>0</x:v>
      </x:c>
      <x:c r="C106" s="95">
        <x:f t="shared" si="28"/>
        <x:v>0</x:v>
      </x:c>
      <x:c r="D106" s="95">
        <x:f t="shared" si="28"/>
        <x:v>0</x:v>
      </x:c>
      <x:c r="E106" s="95">
        <x:f t="shared" si="28"/>
        <x:v>0</x:v>
      </x:c>
      <x:c r="F106" s="141">
        <x:f t="shared" si="28"/>
        <x:v>0</x:v>
      </x:c>
      <x:c r="G106" s="144"/>
      <x:c r="H106" s="94">
        <x:f t="shared" ref="H106:L110" si="29">IF(H42="","",H42)</x:f>
        <x:v>0</x:v>
      </x:c>
      <x:c r="I106" s="95">
        <x:f t="shared" si="29"/>
        <x:v>0</x:v>
      </x:c>
      <x:c r="J106" s="95">
        <x:f t="shared" si="29"/>
        <x:v>0</x:v>
      </x:c>
      <x:c r="K106" s="95">
        <x:f t="shared" si="29"/>
        <x:v>0</x:v>
      </x:c>
      <x:c r="L106" s="149">
        <x:f t="shared" si="29"/>
        <x:v>0</x:v>
      </x:c>
      <x:c r="M106" s="152"/>
    </x:row>
    <x:row r="107" spans="2:13" ht="24.949999999999999" customHeight="1">
      <x:c r="B107" s="12">
        <x:f t="shared" si="28"/>
        <x:v>0</x:v>
      </x:c>
      <x:c r="C107" s="38">
        <x:f t="shared" si="28"/>
        <x:v>0</x:v>
      </x:c>
      <x:c r="D107" s="38">
        <x:f t="shared" si="28"/>
        <x:v>0</x:v>
      </x:c>
      <x:c r="E107" s="38">
        <x:f t="shared" si="28"/>
        <x:v>0</x:v>
      </x:c>
      <x:c r="F107" s="142" t="str">
        <x:f t="shared" si="28"/>
        <x:v/>
      </x:c>
      <x:c r="G107" s="145"/>
      <x:c r="H107" s="12">
        <x:f t="shared" si="29"/>
        <x:v>0</x:v>
      </x:c>
      <x:c r="I107" s="38">
        <x:f t="shared" si="29"/>
        <x:v>0</x:v>
      </x:c>
      <x:c r="J107" s="38">
        <x:f t="shared" si="29"/>
        <x:v>0</x:v>
      </x:c>
      <x:c r="K107" s="38">
        <x:f t="shared" si="29"/>
        <x:v>0</x:v>
      </x:c>
      <x:c r="L107" s="150" t="str">
        <x:f t="shared" si="29"/>
        <x:v/>
      </x:c>
      <x:c r="M107" s="153"/>
    </x:row>
    <x:row r="108" spans="2:13" ht="24.949999999999999" customHeight="1">
      <x:c r="B108" s="12">
        <x:f t="shared" si="28"/>
        <x:v>0</x:v>
      </x:c>
      <x:c r="C108" s="38">
        <x:f t="shared" si="28"/>
        <x:v>0</x:v>
      </x:c>
      <x:c r="D108" s="38">
        <x:f t="shared" si="28"/>
        <x:v>0</x:v>
      </x:c>
      <x:c r="E108" s="38">
        <x:f t="shared" si="28"/>
        <x:v>0</x:v>
      </x:c>
      <x:c r="F108" s="142" t="str">
        <x:f t="shared" si="28"/>
        <x:v/>
      </x:c>
      <x:c r="G108" s="145"/>
      <x:c r="H108" s="12">
        <x:f t="shared" si="29"/>
        <x:v>0</x:v>
      </x:c>
      <x:c r="I108" s="38">
        <x:f t="shared" si="29"/>
        <x:v>0</x:v>
      </x:c>
      <x:c r="J108" s="38">
        <x:f t="shared" si="29"/>
        <x:v>0</x:v>
      </x:c>
      <x:c r="K108" s="38">
        <x:f t="shared" si="29"/>
        <x:v>0</x:v>
      </x:c>
      <x:c r="L108" s="150" t="str">
        <x:f t="shared" si="29"/>
        <x:v/>
      </x:c>
      <x:c r="M108" s="153"/>
    </x:row>
    <x:row r="109" spans="2:13" ht="24.949999999999999" customHeight="1">
      <x:c r="B109" s="12">
        <x:f t="shared" si="28"/>
        <x:v>0</x:v>
      </x:c>
      <x:c r="C109" s="38">
        <x:f t="shared" si="28"/>
        <x:v>0</x:v>
      </x:c>
      <x:c r="D109" s="38">
        <x:f t="shared" si="28"/>
        <x:v>0</x:v>
      </x:c>
      <x:c r="E109" s="38">
        <x:f t="shared" si="28"/>
        <x:v>0</x:v>
      </x:c>
      <x:c r="F109" s="142" t="str">
        <x:f t="shared" si="28"/>
        <x:v/>
      </x:c>
      <x:c r="G109" s="145"/>
      <x:c r="H109" s="12">
        <x:f t="shared" si="29"/>
        <x:v>0</x:v>
      </x:c>
      <x:c r="I109" s="38">
        <x:f t="shared" si="29"/>
        <x:v>0</x:v>
      </x:c>
      <x:c r="J109" s="38">
        <x:f t="shared" si="29"/>
        <x:v>0</x:v>
      </x:c>
      <x:c r="K109" s="38">
        <x:f t="shared" si="29"/>
        <x:v>0</x:v>
      </x:c>
      <x:c r="L109" s="150" t="str">
        <x:f t="shared" si="29"/>
        <x:v/>
      </x:c>
      <x:c r="M109" s="153"/>
    </x:row>
    <x:row r="110" spans="2:13" ht="24.949999999999999" customHeight="1">
      <x:c r="B110" s="12">
        <x:f t="shared" si="28"/>
        <x:v>0</x:v>
      </x:c>
      <x:c r="C110" s="38">
        <x:f t="shared" si="28"/>
        <x:v>0</x:v>
      </x:c>
      <x:c r="D110" s="38">
        <x:f t="shared" si="28"/>
        <x:v>0</x:v>
      </x:c>
      <x:c r="E110" s="38">
        <x:f t="shared" si="28"/>
        <x:v>0</x:v>
      </x:c>
      <x:c r="F110" s="142" t="str">
        <x:f t="shared" si="28"/>
        <x:v/>
      </x:c>
      <x:c r="G110" s="145"/>
      <x:c r="H110" s="12">
        <x:f t="shared" si="29"/>
        <x:v>0</x:v>
      </x:c>
      <x:c r="I110" s="38">
        <x:f t="shared" si="29"/>
        <x:v>0</x:v>
      </x:c>
      <x:c r="J110" s="38">
        <x:f t="shared" si="29"/>
        <x:v>0</x:v>
      </x:c>
      <x:c r="K110" s="38">
        <x:f t="shared" si="29"/>
        <x:v>0</x:v>
      </x:c>
      <x:c r="L110" s="150" t="str">
        <x:f t="shared" si="29"/>
        <x:v/>
      </x:c>
      <x:c r="M110" s="153"/>
    </x:row>
    <x:row r="111" spans="2:13" ht="24.949999999999999" customHeight="1">
      <x:c r="B111" s="193" t="str">
        <x:f t="shared" ref="B111:F111" si="30">IF(B47="","",B47)</x:f>
        <x:v/>
      </x:c>
      <x:c r="C111" s="194">
        <x:f t="shared" si="30"/>
        <x:v>0</x:v>
      </x:c>
      <x:c r="D111" s="194">
        <x:f t="shared" si="30"/>
        <x:v>0</x:v>
      </x:c>
      <x:c r="E111" s="194">
        <x:f t="shared" si="30"/>
        <x:v>0</x:v>
      </x:c>
      <x:c r="F111" s="143" t="str">
        <x:f t="shared" si="30"/>
        <x:v/>
      </x:c>
      <x:c r="G111" s="146"/>
      <x:c r="H111" s="193" t="str">
        <x:f t="shared" ref="H111:L111" si="31">IF(H47="","",H47)</x:f>
        <x:v/>
      </x:c>
      <x:c r="I111" s="194">
        <x:f t="shared" si="31"/>
        <x:v>0</x:v>
      </x:c>
      <x:c r="J111" s="194">
        <x:f t="shared" si="31"/>
        <x:v>0</x:v>
      </x:c>
      <x:c r="K111" s="194">
        <x:f t="shared" si="31"/>
        <x:v>0</x:v>
      </x:c>
      <x:c r="L111" s="151" t="str">
        <x:f t="shared" si="31"/>
        <x:v/>
      </x:c>
      <x:c r="M111" s="154"/>
    </x:row>
    <x:row r="112" spans="2:13" ht="24.949999999999999" customHeight="1"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</x:row>
    <x:row r="113" spans="2:13" ht="24.949999999999999" customHeight="1">
      <x:c r="B113" s="20">
        <x:f t="shared" ref="B113:M117" si="32">IF(B49="","",B49)</x:f>
        <x:v>0</x:v>
      </x:c>
      <x:c r="C113" s="95">
        <x:f t="shared" si="32"/>
        <x:v>0</x:v>
      </x:c>
      <x:c r="D113" s="95">
        <x:f t="shared" si="32"/>
        <x:v>0</x:v>
      </x:c>
      <x:c r="E113" s="95">
        <x:f t="shared" si="32"/>
        <x:v>0</x:v>
      </x:c>
      <x:c r="F113" s="149">
        <x:f t="shared" si="32"/>
        <x:v>0</x:v>
      </x:c>
      <x:c r="G113" s="152" t="str">
        <x:f t="shared" si="32"/>
        <x:v/>
      </x:c>
      <x:c r="H113" s="94">
        <x:f t="shared" si="32"/>
        <x:v>0</x:v>
      </x:c>
      <x:c r="I113" s="95">
        <x:f t="shared" si="32"/>
        <x:v>0</x:v>
      </x:c>
      <x:c r="J113" s="95">
        <x:f t="shared" si="32"/>
        <x:v>0</x:v>
      </x:c>
      <x:c r="K113" s="95">
        <x:f t="shared" si="32"/>
        <x:v>0</x:v>
      </x:c>
      <x:c r="L113" s="149">
        <x:f t="shared" si="32"/>
        <x:v>0</x:v>
      </x:c>
      <x:c r="M113" s="152" t="str">
        <x:f t="shared" si="32"/>
        <x:v/>
      </x:c>
    </x:row>
    <x:row r="114" spans="2:13" ht="24.949999999999999" customHeight="1">
      <x:c r="B114" s="12">
        <x:f t="shared" si="32"/>
        <x:v>0</x:v>
      </x:c>
      <x:c r="C114" s="38">
        <x:f t="shared" si="32"/>
        <x:v>0</x:v>
      </x:c>
      <x:c r="D114" s="38">
        <x:f t="shared" si="32"/>
        <x:v>0</x:v>
      </x:c>
      <x:c r="E114" s="38">
        <x:f t="shared" si="32"/>
        <x:v>0</x:v>
      </x:c>
      <x:c r="F114" s="150" t="str">
        <x:f t="shared" si="32"/>
        <x:v/>
      </x:c>
      <x:c r="G114" s="153" t="str">
        <x:f t="shared" si="32"/>
        <x:v/>
      </x:c>
      <x:c r="H114" s="12">
        <x:f t="shared" si="32"/>
        <x:v>0</x:v>
      </x:c>
      <x:c r="I114" s="38">
        <x:f t="shared" si="32"/>
        <x:v>0</x:v>
      </x:c>
      <x:c r="J114" s="38">
        <x:f t="shared" si="32"/>
        <x:v>0</x:v>
      </x:c>
      <x:c r="K114" s="38">
        <x:f t="shared" si="32"/>
        <x:v>0</x:v>
      </x:c>
      <x:c r="L114" s="150" t="str">
        <x:f t="shared" si="32"/>
        <x:v/>
      </x:c>
      <x:c r="M114" s="153" t="str">
        <x:f t="shared" si="32"/>
        <x:v/>
      </x:c>
    </x:row>
    <x:row r="115" spans="2:13" ht="24.949999999999999" customHeight="1">
      <x:c r="B115" s="12">
        <x:f t="shared" si="32"/>
        <x:v>0</x:v>
      </x:c>
      <x:c r="C115" s="38">
        <x:f t="shared" si="32"/>
        <x:v>0</x:v>
      </x:c>
      <x:c r="D115" s="38">
        <x:f t="shared" si="32"/>
        <x:v>0</x:v>
      </x:c>
      <x:c r="E115" s="38">
        <x:f t="shared" si="32"/>
        <x:v>0</x:v>
      </x:c>
      <x:c r="F115" s="150" t="str">
        <x:f t="shared" si="32"/>
        <x:v/>
      </x:c>
      <x:c r="G115" s="153" t="str">
        <x:f t="shared" si="32"/>
        <x:v/>
      </x:c>
      <x:c r="H115" s="12">
        <x:f t="shared" si="32"/>
        <x:v>0</x:v>
      </x:c>
      <x:c r="I115" s="38">
        <x:f t="shared" si="32"/>
        <x:v>0</x:v>
      </x:c>
      <x:c r="J115" s="38">
        <x:f t="shared" si="32"/>
        <x:v>0</x:v>
      </x:c>
      <x:c r="K115" s="38">
        <x:f t="shared" si="32"/>
        <x:v>0</x:v>
      </x:c>
      <x:c r="L115" s="150" t="str">
        <x:f t="shared" si="32"/>
        <x:v/>
      </x:c>
      <x:c r="M115" s="153" t="str">
        <x:f t="shared" si="32"/>
        <x:v/>
      </x:c>
    </x:row>
    <x:row r="116" spans="2:13" ht="24.949999999999999" customHeight="1">
      <x:c r="B116" s="12">
        <x:f t="shared" si="32"/>
        <x:v>0</x:v>
      </x:c>
      <x:c r="C116" s="38">
        <x:f t="shared" si="32"/>
        <x:v>0</x:v>
      </x:c>
      <x:c r="D116" s="38">
        <x:f t="shared" si="32"/>
        <x:v>0</x:v>
      </x:c>
      <x:c r="E116" s="38">
        <x:f t="shared" si="32"/>
        <x:v>0</x:v>
      </x:c>
      <x:c r="F116" s="150" t="str">
        <x:f t="shared" si="32"/>
        <x:v/>
      </x:c>
      <x:c r="G116" s="153" t="str">
        <x:f t="shared" si="32"/>
        <x:v/>
      </x:c>
      <x:c r="H116" s="12">
        <x:f t="shared" si="32"/>
        <x:v>0</x:v>
      </x:c>
      <x:c r="I116" s="38">
        <x:f t="shared" si="32"/>
        <x:v>0</x:v>
      </x:c>
      <x:c r="J116" s="38">
        <x:f t="shared" si="32"/>
        <x:v>0</x:v>
      </x:c>
      <x:c r="K116" s="38">
        <x:f t="shared" si="32"/>
        <x:v>0</x:v>
      </x:c>
      <x:c r="L116" s="150" t="str">
        <x:f t="shared" si="32"/>
        <x:v/>
      </x:c>
      <x:c r="M116" s="153" t="str">
        <x:f t="shared" si="32"/>
        <x:v/>
      </x:c>
    </x:row>
    <x:row r="117" spans="2:13" ht="24.949999999999999" customHeight="1">
      <x:c r="B117" s="12">
        <x:f t="shared" si="32"/>
        <x:v>0</x:v>
      </x:c>
      <x:c r="C117" s="38">
        <x:f t="shared" si="32"/>
        <x:v>0</x:v>
      </x:c>
      <x:c r="D117" s="38">
        <x:f t="shared" si="32"/>
        <x:v>0</x:v>
      </x:c>
      <x:c r="E117" s="38">
        <x:f t="shared" si="32"/>
        <x:v>0</x:v>
      </x:c>
      <x:c r="F117" s="150" t="str">
        <x:f t="shared" si="32"/>
        <x:v/>
      </x:c>
      <x:c r="G117" s="153" t="str">
        <x:f t="shared" si="32"/>
        <x:v/>
      </x:c>
      <x:c r="H117" s="12">
        <x:f t="shared" si="32"/>
        <x:v>0</x:v>
      </x:c>
      <x:c r="I117" s="38">
        <x:f t="shared" si="32"/>
        <x:v>0</x:v>
      </x:c>
      <x:c r="J117" s="38">
        <x:f t="shared" si="32"/>
        <x:v>0</x:v>
      </x:c>
      <x:c r="K117" s="38">
        <x:f t="shared" si="32"/>
        <x:v>0</x:v>
      </x:c>
      <x:c r="L117" s="150" t="str">
        <x:f t="shared" si="32"/>
        <x:v/>
      </x:c>
      <x:c r="M117" s="153" t="str">
        <x:f t="shared" si="32"/>
        <x:v/>
      </x:c>
    </x:row>
    <x:row r="118" spans="2:13" ht="24.949999999999999" customHeight="1">
      <x:c r="B118" s="193" t="str">
        <x:f t="shared" ref="B118:M118" si="33">IF(B54="","",B54)</x:f>
        <x:v/>
      </x:c>
      <x:c r="C118" s="194">
        <x:f t="shared" si="33"/>
        <x:v>0</x:v>
      </x:c>
      <x:c r="D118" s="194">
        <x:f t="shared" si="33"/>
        <x:v>0</x:v>
      </x:c>
      <x:c r="E118" s="194">
        <x:f t="shared" si="33"/>
        <x:v>0</x:v>
      </x:c>
      <x:c r="F118" s="151" t="str">
        <x:f t="shared" si="33"/>
        <x:v/>
      </x:c>
      <x:c r="G118" s="154" t="str">
        <x:f t="shared" si="33"/>
        <x:v/>
      </x:c>
      <x:c r="H118" s="193" t="str">
        <x:f t="shared" si="33"/>
        <x:v/>
      </x:c>
      <x:c r="I118" s="194">
        <x:f t="shared" si="33"/>
        <x:v>0</x:v>
      </x:c>
      <x:c r="J118" s="194">
        <x:f t="shared" si="33"/>
        <x:v>0</x:v>
      </x:c>
      <x:c r="K118" s="194">
        <x:f t="shared" si="33"/>
        <x:v>0</x:v>
      </x:c>
      <x:c r="L118" s="151" t="str">
        <x:f t="shared" si="33"/>
        <x:v/>
      </x:c>
      <x:c r="M118" s="154" t="str">
        <x:f t="shared" si="33"/>
        <x:v/>
      </x:c>
    </x:row>
    <x:row r="119" ht="24.949999999999999" customHeight="1"/>
    <x:row r="120" spans="2:13" ht="24.949999999999999" customHeight="1">
      <x:c r="B120" s="20">
        <x:f t="shared" ref="B120:G124" si="34">IF(B56="","",B56)</x:f>
        <x:v>0</x:v>
      </x:c>
      <x:c r="C120" s="95">
        <x:f t="shared" si="34"/>
        <x:v>0</x:v>
      </x:c>
      <x:c r="D120" s="95">
        <x:f t="shared" si="34"/>
        <x:v>0</x:v>
      </x:c>
      <x:c r="E120" s="95">
        <x:f t="shared" si="34"/>
        <x:v>0</x:v>
      </x:c>
      <x:c r="F120" s="141">
        <x:f t="shared" si="34"/>
        <x:v>0</x:v>
      </x:c>
      <x:c r="G120" s="144" t="str">
        <x:f t="shared" si="34"/>
        <x:v/>
      </x:c>
      <x:c r="H120" s="18"/>
      <x:c r="I120" s="80"/>
      <x:c r="J120" s="80"/>
      <x:c r="K120" s="80"/>
      <x:c r="L120" s="147"/>
      <x:c r="M120" s="148"/>
    </x:row>
    <x:row r="121" spans="2:13" ht="24.949999999999999" customHeight="1">
      <x:c r="B121" s="12">
        <x:f t="shared" si="34"/>
        <x:v>0</x:v>
      </x:c>
      <x:c r="C121" s="38">
        <x:f t="shared" si="34"/>
        <x:v>0</x:v>
      </x:c>
      <x:c r="D121" s="38">
        <x:f t="shared" si="34"/>
        <x:v>0</x:v>
      </x:c>
      <x:c r="E121" s="38">
        <x:f t="shared" si="34"/>
        <x:v>0</x:v>
      </x:c>
      <x:c r="F121" s="142" t="str">
        <x:f t="shared" si="34"/>
        <x:v/>
      </x:c>
      <x:c r="G121" s="145" t="str">
        <x:f t="shared" si="34"/>
        <x:v/>
      </x:c>
      <x:c r="H121" s="18"/>
      <x:c r="I121" s="80"/>
      <x:c r="J121" s="80"/>
      <x:c r="K121" s="80"/>
      <x:c r="L121" s="147"/>
      <x:c r="M121" s="148"/>
    </x:row>
    <x:row r="122" spans="2:13" ht="24.949999999999999" customHeight="1">
      <x:c r="B122" s="12">
        <x:f t="shared" si="34"/>
        <x:v>0</x:v>
      </x:c>
      <x:c r="C122" s="38">
        <x:f t="shared" si="34"/>
        <x:v>0</x:v>
      </x:c>
      <x:c r="D122" s="38">
        <x:f t="shared" si="34"/>
        <x:v>0</x:v>
      </x:c>
      <x:c r="E122" s="38">
        <x:f t="shared" si="34"/>
        <x:v>0</x:v>
      </x:c>
      <x:c r="F122" s="142" t="str">
        <x:f t="shared" si="34"/>
        <x:v/>
      </x:c>
      <x:c r="G122" s="145" t="str">
        <x:f t="shared" si="34"/>
        <x:v/>
      </x:c>
      <x:c r="H122" s="18"/>
      <x:c r="I122" s="80"/>
      <x:c r="J122" s="80"/>
      <x:c r="K122" s="80"/>
      <x:c r="L122" s="147"/>
      <x:c r="M122" s="148"/>
    </x:row>
    <x:row r="123" spans="2:13" ht="24.949999999999999" customHeight="1">
      <x:c r="B123" s="12">
        <x:f t="shared" si="34"/>
        <x:v>0</x:v>
      </x:c>
      <x:c r="C123" s="38">
        <x:f t="shared" si="34"/>
        <x:v>0</x:v>
      </x:c>
      <x:c r="D123" s="38">
        <x:f t="shared" si="34"/>
        <x:v>0</x:v>
      </x:c>
      <x:c r="E123" s="38">
        <x:f t="shared" si="34"/>
        <x:v>0</x:v>
      </x:c>
      <x:c r="F123" s="142" t="str">
        <x:f t="shared" si="34"/>
        <x:v/>
      </x:c>
      <x:c r="G123" s="145" t="str">
        <x:f t="shared" si="34"/>
        <x:v/>
      </x:c>
      <x:c r="H123" s="18"/>
      <x:c r="I123" s="80"/>
      <x:c r="J123" s="80"/>
      <x:c r="K123" s="80"/>
      <x:c r="L123" s="147"/>
      <x:c r="M123" s="148"/>
    </x:row>
    <x:row r="124" spans="2:13" ht="24.949999999999999" customHeight="1">
      <x:c r="B124" s="12">
        <x:f t="shared" si="34"/>
        <x:v>0</x:v>
      </x:c>
      <x:c r="C124" s="38">
        <x:f t="shared" si="34"/>
        <x:v>0</x:v>
      </x:c>
      <x:c r="D124" s="38">
        <x:f t="shared" si="34"/>
        <x:v>0</x:v>
      </x:c>
      <x:c r="E124" s="38">
        <x:f t="shared" si="34"/>
        <x:v>0</x:v>
      </x:c>
      <x:c r="F124" s="142" t="str">
        <x:f t="shared" si="34"/>
        <x:v/>
      </x:c>
      <x:c r="G124" s="145" t="str">
        <x:f t="shared" si="34"/>
        <x:v/>
      </x:c>
      <x:c r="H124" s="18"/>
      <x:c r="I124" s="80"/>
      <x:c r="J124" s="80"/>
      <x:c r="K124" s="80"/>
      <x:c r="L124" s="147"/>
      <x:c r="M124" s="148"/>
    </x:row>
    <x:row r="125" spans="2:13" ht="24.949999999999999" customHeight="1">
      <x:c r="B125" s="193" t="str">
        <x:f t="shared" ref="B125:G125" si="35">IF(B61="","",B61)</x:f>
        <x:v/>
      </x:c>
      <x:c r="C125" s="194">
        <x:f t="shared" si="35"/>
        <x:v>0</x:v>
      </x:c>
      <x:c r="D125" s="194">
        <x:f t="shared" si="35"/>
        <x:v>0</x:v>
      </x:c>
      <x:c r="E125" s="194">
        <x:f t="shared" si="35"/>
        <x:v>0</x:v>
      </x:c>
      <x:c r="F125" s="143" t="str">
        <x:f t="shared" si="35"/>
        <x:v/>
      </x:c>
      <x:c r="G125" s="146" t="str">
        <x:f t="shared" si="35"/>
        <x:v/>
      </x:c>
      <x:c r="H125" s="18"/>
      <x:c r="I125" s="81"/>
      <x:c r="J125" s="81"/>
      <x:c r="K125" s="81"/>
      <x:c r="L125" s="147"/>
      <x:c r="M125" s="148"/>
    </x:row>
  </x:sheetData>
  <x:mergeCells count="50">
    <x:mergeCell ref="F120:F125"/>
    <x:mergeCell ref="G120:G125"/>
    <x:mergeCell ref="L120:L125"/>
    <x:mergeCell ref="M120:M125"/>
    <x:mergeCell ref="F106:F111"/>
    <x:mergeCell ref="G106:G111"/>
    <x:mergeCell ref="L106:L111"/>
    <x:mergeCell ref="M106:M111"/>
    <x:mergeCell ref="F113:F118"/>
    <x:mergeCell ref="G113:G118"/>
    <x:mergeCell ref="L113:L118"/>
    <x:mergeCell ref="M113:M118"/>
    <x:mergeCell ref="B101:G101"/>
    <x:mergeCell ref="H101:H104"/>
    <x:mergeCell ref="I101:J101"/>
    <x:mergeCell ref="K101:M101"/>
    <x:mergeCell ref="B105:M105"/>
    <x:mergeCell ref="L66:M66"/>
    <x:mergeCell ref="B98:M98"/>
    <x:mergeCell ref="B99:E99"/>
    <x:mergeCell ref="F99:F100"/>
    <x:mergeCell ref="G99:I99"/>
    <x:mergeCell ref="J99:M99"/>
    <x:mergeCell ref="G100:I100"/>
    <x:mergeCell ref="F56:F61"/>
    <x:mergeCell ref="G56:G61"/>
    <x:mergeCell ref="L56:L61"/>
    <x:mergeCell ref="M56:M61"/>
    <x:mergeCell ref="A65:M65"/>
    <x:mergeCell ref="F42:F47"/>
    <x:mergeCell ref="G42:G47"/>
    <x:mergeCell ref="L42:L47"/>
    <x:mergeCell ref="M42:M47"/>
    <x:mergeCell ref="F49:F54"/>
    <x:mergeCell ref="G49:G54"/>
    <x:mergeCell ref="L49:L54"/>
    <x:mergeCell ref="M49:M54"/>
    <x:mergeCell ref="B37:G37"/>
    <x:mergeCell ref="H37:H40"/>
    <x:mergeCell ref="I37:J37"/>
    <x:mergeCell ref="K37:M37"/>
    <x:mergeCell ref="B41:M41"/>
    <x:mergeCell ref="A1:M1"/>
    <x:mergeCell ref="L2:M2"/>
    <x:mergeCell ref="B34:M34"/>
    <x:mergeCell ref="B35:E35"/>
    <x:mergeCell ref="F35:F36"/>
    <x:mergeCell ref="G35:I35"/>
    <x:mergeCell ref="J35:M35"/>
    <x:mergeCell ref="G36:I36"/>
  </x:mergeCells>
  <x:conditionalFormatting sqref="C38:C40">
    <x:cfRule type="cellIs" dxfId="134" priority="19" operator="greaterThan">
      <x:formula>199</x:formula>
    </x:cfRule>
  </x:conditionalFormatting>
  <x:conditionalFormatting sqref="C102:C104">
    <x:cfRule type="cellIs" dxfId="133" priority="3" operator="greaterThan">
      <x:formula>199</x:formula>
    </x:cfRule>
  </x:conditionalFormatting>
  <x:conditionalFormatting sqref="C4:E33">
    <x:cfRule type="cellIs" dxfId="132" priority="14" operator="between">
      <x:formula>200</x:formula>
      <x:formula>200</x:formula>
    </x:cfRule>
    <x:cfRule type="cellIs" dxfId="131" priority="13" operator="between">
      <x:formula>200</x:formula>
      <x:formula>300</x:formula>
    </x:cfRule>
  </x:conditionalFormatting>
  <x:conditionalFormatting sqref="C68:E97">
    <x:cfRule type="cellIs" dxfId="130" priority="7" operator="between">
      <x:formula>200</x:formula>
      <x:formula>200</x:formula>
    </x:cfRule>
    <x:cfRule type="cellIs" dxfId="129" priority="6" operator="between">
      <x:formula>200</x:formula>
      <x:formula>300</x:formula>
    </x:cfRule>
  </x:conditionalFormatting>
  <x:conditionalFormatting sqref="E38:E40">
    <x:cfRule type="cellIs" dxfId="128" priority="18" operator="greaterThan">
      <x:formula>199</x:formula>
    </x:cfRule>
  </x:conditionalFormatting>
  <x:conditionalFormatting sqref="E102:E104">
    <x:cfRule type="cellIs" dxfId="127" priority="2" operator="greaterThan">
      <x:formula>199</x:formula>
    </x:cfRule>
  </x:conditionalFormatting>
  <x:conditionalFormatting sqref="F4:F33">
    <x:cfRule type="cellIs" dxfId="126" priority="22" operator="greaterThan">
      <x:formula>599</x:formula>
    </x:cfRule>
    <x:cfRule type="cellIs" dxfId="125" priority="12" operator="between">
      <x:formula>600</x:formula>
      <x:formula>900</x:formula>
    </x:cfRule>
  </x:conditionalFormatting>
  <x:conditionalFormatting sqref="F68:F97">
    <x:cfRule type="cellIs" dxfId="124" priority="10" operator="greaterThan">
      <x:formula>599</x:formula>
    </x:cfRule>
    <x:cfRule type="cellIs" dxfId="123" priority="5" operator="between">
      <x:formula>600</x:formula>
      <x:formula>900</x:formula>
    </x:cfRule>
  </x:conditionalFormatting>
  <x:conditionalFormatting sqref="G4:G33">
    <x:cfRule type="cellIs" dxfId="122" priority="20" operator="greaterThan">
      <x:formula>199.9</x:formula>
    </x:cfRule>
  </x:conditionalFormatting>
  <x:conditionalFormatting sqref="G38:G40">
    <x:cfRule type="cellIs" dxfId="121" priority="17" operator="greaterThan">
      <x:formula>199</x:formula>
    </x:cfRule>
  </x:conditionalFormatting>
  <x:conditionalFormatting sqref="G68:G97">
    <x:cfRule type="cellIs" dxfId="120" priority="8" operator="greaterThan">
      <x:formula>199.9</x:formula>
    </x:cfRule>
  </x:conditionalFormatting>
  <x:conditionalFormatting sqref="G102:G104">
    <x:cfRule type="cellIs" dxfId="119" priority="1" operator="greaterThan">
      <x:formula>199</x:formula>
    </x:cfRule>
  </x:conditionalFormatting>
  <x:conditionalFormatting sqref="G4:H33">
    <x:cfRule type="cellIs" dxfId="118" priority="11" operator="between">
      <x:formula>200</x:formula>
      <x:formula>300</x:formula>
    </x:cfRule>
  </x:conditionalFormatting>
  <x:conditionalFormatting sqref="G68:H97">
    <x:cfRule type="cellIs" dxfId="117" priority="4" operator="between">
      <x:formula>200</x:formula>
      <x:formula>300</x:formula>
    </x:cfRule>
  </x:conditionalFormatting>
  <x:conditionalFormatting sqref="H4:H33">
    <x:cfRule type="cellIs" dxfId="116" priority="21" operator="greaterThan">
      <x:formula>199</x:formula>
    </x:cfRule>
  </x:conditionalFormatting>
  <x:conditionalFormatting sqref="H68:H97">
    <x:cfRule type="cellIs" dxfId="115" priority="9" operator="greaterThan">
      <x:formula>199</x:formula>
    </x:cfRule>
  </x:conditionalFormatting>
  <x:conditionalFormatting sqref="O37:O37">
    <x:cfRule type="cellIs" dxfId="114" priority="16" operator="greaterThan">
      <x:formula>200</x:formula>
    </x:cfRule>
  </x:conditionalFormatting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  <x:legacyDrawing r:id="rId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0"/>
  <x:dimension ref="A1:V107"/>
  <x:sheetViews>
    <x:sheetView topLeftCell="A31" zoomScaleNormal="100" zoomScaleSheetLayoutView="100" workbookViewId="0">
      <x:selection activeCell="E50" activeCellId="0" sqref="E50:E50"/>
    </x:sheetView>
  </x:sheetViews>
  <x:sheetFormatPr defaultColWidth="9" defaultRowHeight="16.399999999999999"/>
  <x:cols>
    <x:col min="1" max="1" width="4.625" style="11" customWidth="1"/>
    <x:col min="2" max="2" width="10.625" style="11" customWidth="1"/>
    <x:col min="3" max="11" width="9.625" style="11" customWidth="1"/>
    <x:col min="12" max="12" width="9" style="11" customWidth="1"/>
    <x:col min="13" max="13" width="9" style="11" bestFit="1" customWidth="1"/>
    <x:col min="14" max="14" width="9.875" style="11" bestFit="1" customWidth="1"/>
    <x:col min="15" max="15" width="9.375" style="11" customWidth="1"/>
    <x:col min="17" max="17" width="10.375" style="11" customWidth="1"/>
    <x:col min="19" max="19" width="12.125" style="11" customWidth="1"/>
    <x:col min="21" max="21" width="16.375" style="11" customWidth="1"/>
  </x:cols>
  <x:sheetData>
    <x:row r="1" spans="1:13" ht="60" customHeight="1">
      <x:c r="A1" s="185" t="s">
        <x:v>69</x:v>
      </x:c>
      <x:c r="B1" s="185"/>
      <x:c r="C1" s="185"/>
      <x:c r="D1" s="185"/>
      <x:c r="E1" s="185"/>
      <x:c r="F1" s="185"/>
      <x:c r="G1" s="185"/>
      <x:c r="H1" s="185"/>
      <x:c r="I1" s="185"/>
      <x:c r="J1" s="185"/>
      <x:c r="K1" s="185"/>
      <x:c r="L1" s="185"/>
      <x:c r="M1" s="185"/>
    </x:row>
    <x:row r="2" spans="1:22" ht="22.5" customHeight="1">
      <x:c r="A2" s="77"/>
      <x:c r="B2" s="77"/>
      <x:c r="C2" s="77"/>
      <x:c r="D2" s="77"/>
      <x:c r="E2" s="77"/>
      <x:c r="F2" s="77"/>
      <x:c r="G2" s="77"/>
      <x:c r="H2" s="77"/>
      <x:c r="I2" s="77"/>
      <x:c r="J2" s="77"/>
      <x:c r="K2" s="78" t="s">
        <x:v>8</x:v>
      </x:c>
      <x:c r="L2" s="166">
        <x:v>46113</x:v>
      </x:c>
      <x:c r="M2" s="167"/>
      <x:c r="S2" s="140" t="s">
        <x:v>44</x:v>
      </x:c>
      <x:c r="T2" s="90">
        <x:v>0</x:v>
      </x:c>
      <x:c r="U2" s="140" t="s">
        <x:v>61</x:v>
      </x:c>
      <x:c r="V2" s="90">
        <x:v>0</x:v>
      </x:c>
    </x:row>
    <x:row r="3" spans="1:22" ht="24.949999999999999" customHeight="1">
      <x:c r="A3" s="20"/>
      <x:c r="B3" s="14" t="s">
        <x:v>53</x:v>
      </x:c>
      <x:c r="C3" s="14" t="s">
        <x:v>2</x:v>
      </x:c>
      <x:c r="D3" s="14" t="s">
        <x:v>0</x:v>
      </x:c>
      <x:c r="E3" s="14" t="s">
        <x:v>10</x:v>
      </x:c>
      <x:c r="F3" s="14" t="s">
        <x:v>9</x:v>
      </x:c>
      <x:c r="G3" s="14" t="s">
        <x:v>6</x:v>
      </x:c>
      <x:c r="H3" s="16" t="s">
        <x:v>57</x:v>
      </x:c>
      <x:c r="I3" s="14" t="s">
        <x:v>2</x:v>
      </x:c>
      <x:c r="J3" s="14" t="s">
        <x:v>0</x:v>
      </x:c>
      <x:c r="K3" s="14" t="s">
        <x:v>10</x:v>
      </x:c>
      <x:c r="L3" s="15" t="s">
        <x:v>9</x:v>
      </x:c>
      <x:c r="M3" s="22" t="s">
        <x:v>13</x:v>
      </x:c>
      <x:c r="S3" s="92" t="s">
        <x:v>65</x:v>
      </x:c>
      <x:c r="T3" s="93"/>
      <x:c r="U3" s="93"/>
      <x:c r="V3" s="93"/>
    </x:row>
    <x:row r="4" spans="1:22" ht="20.100000000000001" customHeight="1">
      <x:c r="A4" s="12">
        <x:v>1</x:v>
      </x:c>
      <x:c r="B4" s="13"/>
      <x:c r="C4" s="62"/>
      <x:c r="D4" s="62"/>
      <x:c r="E4" s="62"/>
      <x:c r="F4" s="44">
        <x:f>SUM(C4:E4)</x:f>
        <x:v>0</x:v>
      </x:c>
      <x:c r="G4" s="45">
        <x:f>F4/3</x:f>
        <x:v>0</x:v>
      </x:c>
      <x:c r="H4" s="34" t="str">
        <x:f t="array" ref="H4:H4">IF(B4="","",IFERROR(INDEX('회원명단 및 기준에버'!D:G,MATCH(B4,'회원명단 및 기준에버'!$C:$C,0),CHOOSE(INT((MONTH($L$2)-1)/3)+1,1,2,3,4)),""))</x:f>
        <x:v/>
      </x:c>
      <x:c r="I4" s="38">
        <x:f>IFERROR(C4+-H4,0)</x:f>
        <x:v>0</x:v>
      </x:c>
      <x:c r="J4" s="38">
        <x:f>IFERROR(D4+-H4,0)</x:f>
        <x:v>0</x:v>
      </x:c>
      <x:c r="K4" s="38">
        <x:f>IFERROR(E4+-H4,0)</x:f>
        <x:v>0</x:v>
      </x:c>
      <x:c r="L4" s="63">
        <x:f>SUM(I4:K4)</x:f>
        <x:v>0</x:v>
      </x:c>
      <x:c r="M4" s="39">
        <x:f>IFERROR(G4+-H4,0)</x:f>
        <x:v>0</x:v>
      </x:c>
      <x:c r="N4" s="19"/>
      <x:c r="S4" s="104">
        <x:f t="shared" ref="S4:S27" si="0">MAX(C4:E4)-MIN(C4:E4)</x:f>
        <x:v>0</x:v>
      </x:c>
      <x:c r="T4" s="99">
        <x:f>IF($B4="",-999999999+A4,IF($V$2=0,(F4*10000+S4*1000+A4),(M4*10000+S4*10+A4)))</x:f>
        <x:v>-999999998</x:v>
      </x:c>
      <x:c r="U4" s="105" t="e">
        <x:f t="shared" ref="U4:U27" si="1">_xlfn.RANK.EQ(T4,$T$4:$T$33,0)</x:f>
        <x:v>#VALUE!</x:v>
      </x:c>
      <x:c r="V4" s="106"/>
    </x:row>
    <x:row r="5" spans="1:22" ht="20.100000000000001" customHeight="1">
      <x:c r="A5" s="12">
        <x:v>2</x:v>
      </x:c>
      <x:c r="B5" s="13"/>
      <x:c r="C5" s="62"/>
      <x:c r="D5" s="62"/>
      <x:c r="E5" s="62"/>
      <x:c r="F5" s="44">
        <x:f>SUM(C5:E5)</x:f>
        <x:v>0</x:v>
      </x:c>
      <x:c r="G5" s="45">
        <x:f>F5/3</x:f>
        <x:v>0</x:v>
      </x:c>
      <x:c r="H5" s="34" t="str">
        <x:f t="array" ref="H5:H5">IF(B5="","",IFERROR(INDEX('회원명단 및 기준에버'!D:G,MATCH(B5,'회원명단 및 기준에버'!$C:$C,0),CHOOSE(INT((MONTH($L$2)-1)/3)+1,1,2,3,4)),""))</x:f>
        <x:v/>
      </x:c>
      <x:c r="I5" s="38">
        <x:f>IFERROR(C5+-H5,0)</x:f>
        <x:v>0</x:v>
      </x:c>
      <x:c r="J5" s="38">
        <x:f>IFERROR(D5+-H5,0)</x:f>
        <x:v>0</x:v>
      </x:c>
      <x:c r="K5" s="38">
        <x:f>IFERROR(E5+-H5,0)</x:f>
        <x:v>0</x:v>
      </x:c>
      <x:c r="L5" s="63">
        <x:f>SUM(I5:K5)</x:f>
        <x:v>0</x:v>
      </x:c>
      <x:c r="M5" s="39">
        <x:f>IFERROR(G5+-H5,0)</x:f>
        <x:v>0</x:v>
      </x:c>
      <x:c r="N5" s="19"/>
      <x:c r="S5" s="107">
        <x:f t="shared" si="0"/>
        <x:v>0</x:v>
      </x:c>
      <x:c r="T5" s="97">
        <x:f t="shared" ref="T5:T33" si="2">IF($B5="",-999999999+A5,IF($V$2=0,(F5*10000+S5*1000+A5),(M5*10000+S5*10+A5)))</x:f>
        <x:v>-999999997</x:v>
      </x:c>
      <x:c r="U5" s="91" t="e">
        <x:f t="shared" si="1"/>
        <x:v>#VALUE!</x:v>
      </x:c>
      <x:c r="V5" s="108"/>
    </x:row>
    <x:row r="6" spans="1:22" ht="20.100000000000001" customHeight="1">
      <x:c r="A6" s="12">
        <x:v>3</x:v>
      </x:c>
      <x:c r="B6" s="13"/>
      <x:c r="C6" s="62"/>
      <x:c r="D6" s="62"/>
      <x:c r="E6" s="62"/>
      <x:c r="F6" s="44">
        <x:f>SUM(C6:E6)</x:f>
        <x:v>0</x:v>
      </x:c>
      <x:c r="G6" s="45">
        <x:f>F6/3</x:f>
        <x:v>0</x:v>
      </x:c>
      <x:c r="H6" s="34" t="str">
        <x:f t="array" ref="H6:H6">IF(B6="","",IFERROR(INDEX('회원명단 및 기준에버'!D:G,MATCH(B6,'회원명단 및 기준에버'!$C:$C,0),CHOOSE(INT((MONTH($L$2)-1)/3)+1,1,2,3,4)),""))</x:f>
        <x:v/>
      </x:c>
      <x:c r="I6" s="38">
        <x:f t="shared" ref="I6:I28" si="3">IFERROR(C6+-H6,0)</x:f>
        <x:v>0</x:v>
      </x:c>
      <x:c r="J6" s="38">
        <x:f t="shared" ref="J6:J28" si="4">IFERROR(D6+-H6,0)</x:f>
        <x:v>0</x:v>
      </x:c>
      <x:c r="K6" s="38">
        <x:f t="shared" ref="K6:K28" si="5">IFERROR(E6+-H6,0)</x:f>
        <x:v>0</x:v>
      </x:c>
      <x:c r="L6" s="63">
        <x:f t="shared" ref="L6:L28" si="6">SUM(I6:K6)</x:f>
        <x:v>0</x:v>
      </x:c>
      <x:c r="M6" s="39">
        <x:f t="shared" ref="M6:M28" si="7">IFERROR(G6+-H6,0)</x:f>
        <x:v>0</x:v>
      </x:c>
      <x:c r="S6" s="107">
        <x:f t="shared" si="0"/>
        <x:v>0</x:v>
      </x:c>
      <x:c r="T6" s="97">
        <x:f t="shared" si="2"/>
        <x:v>-999999996</x:v>
      </x:c>
      <x:c r="U6" s="91" t="e">
        <x:f t="shared" si="1"/>
        <x:v>#VALUE!</x:v>
      </x:c>
      <x:c r="V6" s="108"/>
    </x:row>
    <x:row r="7" spans="1:22" ht="20.100000000000001" customHeight="1">
      <x:c r="A7" s="12">
        <x:v>4</x:v>
      </x:c>
      <x:c r="B7" s="13"/>
      <x:c r="C7" s="62"/>
      <x:c r="D7" s="62"/>
      <x:c r="E7" s="62"/>
      <x:c r="F7" s="44">
        <x:f>SUM(C7:E7)</x:f>
        <x:v>0</x:v>
      </x:c>
      <x:c r="G7" s="45">
        <x:f>F7/3</x:f>
        <x:v>0</x:v>
      </x:c>
      <x:c r="H7" s="34" t="str">
        <x:f t="array" ref="H7:H7">IF(B7="","",IFERROR(INDEX('회원명단 및 기준에버'!D:G,MATCH(B7,'회원명단 및 기준에버'!$C:$C,0),CHOOSE(INT((MONTH($L$2)-1)/3)+1,1,2,3,4)),""))</x:f>
        <x:v/>
      </x:c>
      <x:c r="I7" s="38">
        <x:f t="shared" si="3"/>
        <x:v>0</x:v>
      </x:c>
      <x:c r="J7" s="38">
        <x:f t="shared" si="4"/>
        <x:v>0</x:v>
      </x:c>
      <x:c r="K7" s="38">
        <x:f t="shared" si="5"/>
        <x:v>0</x:v>
      </x:c>
      <x:c r="L7" s="63">
        <x:f t="shared" si="6"/>
        <x:v>0</x:v>
      </x:c>
      <x:c r="M7" s="39">
        <x:f t="shared" si="7"/>
        <x:v>0</x:v>
      </x:c>
      <x:c r="S7" s="107">
        <x:f t="shared" si="0"/>
        <x:v>0</x:v>
      </x:c>
      <x:c r="T7" s="97">
        <x:f t="shared" si="2"/>
        <x:v>-999999995</x:v>
      </x:c>
      <x:c r="U7" s="91" t="e">
        <x:f t="shared" si="1"/>
        <x:v>#VALUE!</x:v>
      </x:c>
      <x:c r="V7" s="108"/>
    </x:row>
    <x:row r="8" spans="1:22" ht="20.100000000000001" customHeight="1">
      <x:c r="A8" s="12">
        <x:v>5</x:v>
      </x:c>
      <x:c r="B8" s="13"/>
      <x:c r="C8" s="62"/>
      <x:c r="D8" s="62"/>
      <x:c r="E8" s="62"/>
      <x:c r="F8" s="44">
        <x:f t="shared" ref="F8:F28" si="8">SUM(C8:E8)</x:f>
        <x:v>0</x:v>
      </x:c>
      <x:c r="G8" s="45">
        <x:f t="shared" ref="G8:G28" si="9">F8/3</x:f>
        <x:v>0</x:v>
      </x:c>
      <x:c r="H8" s="34" t="str">
        <x:f t="array" ref="H8:H8">IF(B8="","",IFERROR(INDEX('회원명단 및 기준에버'!D:G,MATCH(B8,'회원명단 및 기준에버'!$C:$C,0),CHOOSE(INT((MONTH($L$2)-1)/3)+1,1,2,3,4)),""))</x:f>
        <x:v/>
      </x:c>
      <x:c r="I8" s="38">
        <x:f t="shared" si="3"/>
        <x:v>0</x:v>
      </x:c>
      <x:c r="J8" s="38">
        <x:f t="shared" si="4"/>
        <x:v>0</x:v>
      </x:c>
      <x:c r="K8" s="38">
        <x:f t="shared" si="5"/>
        <x:v>0</x:v>
      </x:c>
      <x:c r="L8" s="63">
        <x:f t="shared" si="6"/>
        <x:v>0</x:v>
      </x:c>
      <x:c r="M8" s="39">
        <x:f t="shared" si="7"/>
        <x:v>0</x:v>
      </x:c>
      <x:c r="S8" s="107">
        <x:f t="shared" si="0"/>
        <x:v>0</x:v>
      </x:c>
      <x:c r="T8" s="97">
        <x:f t="shared" si="2"/>
        <x:v>-999999994</x:v>
      </x:c>
      <x:c r="U8" s="91" t="e">
        <x:f t="shared" si="1"/>
        <x:v>#VALUE!</x:v>
      </x:c>
      <x:c r="V8" s="108"/>
    </x:row>
    <x:row r="9" spans="1:22" ht="20.100000000000001" customHeight="1">
      <x:c r="A9" s="12">
        <x:v>6</x:v>
      </x:c>
      <x:c r="B9" s="13"/>
      <x:c r="C9" s="62"/>
      <x:c r="D9" s="62"/>
      <x:c r="E9" s="62"/>
      <x:c r="F9" s="44">
        <x:f t="shared" si="8"/>
        <x:v>0</x:v>
      </x:c>
      <x:c r="G9" s="45">
        <x:f t="shared" si="9"/>
        <x:v>0</x:v>
      </x:c>
      <x:c r="H9" s="34" t="str">
        <x:f t="array" ref="H9:H9">IF(B9="","",IFERROR(INDEX('회원명단 및 기준에버'!D:G,MATCH(B9,'회원명단 및 기준에버'!$C:$C,0),CHOOSE(INT((MONTH($L$2)-1)/3)+1,1,2,3,4)),""))</x:f>
        <x:v/>
      </x:c>
      <x:c r="I9" s="38">
        <x:f t="shared" si="3"/>
        <x:v>0</x:v>
      </x:c>
      <x:c r="J9" s="38">
        <x:f t="shared" si="4"/>
        <x:v>0</x:v>
      </x:c>
      <x:c r="K9" s="38">
        <x:f t="shared" si="5"/>
        <x:v>0</x:v>
      </x:c>
      <x:c r="L9" s="63">
        <x:f t="shared" si="6"/>
        <x:v>0</x:v>
      </x:c>
      <x:c r="M9" s="39">
        <x:f t="shared" si="7"/>
        <x:v>0</x:v>
      </x:c>
      <x:c r="S9" s="107">
        <x:f t="shared" si="0"/>
        <x:v>0</x:v>
      </x:c>
      <x:c r="T9" s="97">
        <x:f t="shared" si="2"/>
        <x:v>-999999993</x:v>
      </x:c>
      <x:c r="U9" s="91" t="e">
        <x:f t="shared" si="1"/>
        <x:v>#VALUE!</x:v>
      </x:c>
      <x:c r="V9" s="108"/>
    </x:row>
    <x:row r="10" spans="1:22" ht="20.100000000000001" customHeight="1">
      <x:c r="A10" s="12">
        <x:v>7</x:v>
      </x:c>
      <x:c r="B10" s="13"/>
      <x:c r="C10" s="62"/>
      <x:c r="D10" s="62"/>
      <x:c r="E10" s="62"/>
      <x:c r="F10" s="44">
        <x:f t="shared" si="8"/>
        <x:v>0</x:v>
      </x:c>
      <x:c r="G10" s="45">
        <x:f t="shared" si="9"/>
        <x:v>0</x:v>
      </x:c>
      <x:c r="H10" s="34" t="str">
        <x:f t="array" ref="H10:H10">IF(B10="","",IFERROR(INDEX('회원명단 및 기준에버'!D:G,MATCH(B10,'회원명단 및 기준에버'!$C:$C,0),CHOOSE(INT((MONTH($L$2)-1)/3)+1,1,2,3,4)),""))</x:f>
        <x:v/>
      </x:c>
      <x:c r="I10" s="38">
        <x:f t="shared" si="3"/>
        <x:v>0</x:v>
      </x:c>
      <x:c r="J10" s="38">
        <x:f t="shared" si="4"/>
        <x:v>0</x:v>
      </x:c>
      <x:c r="K10" s="38">
        <x:f t="shared" si="5"/>
        <x:v>0</x:v>
      </x:c>
      <x:c r="L10" s="63">
        <x:f t="shared" si="6"/>
        <x:v>0</x:v>
      </x:c>
      <x:c r="M10" s="39">
        <x:f t="shared" si="7"/>
        <x:v>0</x:v>
      </x:c>
      <x:c r="S10" s="107">
        <x:f t="shared" si="0"/>
        <x:v>0</x:v>
      </x:c>
      <x:c r="T10" s="97">
        <x:f t="shared" si="2"/>
        <x:v>-999999992</x:v>
      </x:c>
      <x:c r="U10" s="91" t="e">
        <x:f t="shared" si="1"/>
        <x:v>#VALUE!</x:v>
      </x:c>
      <x:c r="V10" s="108"/>
    </x:row>
    <x:row r="11" spans="1:22" ht="20.100000000000001" customHeight="1">
      <x:c r="A11" s="12">
        <x:v>8</x:v>
      </x:c>
      <x:c r="B11" s="13"/>
      <x:c r="C11" s="62"/>
      <x:c r="D11" s="62"/>
      <x:c r="E11" s="62"/>
      <x:c r="F11" s="44">
        <x:f t="shared" si="8"/>
        <x:v>0</x:v>
      </x:c>
      <x:c r="G11" s="45">
        <x:f t="shared" si="9"/>
        <x:v>0</x:v>
      </x:c>
      <x:c r="H11" s="34" t="str">
        <x:f t="array" ref="H11:H11">IF(B11="","",IFERROR(INDEX('회원명단 및 기준에버'!D:G,MATCH(B11,'회원명단 및 기준에버'!$C:$C,0),CHOOSE(INT((MONTH($L$2)-1)/3)+1,1,2,3,4)),""))</x:f>
        <x:v/>
      </x:c>
      <x:c r="I11" s="38">
        <x:f t="shared" si="3"/>
        <x:v>0</x:v>
      </x:c>
      <x:c r="J11" s="38">
        <x:f t="shared" si="4"/>
        <x:v>0</x:v>
      </x:c>
      <x:c r="K11" s="38">
        <x:f t="shared" si="5"/>
        <x:v>0</x:v>
      </x:c>
      <x:c r="L11" s="63">
        <x:f t="shared" si="6"/>
        <x:v>0</x:v>
      </x:c>
      <x:c r="M11" s="39">
        <x:f t="shared" si="7"/>
        <x:v>0</x:v>
      </x:c>
      <x:c r="S11" s="107">
        <x:f t="shared" si="0"/>
        <x:v>0</x:v>
      </x:c>
      <x:c r="T11" s="97">
        <x:f t="shared" si="2"/>
        <x:v>-999999991</x:v>
      </x:c>
      <x:c r="U11" s="91" t="e">
        <x:f t="shared" si="1"/>
        <x:v>#VALUE!</x:v>
      </x:c>
      <x:c r="V11" s="108"/>
    </x:row>
    <x:row r="12" spans="1:22" ht="20.100000000000001" customHeight="1">
      <x:c r="A12" s="12">
        <x:v>9</x:v>
      </x:c>
      <x:c r="B12" s="13"/>
      <x:c r="C12" s="62"/>
      <x:c r="D12" s="62"/>
      <x:c r="E12" s="62"/>
      <x:c r="F12" s="44">
        <x:f t="shared" si="8"/>
        <x:v>0</x:v>
      </x:c>
      <x:c r="G12" s="45">
        <x:f t="shared" si="9"/>
        <x:v>0</x:v>
      </x:c>
      <x:c r="H12" s="34" t="str">
        <x:f t="array" ref="H12:H12">IF(B12="","",IFERROR(INDEX('회원명단 및 기준에버'!D:G,MATCH(B12,'회원명단 및 기준에버'!$C:$C,0),CHOOSE(INT((MONTH($L$2)-1)/3)+1,1,2,3,4)),""))</x:f>
        <x:v/>
      </x:c>
      <x:c r="I12" s="38">
        <x:f t="shared" si="3"/>
        <x:v>0</x:v>
      </x:c>
      <x:c r="J12" s="38">
        <x:f t="shared" si="4"/>
        <x:v>0</x:v>
      </x:c>
      <x:c r="K12" s="38">
        <x:f t="shared" si="5"/>
        <x:v>0</x:v>
      </x:c>
      <x:c r="L12" s="63">
        <x:f t="shared" si="6"/>
        <x:v>0</x:v>
      </x:c>
      <x:c r="M12" s="39">
        <x:f t="shared" si="7"/>
        <x:v>0</x:v>
      </x:c>
      <x:c r="S12" s="107">
        <x:f t="shared" si="0"/>
        <x:v>0</x:v>
      </x:c>
      <x:c r="T12" s="97">
        <x:f t="shared" si="2"/>
        <x:v>-999999990</x:v>
      </x:c>
      <x:c r="U12" s="91" t="e">
        <x:f t="shared" si="1"/>
        <x:v>#VALUE!</x:v>
      </x:c>
      <x:c r="V12" s="108"/>
    </x:row>
    <x:row r="13" spans="1:22" ht="20.100000000000001" customHeight="1">
      <x:c r="A13" s="12">
        <x:v>10</x:v>
      </x:c>
      <x:c r="B13" s="13"/>
      <x:c r="C13" s="62"/>
      <x:c r="D13" s="62"/>
      <x:c r="E13" s="62"/>
      <x:c r="F13" s="44">
        <x:f t="shared" si="8"/>
        <x:v>0</x:v>
      </x:c>
      <x:c r="G13" s="45">
        <x:f t="shared" si="9"/>
        <x:v>0</x:v>
      </x:c>
      <x:c r="H13" s="34" t="str">
        <x:f t="array" ref="H13:H13">IF(B13="","",IFERROR(INDEX('회원명단 및 기준에버'!D:G,MATCH(B13,'회원명단 및 기준에버'!$C:$C,0),CHOOSE(INT((MONTH($L$2)-1)/3)+1,1,2,3,4)),""))</x:f>
        <x:v/>
      </x:c>
      <x:c r="I13" s="38">
        <x:f t="shared" si="3"/>
        <x:v>0</x:v>
      </x:c>
      <x:c r="J13" s="38">
        <x:f t="shared" si="4"/>
        <x:v>0</x:v>
      </x:c>
      <x:c r="K13" s="38">
        <x:f t="shared" si="5"/>
        <x:v>0</x:v>
      </x:c>
      <x:c r="L13" s="63">
        <x:f t="shared" si="6"/>
        <x:v>0</x:v>
      </x:c>
      <x:c r="M13" s="39">
        <x:f t="shared" si="7"/>
        <x:v>0</x:v>
      </x:c>
      <x:c r="S13" s="107">
        <x:f t="shared" si="0"/>
        <x:v>0</x:v>
      </x:c>
      <x:c r="T13" s="97">
        <x:f t="shared" si="2"/>
        <x:v>-999999989</x:v>
      </x:c>
      <x:c r="U13" s="91" t="e">
        <x:f t="shared" si="1"/>
        <x:v>#VALUE!</x:v>
      </x:c>
      <x:c r="V13" s="108"/>
    </x:row>
    <x:row r="14" spans="1:22" ht="20.100000000000001" customHeight="1">
      <x:c r="A14" s="12">
        <x:v>11</x:v>
      </x:c>
      <x:c r="B14" s="13"/>
      <x:c r="C14" s="62"/>
      <x:c r="D14" s="62"/>
      <x:c r="E14" s="62"/>
      <x:c r="F14" s="44">
        <x:f t="shared" si="8"/>
        <x:v>0</x:v>
      </x:c>
      <x:c r="G14" s="45">
        <x:f t="shared" si="9"/>
        <x:v>0</x:v>
      </x:c>
      <x:c r="H14" s="34" t="str">
        <x:f t="array" ref="H14:H14">IF(B14="","",IFERROR(INDEX('회원명단 및 기준에버'!D:G,MATCH(B14,'회원명단 및 기준에버'!$C:$C,0),CHOOSE(INT((MONTH($L$2)-1)/3)+1,1,2,3,4)),""))</x:f>
        <x:v/>
      </x:c>
      <x:c r="I14" s="38">
        <x:f t="shared" si="3"/>
        <x:v>0</x:v>
      </x:c>
      <x:c r="J14" s="38">
        <x:f t="shared" si="4"/>
        <x:v>0</x:v>
      </x:c>
      <x:c r="K14" s="38">
        <x:f t="shared" si="5"/>
        <x:v>0</x:v>
      </x:c>
      <x:c r="L14" s="63">
        <x:f t="shared" si="6"/>
        <x:v>0</x:v>
      </x:c>
      <x:c r="M14" s="39">
        <x:f t="shared" si="7"/>
        <x:v>0</x:v>
      </x:c>
      <x:c r="S14" s="107">
        <x:f t="shared" si="0"/>
        <x:v>0</x:v>
      </x:c>
      <x:c r="T14" s="97">
        <x:f t="shared" si="2"/>
        <x:v>-999999988</x:v>
      </x:c>
      <x:c r="U14" s="91" t="e">
        <x:f t="shared" si="1"/>
        <x:v>#VALUE!</x:v>
      </x:c>
      <x:c r="V14" s="108"/>
    </x:row>
    <x:row r="15" spans="1:22" ht="20.100000000000001" customHeight="1">
      <x:c r="A15" s="12">
        <x:v>12</x:v>
      </x:c>
      <x:c r="B15" s="13"/>
      <x:c r="C15" s="62"/>
      <x:c r="D15" s="62"/>
      <x:c r="E15" s="62"/>
      <x:c r="F15" s="44">
        <x:f t="shared" si="8"/>
        <x:v>0</x:v>
      </x:c>
      <x:c r="G15" s="45">
        <x:f t="shared" si="9"/>
        <x:v>0</x:v>
      </x:c>
      <x:c r="H15" s="34" t="str">
        <x:f t="array" ref="H15:H15">IF(B15="","",IFERROR(INDEX('회원명단 및 기준에버'!D:G,MATCH(B15,'회원명단 및 기준에버'!$C:$C,0),CHOOSE(INT((MONTH($L$2)-1)/3)+1,1,2,3,4)),""))</x:f>
        <x:v/>
      </x:c>
      <x:c r="I15" s="38">
        <x:f t="shared" si="3"/>
        <x:v>0</x:v>
      </x:c>
      <x:c r="J15" s="38">
        <x:f t="shared" si="4"/>
        <x:v>0</x:v>
      </x:c>
      <x:c r="K15" s="38">
        <x:f t="shared" si="5"/>
        <x:v>0</x:v>
      </x:c>
      <x:c r="L15" s="63">
        <x:f t="shared" si="6"/>
        <x:v>0</x:v>
      </x:c>
      <x:c r="M15" s="39">
        <x:f t="shared" si="7"/>
        <x:v>0</x:v>
      </x:c>
      <x:c r="S15" s="107">
        <x:f t="shared" si="0"/>
        <x:v>0</x:v>
      </x:c>
      <x:c r="T15" s="97">
        <x:f t="shared" si="2"/>
        <x:v>-999999987</x:v>
      </x:c>
      <x:c r="U15" s="91" t="e">
        <x:f t="shared" si="1"/>
        <x:v>#VALUE!</x:v>
      </x:c>
      <x:c r="V15" s="108"/>
    </x:row>
    <x:row r="16" spans="1:22" ht="20.100000000000001" customHeight="1">
      <x:c r="A16" s="12">
        <x:v>13</x:v>
      </x:c>
      <x:c r="B16" s="13"/>
      <x:c r="C16" s="62"/>
      <x:c r="D16" s="62"/>
      <x:c r="E16" s="62"/>
      <x:c r="F16" s="44">
        <x:f t="shared" si="8"/>
        <x:v>0</x:v>
      </x:c>
      <x:c r="G16" s="45">
        <x:f t="shared" si="9"/>
        <x:v>0</x:v>
      </x:c>
      <x:c r="H16" s="34" t="str">
        <x:f t="array" ref="H16:H16">IF(B16="","",IFERROR(INDEX('회원명단 및 기준에버'!D:G,MATCH(B16,'회원명단 및 기준에버'!$C:$C,0),CHOOSE(INT((MONTH($L$2)-1)/3)+1,1,2,3,4)),""))</x:f>
        <x:v/>
      </x:c>
      <x:c r="I16" s="38">
        <x:f t="shared" si="3"/>
        <x:v>0</x:v>
      </x:c>
      <x:c r="J16" s="38">
        <x:f t="shared" si="4"/>
        <x:v>0</x:v>
      </x:c>
      <x:c r="K16" s="38">
        <x:f t="shared" si="5"/>
        <x:v>0</x:v>
      </x:c>
      <x:c r="L16" s="63">
        <x:f t="shared" si="6"/>
        <x:v>0</x:v>
      </x:c>
      <x:c r="M16" s="39">
        <x:f t="shared" si="7"/>
        <x:v>0</x:v>
      </x:c>
      <x:c r="S16" s="107">
        <x:f t="shared" si="0"/>
        <x:v>0</x:v>
      </x:c>
      <x:c r="T16" s="97">
        <x:f t="shared" si="2"/>
        <x:v>-999999986</x:v>
      </x:c>
      <x:c r="U16" s="91" t="e">
        <x:f t="shared" si="1"/>
        <x:v>#VALUE!</x:v>
      </x:c>
      <x:c r="V16" s="108"/>
    </x:row>
    <x:row r="17" spans="1:22" ht="20.100000000000001" customHeight="1">
      <x:c r="A17" s="12">
        <x:v>14</x:v>
      </x:c>
      <x:c r="B17" s="13"/>
      <x:c r="C17" s="62"/>
      <x:c r="D17" s="62"/>
      <x:c r="E17" s="62"/>
      <x:c r="F17" s="44">
        <x:f t="shared" si="8"/>
        <x:v>0</x:v>
      </x:c>
      <x:c r="G17" s="45">
        <x:f t="shared" si="9"/>
        <x:v>0</x:v>
      </x:c>
      <x:c r="H17" s="34" t="str">
        <x:f t="array" ref="H17:H17">IF(B17="","",IFERROR(INDEX('회원명단 및 기준에버'!D:G,MATCH(B17,'회원명단 및 기준에버'!$C:$C,0),CHOOSE(INT((MONTH($L$2)-1)/3)+1,1,2,3,4)),""))</x:f>
        <x:v/>
      </x:c>
      <x:c r="I17" s="38">
        <x:f t="shared" si="3"/>
        <x:v>0</x:v>
      </x:c>
      <x:c r="J17" s="38">
        <x:f t="shared" si="4"/>
        <x:v>0</x:v>
      </x:c>
      <x:c r="K17" s="38">
        <x:f t="shared" si="5"/>
        <x:v>0</x:v>
      </x:c>
      <x:c r="L17" s="63">
        <x:f t="shared" si="6"/>
        <x:v>0</x:v>
      </x:c>
      <x:c r="M17" s="39">
        <x:f t="shared" si="7"/>
        <x:v>0</x:v>
      </x:c>
      <x:c r="S17" s="107">
        <x:f t="shared" si="0"/>
        <x:v>0</x:v>
      </x:c>
      <x:c r="T17" s="97">
        <x:f t="shared" si="2"/>
        <x:v>-999999985</x:v>
      </x:c>
      <x:c r="U17" s="91" t="e">
        <x:f t="shared" si="1"/>
        <x:v>#VALUE!</x:v>
      </x:c>
      <x:c r="V17" s="108"/>
    </x:row>
    <x:row r="18" spans="1:22" ht="20.100000000000001" customHeight="1">
      <x:c r="A18" s="12">
        <x:v>15</x:v>
      </x:c>
      <x:c r="B18" s="13"/>
      <x:c r="C18" s="62"/>
      <x:c r="D18" s="62"/>
      <x:c r="E18" s="62"/>
      <x:c r="F18" s="44">
        <x:f t="shared" si="8"/>
        <x:v>0</x:v>
      </x:c>
      <x:c r="G18" s="45">
        <x:f t="shared" si="9"/>
        <x:v>0</x:v>
      </x:c>
      <x:c r="H18" s="34" t="str">
        <x:f t="array" ref="H18:H18">IF(B18="","",IFERROR(INDEX('회원명단 및 기준에버'!D:G,MATCH(B18,'회원명단 및 기준에버'!$C:$C,0),CHOOSE(INT((MONTH($L$2)-1)/3)+1,1,2,3,4)),""))</x:f>
        <x:v/>
      </x:c>
      <x:c r="I18" s="38">
        <x:f t="shared" si="3"/>
        <x:v>0</x:v>
      </x:c>
      <x:c r="J18" s="38">
        <x:f t="shared" si="4"/>
        <x:v>0</x:v>
      </x:c>
      <x:c r="K18" s="38">
        <x:f t="shared" si="5"/>
        <x:v>0</x:v>
      </x:c>
      <x:c r="L18" s="63">
        <x:f t="shared" si="6"/>
        <x:v>0</x:v>
      </x:c>
      <x:c r="M18" s="39">
        <x:f t="shared" si="7"/>
        <x:v>0</x:v>
      </x:c>
      <x:c r="S18" s="107">
        <x:f t="shared" si="0"/>
        <x:v>0</x:v>
      </x:c>
      <x:c r="T18" s="97">
        <x:f t="shared" si="2"/>
        <x:v>-999999984</x:v>
      </x:c>
      <x:c r="U18" s="91" t="e">
        <x:f t="shared" si="1"/>
        <x:v>#VALUE!</x:v>
      </x:c>
      <x:c r="V18" s="108"/>
    </x:row>
    <x:row r="19" spans="1:22" ht="20.100000000000001" customHeight="1">
      <x:c r="A19" s="12">
        <x:v>16</x:v>
      </x:c>
      <x:c r="B19" s="13"/>
      <x:c r="C19" s="62"/>
      <x:c r="D19" s="62"/>
      <x:c r="E19" s="62"/>
      <x:c r="F19" s="44">
        <x:f t="shared" si="8"/>
        <x:v>0</x:v>
      </x:c>
      <x:c r="G19" s="45">
        <x:f t="shared" si="9"/>
        <x:v>0</x:v>
      </x:c>
      <x:c r="H19" s="34" t="str">
        <x:f t="array" ref="H19:H19">IF(B19="","",IFERROR(INDEX('회원명단 및 기준에버'!D:G,MATCH(B19,'회원명단 및 기준에버'!$C:$C,0),CHOOSE(INT((MONTH($L$2)-1)/3)+1,1,2,3,4)),""))</x:f>
        <x:v/>
      </x:c>
      <x:c r="I19" s="38">
        <x:f t="shared" si="3"/>
        <x:v>0</x:v>
      </x:c>
      <x:c r="J19" s="38">
        <x:f t="shared" si="4"/>
        <x:v>0</x:v>
      </x:c>
      <x:c r="K19" s="38">
        <x:f t="shared" si="5"/>
        <x:v>0</x:v>
      </x:c>
      <x:c r="L19" s="63">
        <x:f t="shared" si="6"/>
        <x:v>0</x:v>
      </x:c>
      <x:c r="M19" s="39">
        <x:f t="shared" si="7"/>
        <x:v>0</x:v>
      </x:c>
      <x:c r="S19" s="107">
        <x:f t="shared" si="0"/>
        <x:v>0</x:v>
      </x:c>
      <x:c r="T19" s="97">
        <x:f t="shared" si="2"/>
        <x:v>-999999983</x:v>
      </x:c>
      <x:c r="U19" s="91" t="e">
        <x:f t="shared" si="1"/>
        <x:v>#VALUE!</x:v>
      </x:c>
      <x:c r="V19" s="108"/>
    </x:row>
    <x:row r="20" spans="1:22" ht="20.100000000000001" customHeight="1">
      <x:c r="A20" s="12">
        <x:v>17</x:v>
      </x:c>
      <x:c r="B20" s="13"/>
      <x:c r="C20" s="62"/>
      <x:c r="D20" s="62"/>
      <x:c r="E20" s="62"/>
      <x:c r="F20" s="44">
        <x:f t="shared" si="8"/>
        <x:v>0</x:v>
      </x:c>
      <x:c r="G20" s="45">
        <x:f t="shared" si="9"/>
        <x:v>0</x:v>
      </x:c>
      <x:c r="H20" s="34" t="str">
        <x:f t="array" ref="H20:H20">IF(B20="","",IFERROR(INDEX('회원명단 및 기준에버'!D:G,MATCH(B20,'회원명단 및 기준에버'!$C:$C,0),CHOOSE(INT((MONTH($L$2)-1)/3)+1,1,2,3,4)),""))</x:f>
        <x:v/>
      </x:c>
      <x:c r="I20" s="38">
        <x:f t="shared" si="3"/>
        <x:v>0</x:v>
      </x:c>
      <x:c r="J20" s="38">
        <x:f t="shared" si="4"/>
        <x:v>0</x:v>
      </x:c>
      <x:c r="K20" s="38">
        <x:f t="shared" si="5"/>
        <x:v>0</x:v>
      </x:c>
      <x:c r="L20" s="63">
        <x:f t="shared" si="6"/>
        <x:v>0</x:v>
      </x:c>
      <x:c r="M20" s="39">
        <x:f t="shared" si="7"/>
        <x:v>0</x:v>
      </x:c>
      <x:c r="S20" s="107">
        <x:f t="shared" si="0"/>
        <x:v>0</x:v>
      </x:c>
      <x:c r="T20" s="97">
        <x:f t="shared" si="2"/>
        <x:v>-999999982</x:v>
      </x:c>
      <x:c r="U20" s="91" t="e">
        <x:f t="shared" si="1"/>
        <x:v>#VALUE!</x:v>
      </x:c>
      <x:c r="V20" s="108"/>
    </x:row>
    <x:row r="21" spans="1:22" ht="20.100000000000001" customHeight="1">
      <x:c r="A21" s="12">
        <x:v>18</x:v>
      </x:c>
      <x:c r="B21" s="13"/>
      <x:c r="C21" s="62"/>
      <x:c r="D21" s="62"/>
      <x:c r="E21" s="62"/>
      <x:c r="F21" s="44">
        <x:f t="shared" si="8"/>
        <x:v>0</x:v>
      </x:c>
      <x:c r="G21" s="45">
        <x:f t="shared" si="9"/>
        <x:v>0</x:v>
      </x:c>
      <x:c r="H21" s="34" t="str">
        <x:f t="array" ref="H21:H21">IF(B21="","",IFERROR(INDEX('회원명단 및 기준에버'!D:G,MATCH(B21,'회원명단 및 기준에버'!$C:$C,0),CHOOSE(INT((MONTH($L$2)-1)/3)+1,1,2,3,4)),""))</x:f>
        <x:v/>
      </x:c>
      <x:c r="I21" s="38">
        <x:f t="shared" si="3"/>
        <x:v>0</x:v>
      </x:c>
      <x:c r="J21" s="38">
        <x:f t="shared" si="4"/>
        <x:v>0</x:v>
      </x:c>
      <x:c r="K21" s="38">
        <x:f t="shared" si="5"/>
        <x:v>0</x:v>
      </x:c>
      <x:c r="L21" s="63">
        <x:f t="shared" si="6"/>
        <x:v>0</x:v>
      </x:c>
      <x:c r="M21" s="39">
        <x:f t="shared" si="7"/>
        <x:v>0</x:v>
      </x:c>
      <x:c r="S21" s="107">
        <x:f t="shared" si="0"/>
        <x:v>0</x:v>
      </x:c>
      <x:c r="T21" s="97">
        <x:f t="shared" si="2"/>
        <x:v>-999999981</x:v>
      </x:c>
      <x:c r="U21" s="91" t="e">
        <x:f t="shared" si="1"/>
        <x:v>#VALUE!</x:v>
      </x:c>
      <x:c r="V21" s="108"/>
    </x:row>
    <x:row r="22" spans="1:22" ht="20.100000000000001" customHeight="1">
      <x:c r="A22" s="12">
        <x:v>19</x:v>
      </x:c>
      <x:c r="B22" s="13"/>
      <x:c r="C22" s="62"/>
      <x:c r="D22" s="62"/>
      <x:c r="E22" s="62"/>
      <x:c r="F22" s="44">
        <x:f t="shared" si="8"/>
        <x:v>0</x:v>
      </x:c>
      <x:c r="G22" s="45">
        <x:f t="shared" si="9"/>
        <x:v>0</x:v>
      </x:c>
      <x:c r="H22" s="34" t="str">
        <x:f t="array" ref="H22:H22">IF(B22="","",IFERROR(INDEX('회원명단 및 기준에버'!D:G,MATCH(B22,'회원명단 및 기준에버'!$C:$C,0),CHOOSE(INT((MONTH($L$2)-1)/3)+1,1,2,3,4)),""))</x:f>
        <x:v/>
      </x:c>
      <x:c r="I22" s="38">
        <x:f t="shared" si="3"/>
        <x:v>0</x:v>
      </x:c>
      <x:c r="J22" s="38">
        <x:f t="shared" si="4"/>
        <x:v>0</x:v>
      </x:c>
      <x:c r="K22" s="38">
        <x:f t="shared" si="5"/>
        <x:v>0</x:v>
      </x:c>
      <x:c r="L22" s="63">
        <x:f t="shared" si="6"/>
        <x:v>0</x:v>
      </x:c>
      <x:c r="M22" s="39">
        <x:f t="shared" si="7"/>
        <x:v>0</x:v>
      </x:c>
      <x:c r="S22" s="107">
        <x:f t="shared" si="0"/>
        <x:v>0</x:v>
      </x:c>
      <x:c r="T22" s="97">
        <x:f t="shared" si="2"/>
        <x:v>-999999980</x:v>
      </x:c>
      <x:c r="U22" s="91" t="e">
        <x:f t="shared" si="1"/>
        <x:v>#VALUE!</x:v>
      </x:c>
      <x:c r="V22" s="108"/>
    </x:row>
    <x:row r="23" spans="1:22" ht="20.100000000000001" customHeight="1">
      <x:c r="A23" s="12">
        <x:v>20</x:v>
      </x:c>
      <x:c r="B23" s="13"/>
      <x:c r="C23" s="62"/>
      <x:c r="D23" s="62"/>
      <x:c r="E23" s="62"/>
      <x:c r="F23" s="44">
        <x:f t="shared" si="8"/>
        <x:v>0</x:v>
      </x:c>
      <x:c r="G23" s="45">
        <x:f t="shared" si="9"/>
        <x:v>0</x:v>
      </x:c>
      <x:c r="H23" s="34" t="str">
        <x:f t="array" ref="H23:H23">IF(B23="","",IFERROR(INDEX('회원명단 및 기준에버'!D:G,MATCH(B23,'회원명단 및 기준에버'!$C:$C,0),CHOOSE(INT((MONTH($L$2)-1)/3)+1,1,2,3,4)),""))</x:f>
        <x:v/>
      </x:c>
      <x:c r="I23" s="38">
        <x:f t="shared" si="3"/>
        <x:v>0</x:v>
      </x:c>
      <x:c r="J23" s="38">
        <x:f t="shared" si="4"/>
        <x:v>0</x:v>
      </x:c>
      <x:c r="K23" s="38">
        <x:f t="shared" si="5"/>
        <x:v>0</x:v>
      </x:c>
      <x:c r="L23" s="63">
        <x:f t="shared" si="6"/>
        <x:v>0</x:v>
      </x:c>
      <x:c r="M23" s="39">
        <x:f t="shared" si="7"/>
        <x:v>0</x:v>
      </x:c>
      <x:c r="S23" s="107">
        <x:f t="shared" si="0"/>
        <x:v>0</x:v>
      </x:c>
      <x:c r="T23" s="97">
        <x:f t="shared" si="2"/>
        <x:v>-999999979</x:v>
      </x:c>
      <x:c r="U23" s="91" t="e">
        <x:f t="shared" si="1"/>
        <x:v>#VALUE!</x:v>
      </x:c>
      <x:c r="V23" s="108"/>
    </x:row>
    <x:row r="24" spans="1:22" ht="20.100000000000001" customHeight="1">
      <x:c r="A24" s="12">
        <x:v>21</x:v>
      </x:c>
      <x:c r="B24" s="13"/>
      <x:c r="C24" s="62"/>
      <x:c r="D24" s="62"/>
      <x:c r="E24" s="62"/>
      <x:c r="F24" s="44">
        <x:f t="shared" si="8"/>
        <x:v>0</x:v>
      </x:c>
      <x:c r="G24" s="45">
        <x:f t="shared" si="9"/>
        <x:v>0</x:v>
      </x:c>
      <x:c r="H24" s="34" t="str">
        <x:f t="array" ref="H24:H24">IF(B24="","",IFERROR(INDEX('회원명단 및 기준에버'!D:G,MATCH(B24,'회원명단 및 기준에버'!$C:$C,0),CHOOSE(INT((MONTH($L$2)-1)/3)+1,1,2,3,4)),""))</x:f>
        <x:v/>
      </x:c>
      <x:c r="I24" s="38">
        <x:f t="shared" si="3"/>
        <x:v>0</x:v>
      </x:c>
      <x:c r="J24" s="38">
        <x:f t="shared" si="4"/>
        <x:v>0</x:v>
      </x:c>
      <x:c r="K24" s="38">
        <x:f t="shared" si="5"/>
        <x:v>0</x:v>
      </x:c>
      <x:c r="L24" s="63">
        <x:f t="shared" si="6"/>
        <x:v>0</x:v>
      </x:c>
      <x:c r="M24" s="39">
        <x:f t="shared" si="7"/>
        <x:v>0</x:v>
      </x:c>
      <x:c r="S24" s="107">
        <x:f t="shared" si="0"/>
        <x:v>0</x:v>
      </x:c>
      <x:c r="T24" s="97">
        <x:f t="shared" si="2"/>
        <x:v>-999999978</x:v>
      </x:c>
      <x:c r="U24" s="91" t="e">
        <x:f t="shared" si="1"/>
        <x:v>#VALUE!</x:v>
      </x:c>
      <x:c r="V24" s="108"/>
    </x:row>
    <x:row r="25" spans="1:22" ht="20.100000000000001" customHeight="1">
      <x:c r="A25" s="12">
        <x:v>22</x:v>
      </x:c>
      <x:c r="B25" s="13"/>
      <x:c r="C25" s="62"/>
      <x:c r="D25" s="62"/>
      <x:c r="E25" s="62"/>
      <x:c r="F25" s="44">
        <x:f t="shared" si="8"/>
        <x:v>0</x:v>
      </x:c>
      <x:c r="G25" s="45">
        <x:f t="shared" si="9"/>
        <x:v>0</x:v>
      </x:c>
      <x:c r="H25" s="34" t="str">
        <x:f t="array" ref="H25:H25">IF(B25="","",IFERROR(INDEX('회원명단 및 기준에버'!D:G,MATCH(B25,'회원명단 및 기준에버'!$C:$C,0),CHOOSE(INT((MONTH($L$2)-1)/3)+1,1,2,3,4)),""))</x:f>
        <x:v/>
      </x:c>
      <x:c r="I25" s="38">
        <x:f t="shared" si="3"/>
        <x:v>0</x:v>
      </x:c>
      <x:c r="J25" s="38">
        <x:f t="shared" si="4"/>
        <x:v>0</x:v>
      </x:c>
      <x:c r="K25" s="38">
        <x:f t="shared" si="5"/>
        <x:v>0</x:v>
      </x:c>
      <x:c r="L25" s="63">
        <x:f t="shared" si="6"/>
        <x:v>0</x:v>
      </x:c>
      <x:c r="M25" s="39">
        <x:f t="shared" si="7"/>
        <x:v>0</x:v>
      </x:c>
      <x:c r="S25" s="107">
        <x:f t="shared" si="0"/>
        <x:v>0</x:v>
      </x:c>
      <x:c r="T25" s="97">
        <x:f t="shared" si="2"/>
        <x:v>-999999977</x:v>
      </x:c>
      <x:c r="U25" s="91" t="e">
        <x:f t="shared" si="1"/>
        <x:v>#VALUE!</x:v>
      </x:c>
      <x:c r="V25" s="108"/>
    </x:row>
    <x:row r="26" spans="1:22" ht="20.100000000000001" customHeight="1">
      <x:c r="A26" s="12">
        <x:v>23</x:v>
      </x:c>
      <x:c r="B26" s="13"/>
      <x:c r="C26" s="62"/>
      <x:c r="D26" s="62"/>
      <x:c r="E26" s="62"/>
      <x:c r="F26" s="44">
        <x:f t="shared" si="8"/>
        <x:v>0</x:v>
      </x:c>
      <x:c r="G26" s="45">
        <x:f t="shared" si="9"/>
        <x:v>0</x:v>
      </x:c>
      <x:c r="H26" s="34" t="str">
        <x:f t="array" ref="H26:H26">IF(B26="","",IFERROR(INDEX('회원명단 및 기준에버'!D:G,MATCH(B26,'회원명단 및 기준에버'!$C:$C,0),CHOOSE(INT((MONTH($L$2)-1)/3)+1,1,2,3,4)),""))</x:f>
        <x:v/>
      </x:c>
      <x:c r="I26" s="38">
        <x:f t="shared" si="3"/>
        <x:v>0</x:v>
      </x:c>
      <x:c r="J26" s="38">
        <x:f t="shared" si="4"/>
        <x:v>0</x:v>
      </x:c>
      <x:c r="K26" s="38">
        <x:f t="shared" si="5"/>
        <x:v>0</x:v>
      </x:c>
      <x:c r="L26" s="63">
        <x:f t="shared" si="6"/>
        <x:v>0</x:v>
      </x:c>
      <x:c r="M26" s="39">
        <x:f t="shared" si="7"/>
        <x:v>0</x:v>
      </x:c>
      <x:c r="S26" s="107">
        <x:f t="shared" si="0"/>
        <x:v>0</x:v>
      </x:c>
      <x:c r="T26" s="97">
        <x:f t="shared" si="2"/>
        <x:v>-999999976</x:v>
      </x:c>
      <x:c r="U26" s="91" t="e">
        <x:f t="shared" si="1"/>
        <x:v>#VALUE!</x:v>
      </x:c>
      <x:c r="V26" s="108"/>
    </x:row>
    <x:row r="27" spans="1:22" ht="20.100000000000001" customHeight="1">
      <x:c r="A27" s="12">
        <x:v>24</x:v>
      </x:c>
      <x:c r="B27" s="13"/>
      <x:c r="C27" s="62"/>
      <x:c r="D27" s="62"/>
      <x:c r="E27" s="62"/>
      <x:c r="F27" s="44">
        <x:f t="shared" si="8"/>
        <x:v>0</x:v>
      </x:c>
      <x:c r="G27" s="45">
        <x:f t="shared" si="9"/>
        <x:v>0</x:v>
      </x:c>
      <x:c r="H27" s="34" t="str">
        <x:f t="array" ref="H27:H27">IF(B27="","",IFERROR(INDEX('회원명단 및 기준에버'!D:G,MATCH(B27,'회원명단 및 기준에버'!$C:$C,0),CHOOSE(INT((MONTH($L$2)-1)/3)+1,1,2,3,4)),""))</x:f>
        <x:v/>
      </x:c>
      <x:c r="I27" s="38">
        <x:f t="shared" si="3"/>
        <x:v>0</x:v>
      </x:c>
      <x:c r="J27" s="38">
        <x:f t="shared" si="4"/>
        <x:v>0</x:v>
      </x:c>
      <x:c r="K27" s="38">
        <x:f t="shared" si="5"/>
        <x:v>0</x:v>
      </x:c>
      <x:c r="L27" s="63">
        <x:f t="shared" si="6"/>
        <x:v>0</x:v>
      </x:c>
      <x:c r="M27" s="39">
        <x:f t="shared" si="7"/>
        <x:v>0</x:v>
      </x:c>
      <x:c r="S27" s="107">
        <x:f t="shared" si="0"/>
        <x:v>0</x:v>
      </x:c>
      <x:c r="T27" s="97">
        <x:f t="shared" si="2"/>
        <x:v>-999999975</x:v>
      </x:c>
      <x:c r="U27" s="91" t="e">
        <x:f t="shared" si="1"/>
        <x:v>#VALUE!</x:v>
      </x:c>
      <x:c r="V27" s="108"/>
    </x:row>
    <x:row r="28" spans="1:22" ht="20.100000000000001" customHeight="1">
      <x:c r="A28" s="12">
        <x:v>25</x:v>
      </x:c>
      <x:c r="B28" s="13"/>
      <x:c r="C28" s="43"/>
      <x:c r="D28" s="43"/>
      <x:c r="E28" s="43"/>
      <x:c r="F28" s="44">
        <x:f t="shared" si="8"/>
        <x:v>0</x:v>
      </x:c>
      <x:c r="G28" s="45">
        <x:f t="shared" si="9"/>
        <x:v>0</x:v>
      </x:c>
      <x:c r="H28" s="34" t="str">
        <x:f t="array" ref="H28:H28">IF(B28="","",IFERROR(INDEX('회원명단 및 기준에버'!D:G,MATCH(B28,'회원명단 및 기준에버'!$C:$C,0),CHOOSE(INT((MONTH($L$2)-1)/3)+1,1,2,3,4)),""))</x:f>
        <x:v/>
      </x:c>
      <x:c r="I28" s="38">
        <x:f t="shared" si="3"/>
        <x:v>0</x:v>
      </x:c>
      <x:c r="J28" s="38">
        <x:f t="shared" si="4"/>
        <x:v>0</x:v>
      </x:c>
      <x:c r="K28" s="38">
        <x:f t="shared" si="5"/>
        <x:v>0</x:v>
      </x:c>
      <x:c r="L28" s="63">
        <x:f t="shared" si="6"/>
        <x:v>0</x:v>
      </x:c>
      <x:c r="M28" s="39">
        <x:f t="shared" si="7"/>
        <x:v>0</x:v>
      </x:c>
      <x:c r="S28" s="107"/>
      <x:c r="T28" s="97">
        <x:f t="shared" si="2"/>
        <x:v>-999999974</x:v>
      </x:c>
      <x:c r="U28" s="91"/>
      <x:c r="V28" s="108"/>
    </x:row>
    <x:row r="29" spans="2:22" s="18" customFormat="1" ht="20.100000000000001" customHeight="1">
      <x:c r="B29" s="168" t="s">
        <x:v>63</x:v>
      </x:c>
      <x:c r="C29" s="169"/>
      <x:c r="D29" s="169"/>
      <x:c r="E29" s="169"/>
      <x:c r="F29" s="169"/>
      <x:c r="G29" s="169"/>
      <x:c r="H29" s="169"/>
      <x:c r="I29" s="169"/>
      <x:c r="J29" s="169"/>
      <x:c r="K29" s="169"/>
      <x:c r="L29" s="169"/>
      <x:c r="M29" s="170"/>
      <x:c r="O29" s="88"/>
      <x:c r="P29" s="87"/>
      <x:c r="Q29" s="87"/>
      <x:c r="R29" s="87"/>
      <x:c r="S29" s="107"/>
      <x:c r="T29" s="97">
        <x:f t="shared" si="2"/>
        <x:v>0</x:v>
      </x:c>
      <x:c r="U29" s="91"/>
      <x:c r="V29" s="108"/>
    </x:row>
    <x:row r="30" spans="2:22" s="18" customFormat="1" ht="20.100000000000001" customHeight="1">
      <x:c r="B30" s="171" t="s">
        <x:v>68</x:v>
      </x:c>
      <x:c r="C30" s="172"/>
      <x:c r="D30" s="172"/>
      <x:c r="E30" s="173"/>
      <x:c r="F30" s="174" t="s">
        <x:v>28</x:v>
      </x:c>
      <x:c r="G30" s="176" t="s">
        <x:v>14</x:v>
      </x:c>
      <x:c r="H30" s="177"/>
      <x:c r="I30" s="178"/>
      <x:c r="J30" s="179" t="s">
        <x:v>64</x:v>
      </x:c>
      <x:c r="K30" s="180"/>
      <x:c r="L30" s="180"/>
      <x:c r="M30" s="181"/>
      <x:c r="O30" s="88"/>
      <x:c r="P30" s="87"/>
      <x:c r="Q30" s="87"/>
      <x:c r="R30" s="87"/>
      <x:c r="S30" s="107"/>
      <x:c r="T30" s="97" t="e">
        <x:f t="shared" si="2"/>
        <x:v>#VALUE!</x:v>
      </x:c>
      <x:c r="U30" s="91"/>
      <x:c r="V30" s="108"/>
    </x:row>
    <x:row r="31" spans="2:22" s="18" customFormat="1" ht="20.100000000000001" customHeight="1">
      <x:c r="B31" s="54"/>
      <x:c r="C31" s="24"/>
      <x:c r="D31" s="55"/>
      <x:c r="E31" s="56"/>
      <x:c r="F31" s="175"/>
      <x:c r="G31" s="182" t="s">
        <x:v>62</x:v>
      </x:c>
      <x:c r="H31" s="183"/>
      <x:c r="I31" s="184"/>
      <x:c r="J31" s="26"/>
      <x:c r="K31" s="27"/>
      <x:c r="L31" s="27"/>
      <x:c r="M31" s="28"/>
      <x:c r="O31" s="88"/>
      <x:c r="P31" s="87"/>
      <x:c r="Q31" s="87"/>
      <x:c r="R31" s="87"/>
      <x:c r="S31" s="107"/>
      <x:c r="T31" s="97">
        <x:f t="shared" si="2"/>
        <x:v>-999999999</x:v>
      </x:c>
      <x:c r="U31" s="91"/>
      <x:c r="V31" s="108"/>
    </x:row>
    <x:row r="32" spans="2:22" s="18" customFormat="1" ht="20.100000000000001" customHeight="1">
      <x:c r="B32" s="155" t="s">
        <x:v>29</x:v>
      </x:c>
      <x:c r="C32" s="156"/>
      <x:c r="D32" s="156"/>
      <x:c r="E32" s="156"/>
      <x:c r="F32" s="156"/>
      <x:c r="G32" s="156"/>
      <x:c r="H32" s="157"/>
      <x:c r="I32" s="158" t="s">
        <x:v>66</x:v>
      </x:c>
      <x:c r="J32" s="159"/>
      <x:c r="K32" s="160" t="s">
        <x:v>67</x:v>
      </x:c>
      <x:c r="L32" s="161"/>
      <x:c r="M32" s="162"/>
      <x:c r="O32" s="88"/>
      <x:c r="P32" s="87"/>
      <x:c r="Q32" s="87"/>
      <x:c r="R32" s="87"/>
      <x:c r="S32" s="107"/>
      <x:c r="T32" s="97">
        <x:f t="shared" si="2"/>
        <x:v>0</x:v>
      </x:c>
      <x:c r="U32" s="91"/>
      <x:c r="V32" s="108"/>
    </x:row>
    <x:row r="33" spans="2:22" s="18" customFormat="1" ht="20.100000000000001" customHeight="1">
      <x:c r="B33" s="21"/>
      <x:c r="C33" s="64"/>
      <x:c r="D33" s="32"/>
      <x:c r="E33" s="67"/>
      <x:c r="F33" s="30"/>
      <x:c r="G33" s="70"/>
      <x:c r="H33" s="157"/>
      <x:c r="I33" s="23"/>
      <x:c r="J33" s="50"/>
      <x:c r="K33" s="57"/>
      <x:c r="L33" s="58"/>
      <x:c r="M33" s="59"/>
      <x:c r="O33" s="88"/>
      <x:c r="P33" s="87"/>
      <x:c r="Q33" s="87"/>
      <x:c r="R33" s="87"/>
      <x:c r="S33" s="109"/>
      <x:c r="T33" s="103">
        <x:f t="shared" si="2"/>
        <x:v>-999999999</x:v>
      </x:c>
      <x:c r="U33" s="110"/>
      <x:c r="V33" s="111"/>
    </x:row>
    <x:row r="34" spans="2:17" s="18" customFormat="1" ht="20.100000000000001" customHeight="1">
      <x:c r="B34" s="46"/>
      <x:c r="C34" s="65"/>
      <x:c r="D34" s="47"/>
      <x:c r="E34" s="68"/>
      <x:c r="F34" s="48"/>
      <x:c r="G34" s="71"/>
      <x:c r="H34" s="157"/>
      <x:c r="I34" s="49"/>
      <x:c r="J34" s="51"/>
      <x:c r="K34" s="57"/>
      <x:c r="L34" s="58"/>
      <x:c r="M34" s="59"/>
      <x:c r="O34" s="85"/>
      <x:c r="P34" s="86"/>
      <x:c r="Q34" s="86"/>
    </x:row>
    <x:row r="35" spans="2:13" s="18" customFormat="1" ht="20.100000000000001" customHeight="1">
      <x:c r="B35" s="29"/>
      <x:c r="C35" s="66"/>
      <x:c r="D35" s="33"/>
      <x:c r="E35" s="69"/>
      <x:c r="F35" s="31"/>
      <x:c r="G35" s="72"/>
      <x:c r="H35" s="157"/>
      <x:c r="I35" s="24"/>
      <x:c r="J35" s="52"/>
      <x:c r="K35" s="60"/>
      <x:c r="L35" s="53"/>
      <x:c r="M35" s="61"/>
    </x:row>
    <x:row r="36" spans="1:13" s="18" customFormat="1" ht="23.100000000000001" customHeight="1">
      <x:c r="A36" s="17"/>
      <x:c r="B36" s="163" t="s">
        <x:v>51</x:v>
      </x:c>
      <x:c r="C36" s="164"/>
      <x:c r="D36" s="164"/>
      <x:c r="E36" s="164"/>
      <x:c r="F36" s="164"/>
      <x:c r="G36" s="164"/>
      <x:c r="H36" s="164"/>
      <x:c r="I36" s="164"/>
      <x:c r="J36" s="164"/>
      <x:c r="K36" s="164"/>
      <x:c r="L36" s="164"/>
      <x:c r="M36" s="165"/>
    </x:row>
    <x:row r="37" spans="2:13" s="18" customFormat="1" ht="18" customHeight="1">
      <x:c r="B37" s="20">
        <x:f>$B4</x:f>
        <x:v>0</x:v>
      </x:c>
      <x:c r="C37" s="95">
        <x:f>IF($T$2=0,$C4,$I4)</x:f>
        <x:v>0</x:v>
      </x:c>
      <x:c r="D37" s="95">
        <x:f>IF($T$2=0,$D4,$J4)</x:f>
        <x:v>0</x:v>
      </x:c>
      <x:c r="E37" s="95">
        <x:f>IF($T$2=0,$E4,$K4)</x:f>
        <x:v>0</x:v>
      </x:c>
      <x:c r="F37" s="141">
        <x:f>E41+D41+C41</x:f>
        <x:v>0</x:v>
      </x:c>
      <x:c r="G37" s="144"/>
      <x:c r="H37" s="94">
        <x:f>$B8</x:f>
        <x:v>0</x:v>
      </x:c>
      <x:c r="I37" s="95">
        <x:f>IF($T$2=0,$C8,$I8)</x:f>
        <x:v>0</x:v>
      </x:c>
      <x:c r="J37" s="95">
        <x:f>IF($T$2=0,$D8,$J8)</x:f>
        <x:v>0</x:v>
      </x:c>
      <x:c r="K37" s="95">
        <x:f>IF($T$2=0,$E8,$K8)</x:f>
        <x:v>0</x:v>
      </x:c>
      <x:c r="L37" s="149">
        <x:f>K41+J41+I41</x:f>
        <x:v>0</x:v>
      </x:c>
      <x:c r="M37" s="152"/>
    </x:row>
    <x:row r="38" spans="2:13" s="18" customFormat="1" ht="18" customHeight="1">
      <x:c r="B38" s="12">
        <x:f>$B5</x:f>
        <x:v>0</x:v>
      </x:c>
      <x:c r="C38" s="38">
        <x:f>IF($T$2=0,$C5,$I5)</x:f>
        <x:v>0</x:v>
      </x:c>
      <x:c r="D38" s="38">
        <x:f>IF($T$2=0,$D5,$J5)</x:f>
        <x:v>0</x:v>
      </x:c>
      <x:c r="E38" s="38">
        <x:f>IF($T$2=0,$E5,$K5)</x:f>
        <x:v>0</x:v>
      </x:c>
      <x:c r="F38" s="142"/>
      <x:c r="G38" s="145"/>
      <x:c r="H38" s="12">
        <x:f>$B9</x:f>
        <x:v>0</x:v>
      </x:c>
      <x:c r="I38" s="38">
        <x:f>IF($T$2=0,$C9,$I9)</x:f>
        <x:v>0</x:v>
      </x:c>
      <x:c r="J38" s="38">
        <x:f>IF($T$2=0,$D9,$J9)</x:f>
        <x:v>0</x:v>
      </x:c>
      <x:c r="K38" s="38">
        <x:f>IF($T$2=0,$E9,$K9)</x:f>
        <x:v>0</x:v>
      </x:c>
      <x:c r="L38" s="150"/>
      <x:c r="M38" s="153"/>
    </x:row>
    <x:row r="39" spans="2:13" s="18" customFormat="1" ht="18" customHeight="1">
      <x:c r="B39" s="12">
        <x:f t="shared" ref="B39:B40" si="10">$B6</x:f>
        <x:v>0</x:v>
      </x:c>
      <x:c r="C39" s="38">
        <x:f>IF($T$2=0,$C6,$I6)</x:f>
        <x:v>0</x:v>
      </x:c>
      <x:c r="D39" s="38">
        <x:f>IF($T$2=0,$D6,$J6)</x:f>
        <x:v>0</x:v>
      </x:c>
      <x:c r="E39" s="38">
        <x:f>IF($T$2=0,$E6,$K6)</x:f>
        <x:v>0</x:v>
      </x:c>
      <x:c r="F39" s="142"/>
      <x:c r="G39" s="145"/>
      <x:c r="H39" s="12">
        <x:f t="shared" ref="H39:H40" si="11">$B10</x:f>
        <x:v>0</x:v>
      </x:c>
      <x:c r="I39" s="38">
        <x:f>IF($T$2=0,$C10,$I10)</x:f>
        <x:v>0</x:v>
      </x:c>
      <x:c r="J39" s="38">
        <x:f>IF($T$2=0,$D10,$J10)</x:f>
        <x:v>0</x:v>
      </x:c>
      <x:c r="K39" s="38">
        <x:f>IF($T$2=0,$E10,$K10)</x:f>
        <x:v>0</x:v>
      </x:c>
      <x:c r="L39" s="150"/>
      <x:c r="M39" s="153"/>
    </x:row>
    <x:row r="40" spans="2:13" s="18" customFormat="1" ht="18" customHeight="1">
      <x:c r="B40" s="12">
        <x:f t="shared" si="10"/>
        <x:v>0</x:v>
      </x:c>
      <x:c r="C40" s="38">
        <x:f>IF($T$2=0,$C7,$I7)</x:f>
        <x:v>0</x:v>
      </x:c>
      <x:c r="D40" s="38">
        <x:f>IF($T$2=0,$D7,$J7)</x:f>
        <x:v>0</x:v>
      </x:c>
      <x:c r="E40" s="38">
        <x:f>IF($T$2=0,$E7,$K7)</x:f>
        <x:v>0</x:v>
      </x:c>
      <x:c r="F40" s="142"/>
      <x:c r="G40" s="145"/>
      <x:c r="H40" s="12">
        <x:f t="shared" si="11"/>
        <x:v>0</x:v>
      </x:c>
      <x:c r="I40" s="38">
        <x:f>IF($T$2=0,$C11,$I11)</x:f>
        <x:v>0</x:v>
      </x:c>
      <x:c r="J40" s="38">
        <x:f>IF($T$2=0,$D11,$J11)</x:f>
        <x:v>0</x:v>
      </x:c>
      <x:c r="K40" s="38">
        <x:f>IF($T$2=0,$E11,$K11)</x:f>
        <x:v>0</x:v>
      </x:c>
      <x:c r="L40" s="150"/>
      <x:c r="M40" s="153"/>
    </x:row>
    <x:row r="41" spans="2:13" s="18" customFormat="1" ht="18" customHeight="1">
      <x:c r="B41" s="37"/>
      <x:c r="C41" s="42">
        <x:f>SUM(C37:C40)</x:f>
        <x:v>0</x:v>
      </x:c>
      <x:c r="D41" s="42">
        <x:f>SUM(D37:D40)</x:f>
        <x:v>0</x:v>
      </x:c>
      <x:c r="E41" s="42">
        <x:f>SUM(E37:E40)</x:f>
        <x:v>0</x:v>
      </x:c>
      <x:c r="F41" s="143"/>
      <x:c r="G41" s="146"/>
      <x:c r="H41" s="37"/>
      <x:c r="I41" s="42">
        <x:f>SUM(I37:I40)</x:f>
        <x:v>0</x:v>
      </x:c>
      <x:c r="J41" s="42">
        <x:f>SUM(J37:J40)</x:f>
        <x:v>0</x:v>
      </x:c>
      <x:c r="K41" s="42">
        <x:f>SUM(K37:K40)</x:f>
        <x:v>0</x:v>
      </x:c>
      <x:c r="L41" s="151"/>
      <x:c r="M41" s="154"/>
    </x:row>
    <x:row r="42" s="18" customFormat="1" ht="11.1" customHeight="1"/>
    <x:row r="43" spans="2:13" s="18" customFormat="1" ht="18" customHeight="1">
      <x:c r="B43" s="20">
        <x:f>$B12</x:f>
        <x:v>0</x:v>
      </x:c>
      <x:c r="C43" s="95">
        <x:f>IF($T$2=0,$C12,$I12)</x:f>
        <x:v>0</x:v>
      </x:c>
      <x:c r="D43" s="95">
        <x:f>IF($T$2=0,$D12,$J12)</x:f>
        <x:v>0</x:v>
      </x:c>
      <x:c r="E43" s="95">
        <x:f>IF($T$2=0,$E12,$K12)</x:f>
        <x:v>0</x:v>
      </x:c>
      <x:c r="F43" s="141">
        <x:f>E47+D47+C47</x:f>
        <x:v>0</x:v>
      </x:c>
      <x:c r="G43" s="144"/>
      <x:c r="H43" s="94">
        <x:f>$B16</x:f>
        <x:v>0</x:v>
      </x:c>
      <x:c r="I43" s="95">
        <x:f>IF($T$2=0,$C16,$I16)</x:f>
        <x:v>0</x:v>
      </x:c>
      <x:c r="J43" s="95">
        <x:f>IF($T$2=0,$D16,$J16)</x:f>
        <x:v>0</x:v>
      </x:c>
      <x:c r="K43" s="95">
        <x:f>IF($T$2=0,$E16,$K16)</x:f>
        <x:v>0</x:v>
      </x:c>
      <x:c r="L43" s="149">
        <x:f>K47+J47+I47</x:f>
        <x:v>0</x:v>
      </x:c>
      <x:c r="M43" s="152"/>
    </x:row>
    <x:row r="44" spans="2:13" s="17" customFormat="1" ht="18" customHeight="1">
      <x:c r="B44" s="12">
        <x:f>$B13</x:f>
        <x:v>0</x:v>
      </x:c>
      <x:c r="C44" s="38">
        <x:f>IF($T$2=0,$C13,$I13)</x:f>
        <x:v>0</x:v>
      </x:c>
      <x:c r="D44" s="38">
        <x:f>IF($T$2=0,$D13,$J13)</x:f>
        <x:v>0</x:v>
      </x:c>
      <x:c r="E44" s="38">
        <x:f>IF($T$2=0,$E13,$K13)</x:f>
        <x:v>0</x:v>
      </x:c>
      <x:c r="F44" s="142"/>
      <x:c r="G44" s="145"/>
      <x:c r="H44" s="12">
        <x:f>$B17</x:f>
        <x:v>0</x:v>
      </x:c>
      <x:c r="I44" s="38">
        <x:f>IF($T$2=0,$C17,$I17)</x:f>
        <x:v>0</x:v>
      </x:c>
      <x:c r="J44" s="38">
        <x:f>IF($T$2=0,$D17,$J17)</x:f>
        <x:v>0</x:v>
      </x:c>
      <x:c r="K44" s="38">
        <x:f>IF($T$2=0,$E17,$K17)</x:f>
        <x:v>0</x:v>
      </x:c>
      <x:c r="L44" s="150"/>
      <x:c r="M44" s="153"/>
    </x:row>
    <x:row r="45" spans="2:13" s="17" customFormat="1" ht="18" customHeight="1">
      <x:c r="B45" s="12">
        <x:f t="shared" ref="B45:B46" si="12">$B14</x:f>
        <x:v>0</x:v>
      </x:c>
      <x:c r="C45" s="38">
        <x:f>IF($T$2=0,$C14,$I14)</x:f>
        <x:v>0</x:v>
      </x:c>
      <x:c r="D45" s="38">
        <x:f>IF($T$2=0,$D14,$J14)</x:f>
        <x:v>0</x:v>
      </x:c>
      <x:c r="E45" s="38">
        <x:f>IF($T$2=0,$E14,$K14)</x:f>
        <x:v>0</x:v>
      </x:c>
      <x:c r="F45" s="142"/>
      <x:c r="G45" s="145"/>
      <x:c r="H45" s="12">
        <x:f t="shared" ref="H45:H46" si="13">$B18</x:f>
        <x:v>0</x:v>
      </x:c>
      <x:c r="I45" s="38">
        <x:f>IF($T$2=0,$C18,$I18)</x:f>
        <x:v>0</x:v>
      </x:c>
      <x:c r="J45" s="38">
        <x:f>IF($T$2=0,$D18,$J18)</x:f>
        <x:v>0</x:v>
      </x:c>
      <x:c r="K45" s="38">
        <x:f>IF($T$2=0,$E18,$K18)</x:f>
        <x:v>0</x:v>
      </x:c>
      <x:c r="L45" s="150"/>
      <x:c r="M45" s="153"/>
    </x:row>
    <x:row r="46" spans="2:13" s="17" customFormat="1" ht="18" customHeight="1">
      <x:c r="B46" s="12">
        <x:f t="shared" si="12"/>
        <x:v>0</x:v>
      </x:c>
      <x:c r="C46" s="38">
        <x:f>IF($T$2=0,$C15,$I15)</x:f>
        <x:v>0</x:v>
      </x:c>
      <x:c r="D46" s="38">
        <x:f>IF($T$2=0,$D15,$J15)</x:f>
        <x:v>0</x:v>
      </x:c>
      <x:c r="E46" s="38">
        <x:f>IF($T$2=0,$E15,$K15)</x:f>
        <x:v>0</x:v>
      </x:c>
      <x:c r="F46" s="142"/>
      <x:c r="G46" s="145"/>
      <x:c r="H46" s="12">
        <x:f t="shared" si="13"/>
        <x:v>0</x:v>
      </x:c>
      <x:c r="I46" s="38">
        <x:f>IF($T$2=0,$C19,$I19)</x:f>
        <x:v>0</x:v>
      </x:c>
      <x:c r="J46" s="38">
        <x:f>IF($T$2=0,$D19,$J19)</x:f>
        <x:v>0</x:v>
      </x:c>
      <x:c r="K46" s="38">
        <x:f>IF($T$2=0,$E19,$K19)</x:f>
        <x:v>0</x:v>
      </x:c>
      <x:c r="L46" s="150"/>
      <x:c r="M46" s="153"/>
    </x:row>
    <x:row r="47" spans="2:13" s="17" customFormat="1" ht="18" customHeight="1">
      <x:c r="B47" s="37"/>
      <x:c r="C47" s="42">
        <x:f>SUM(C43:C46)</x:f>
        <x:v>0</x:v>
      </x:c>
      <x:c r="D47" s="42">
        <x:f>SUM(D43:D46)</x:f>
        <x:v>0</x:v>
      </x:c>
      <x:c r="E47" s="42">
        <x:f>SUM(E43:E46)</x:f>
        <x:v>0</x:v>
      </x:c>
      <x:c r="F47" s="143"/>
      <x:c r="G47" s="146"/>
      <x:c r="H47" s="37"/>
      <x:c r="I47" s="42">
        <x:f>SUM(I43:I46)</x:f>
        <x:v>0</x:v>
      </x:c>
      <x:c r="J47" s="42">
        <x:f>SUM(J43:J46)</x:f>
        <x:v>0</x:v>
      </x:c>
      <x:c r="K47" s="42">
        <x:f>SUM(K43:K46)</x:f>
        <x:v>0</x:v>
      </x:c>
      <x:c r="L47" s="151"/>
      <x:c r="M47" s="154"/>
    </x:row>
    <x:row r="48" ht="11.1" customHeight="1"/>
    <x:row r="49" spans="2:13" ht="18" customHeight="1">
      <x:c r="B49" s="20">
        <x:f>$B20</x:f>
        <x:v>0</x:v>
      </x:c>
      <x:c r="C49" s="95">
        <x:f>IF($T$2=0,$C20,$I20)</x:f>
        <x:v>0</x:v>
      </x:c>
      <x:c r="D49" s="95">
        <x:f>IF($T$2=0,$D20,$J20)</x:f>
        <x:v>0</x:v>
      </x:c>
      <x:c r="E49" s="95">
        <x:f>IF($T$2=0,$E20,$K20)</x:f>
        <x:v>0</x:v>
      </x:c>
      <x:c r="F49" s="141">
        <x:f>E53+D53+C53</x:f>
        <x:v>0</x:v>
      </x:c>
      <x:c r="G49" s="144"/>
      <x:c r="H49" s="94">
        <x:f>$B24</x:f>
        <x:v>0</x:v>
      </x:c>
      <x:c r="I49" s="95">
        <x:f>IF($T$2=0,$C24,$I24)</x:f>
        <x:v>0</x:v>
      </x:c>
      <x:c r="J49" s="95">
        <x:f>IF($T$2=0,$D24,$J24)</x:f>
        <x:v>0</x:v>
      </x:c>
      <x:c r="K49" s="95">
        <x:f>IF($T$2=0,$E24,$K24)</x:f>
        <x:v>0</x:v>
      </x:c>
      <x:c r="L49" s="149">
        <x:f>K53+J53+I53</x:f>
        <x:v>0</x:v>
      </x:c>
      <x:c r="M49" s="152"/>
    </x:row>
    <x:row r="50" spans="2:13" ht="18" customHeight="1">
      <x:c r="B50" s="12">
        <x:f>$B21</x:f>
        <x:v>0</x:v>
      </x:c>
      <x:c r="C50" s="38">
        <x:f>IF($T$2=0,$C21,$I21)</x:f>
        <x:v>0</x:v>
      </x:c>
      <x:c r="D50" s="38">
        <x:f>IF($T$2=0,$D21,$J21)</x:f>
        <x:v>0</x:v>
      </x:c>
      <x:c r="E50" s="38">
        <x:f>IF($T$2=0,$E21,$K21)</x:f>
        <x:v>0</x:v>
      </x:c>
      <x:c r="F50" s="142"/>
      <x:c r="G50" s="145"/>
      <x:c r="H50" s="12">
        <x:f>$B25</x:f>
        <x:v>0</x:v>
      </x:c>
      <x:c r="I50" s="38">
        <x:f>IF($T$2=0,$C25,$I25)</x:f>
        <x:v>0</x:v>
      </x:c>
      <x:c r="J50" s="38">
        <x:f>IF($T$2=0,$D25,$J25)</x:f>
        <x:v>0</x:v>
      </x:c>
      <x:c r="K50" s="38">
        <x:f>IF($T$2=0,$E25,$K25)</x:f>
        <x:v>0</x:v>
      </x:c>
      <x:c r="L50" s="150"/>
      <x:c r="M50" s="153"/>
    </x:row>
    <x:row r="51" spans="2:13" ht="18" customHeight="1">
      <x:c r="B51" s="12">
        <x:f t="shared" ref="B51:B52" si="14">$B22</x:f>
        <x:v>0</x:v>
      </x:c>
      <x:c r="C51" s="38">
        <x:f>IF($T$2=0,$C22,$I22)</x:f>
        <x:v>0</x:v>
      </x:c>
      <x:c r="D51" s="38">
        <x:f>IF($T$2=0,$D22,$J22)</x:f>
        <x:v>0</x:v>
      </x:c>
      <x:c r="E51" s="38">
        <x:f>IF($T$2=0,$E22,$K22)</x:f>
        <x:v>0</x:v>
      </x:c>
      <x:c r="F51" s="142"/>
      <x:c r="G51" s="145"/>
      <x:c r="H51" s="12">
        <x:f t="shared" ref="H51:H52" si="15">$B26</x:f>
        <x:v>0</x:v>
      </x:c>
      <x:c r="I51" s="38">
        <x:f>IF($T$2=0,$C26,$I26)</x:f>
        <x:v>0</x:v>
      </x:c>
      <x:c r="J51" s="38">
        <x:f>IF($T$2=0,$D26,$J26)</x:f>
        <x:v>0</x:v>
      </x:c>
      <x:c r="K51" s="38">
        <x:f>IF($T$2=0,$E26,$K26)</x:f>
        <x:v>0</x:v>
      </x:c>
      <x:c r="L51" s="150"/>
      <x:c r="M51" s="153"/>
    </x:row>
    <x:row r="52" spans="2:13" ht="18" customHeight="1">
      <x:c r="B52" s="12">
        <x:f t="shared" si="14"/>
        <x:v>0</x:v>
      </x:c>
      <x:c r="C52" s="38">
        <x:f>IF($T$2=0,$C23,$I23)</x:f>
        <x:v>0</x:v>
      </x:c>
      <x:c r="D52" s="38">
        <x:f>IF($T$2=0,$D23,$J23)</x:f>
        <x:v>0</x:v>
      </x:c>
      <x:c r="E52" s="38">
        <x:f>IF($T$2=0,$E23,$K23)</x:f>
        <x:v>0</x:v>
      </x:c>
      <x:c r="F52" s="142"/>
      <x:c r="G52" s="145"/>
      <x:c r="H52" s="12">
        <x:f t="shared" si="15"/>
        <x:v>0</x:v>
      </x:c>
      <x:c r="I52" s="38">
        <x:f>IF($T$2=0,$C27,$I27)</x:f>
        <x:v>0</x:v>
      </x:c>
      <x:c r="J52" s="38">
        <x:f>IF($T$2=0,$D27,$J27)</x:f>
        <x:v>0</x:v>
      </x:c>
      <x:c r="K52" s="38">
        <x:f>IF($T$2=0,$E27,$K27)</x:f>
        <x:v>0</x:v>
      </x:c>
      <x:c r="L52" s="150"/>
      <x:c r="M52" s="153"/>
    </x:row>
    <x:row r="53" spans="2:13" ht="18" customHeight="1">
      <x:c r="B53" s="37"/>
      <x:c r="C53" s="42">
        <x:f>SUM(C49:C52)</x:f>
        <x:v>0</x:v>
      </x:c>
      <x:c r="D53" s="42">
        <x:f>SUM(D49:D52)</x:f>
        <x:v>0</x:v>
      </x:c>
      <x:c r="E53" s="42">
        <x:f>SUM(E49:E52)</x:f>
        <x:v>0</x:v>
      </x:c>
      <x:c r="F53" s="143"/>
      <x:c r="G53" s="146"/>
      <x:c r="H53" s="37"/>
      <x:c r="I53" s="42">
        <x:f>SUM(I49:I52)</x:f>
        <x:v>0</x:v>
      </x:c>
      <x:c r="J53" s="42">
        <x:f>SUM(J49:J52)</x:f>
        <x:v>0</x:v>
      </x:c>
      <x:c r="K53" s="42">
        <x:f>SUM(K49:K52)</x:f>
        <x:v>0</x:v>
      </x:c>
      <x:c r="L53" s="151"/>
      <x:c r="M53" s="154"/>
    </x:row>
    <x:row r="56" spans="1:13" ht="60" customHeight="1">
      <x:c r="A56" s="185" t="str">
        <x:f>A1</x:f>
        <x:v>2026 아르케 존 00회 정기 모임 점수</x:v>
      </x:c>
      <x:c r="B56" s="185"/>
      <x:c r="C56" s="185"/>
      <x:c r="D56" s="185"/>
      <x:c r="E56" s="185"/>
      <x:c r="F56" s="185"/>
      <x:c r="G56" s="185"/>
      <x:c r="H56" s="185"/>
      <x:c r="I56" s="185"/>
      <x:c r="J56" s="185"/>
      <x:c r="K56" s="185"/>
      <x:c r="L56" s="185"/>
      <x:c r="M56" s="185"/>
    </x:row>
    <x:row r="57" spans="1:13" ht="23.699999999999999">
      <x:c r="A57" s="77"/>
      <x:c r="B57" s="77"/>
      <x:c r="C57" s="77"/>
      <x:c r="D57" s="77"/>
      <x:c r="E57" s="77"/>
      <x:c r="F57" s="77"/>
      <x:c r="G57" s="77"/>
      <x:c r="H57" s="77"/>
      <x:c r="I57" s="77"/>
      <x:c r="J57" s="77"/>
      <x:c r="K57" s="78" t="s">
        <x:v>8</x:v>
      </x:c>
      <x:c r="L57" s="166">
        <x:f>L2</x:f>
        <x:v>46113</x:v>
      </x:c>
      <x:c r="M57" s="167"/>
    </x:row>
    <x:row r="58" spans="1:13" ht="24.949999999999999" customHeight="1">
      <x:c r="A58" s="20"/>
      <x:c r="B58" s="14" t="s">
        <x:v>53</x:v>
      </x:c>
      <x:c r="C58" s="14" t="s">
        <x:v>2</x:v>
      </x:c>
      <x:c r="D58" s="14" t="s">
        <x:v>0</x:v>
      </x:c>
      <x:c r="E58" s="14" t="s">
        <x:v>10</x:v>
      </x:c>
      <x:c r="F58" s="14" t="s">
        <x:v>9</x:v>
      </x:c>
      <x:c r="G58" s="14" t="s">
        <x:v>6</x:v>
      </x:c>
      <x:c r="H58" s="16" t="s">
        <x:v>57</x:v>
      </x:c>
      <x:c r="I58" s="14" t="s">
        <x:v>2</x:v>
      </x:c>
      <x:c r="J58" s="14" t="s">
        <x:v>0</x:v>
      </x:c>
      <x:c r="K58" s="14" t="s">
        <x:v>10</x:v>
      </x:c>
      <x:c r="L58" s="15" t="s">
        <x:v>9</x:v>
      </x:c>
      <x:c r="M58" s="22" t="s">
        <x:v>13</x:v>
      </x:c>
    </x:row>
    <x:row r="59" spans="1:13" ht="24.949999999999999" customHeight="1">
      <x:c r="A59" s="12">
        <x:v>1</x:v>
      </x:c>
      <x:c r="B59" s="13" t="e">
        <x:f t="array" ref="B59:B59">INDEX($B$4:$M$33,MATCH($A59,$U$4:$U$33,0),COLUMN(A$1))</x:f>
        <x:v>#N/A</x:v>
      </x:c>
      <x:c r="C59" s="13" t="e">
        <x:f t="array" ref="C59:C59">INDEX($B$4:$M$33,MATCH($A59,$U$4:$U$33,0),COLUMN(B$1))</x:f>
        <x:v>#N/A</x:v>
      </x:c>
      <x:c r="D59" s="13" t="e">
        <x:f t="array" ref="D59:D59">INDEX($B$4:$M$33,MATCH($A59,$U$4:$U$33,0),COLUMN(C$1))</x:f>
        <x:v>#N/A</x:v>
      </x:c>
      <x:c r="E59" s="13" t="e">
        <x:f t="array" ref="E59:E59">INDEX($B$4:$M$33,MATCH($A59,$U$4:$U$33,0),COLUMN(D$1))</x:f>
        <x:v>#N/A</x:v>
      </x:c>
      <x:c r="F59" s="44" t="e">
        <x:f>SUM(C59:E59)</x:f>
        <x:v>#N/A</x:v>
      </x:c>
      <x:c r="G59" s="45" t="e">
        <x:f>F59/3</x:f>
        <x:v>#N/A</x:v>
      </x:c>
      <x:c r="H59" s="34" t="e">
        <x:f t="array" ref="H59:H59">IF(B59="","",IFERROR(INDEX('회원명단 및 기준에버'!D:G,MATCH(B59,'회원명단 및 기준에버'!$C:$C,0),CHOOSE(INT((MONTH($L$2)-1)/3)+1,1,2,3,4)),""))</x:f>
        <x:v>#N/A</x:v>
      </x:c>
      <x:c r="I59" s="38">
        <x:f>IFERROR(C59+-H59,0)</x:f>
        <x:v>0</x:v>
      </x:c>
      <x:c r="J59" s="38">
        <x:f>IFERROR(D59+-H59,0)</x:f>
        <x:v>0</x:v>
      </x:c>
      <x:c r="K59" s="38">
        <x:f>IFERROR(E59+-H59,0)</x:f>
        <x:v>0</x:v>
      </x:c>
      <x:c r="L59" s="63">
        <x:f>SUM(I59:K59)</x:f>
        <x:v>0</x:v>
      </x:c>
      <x:c r="M59" s="39">
        <x:f>IFERROR(G59+-H59,0)</x:f>
        <x:v>0</x:v>
      </x:c>
    </x:row>
    <x:row r="60" spans="1:13" ht="24.949999999999999" customHeight="1">
      <x:c r="A60" s="12">
        <x:v>2</x:v>
      </x:c>
      <x:c r="B60" s="13" t="e">
        <x:f t="array" ref="B60:B60">INDEX($B$4:$M$33,MATCH($A60,$U$4:$U$33,0),COLUMN(A$1))</x:f>
        <x:v>#N/A</x:v>
      </x:c>
      <x:c r="C60" s="13" t="e">
        <x:f t="array" ref="C60:C60">INDEX($B$4:$M$33,MATCH($A60,$U$4:$U$33,0),COLUMN(B$1))</x:f>
        <x:v>#N/A</x:v>
      </x:c>
      <x:c r="D60" s="13" t="e">
        <x:f t="array" ref="D60:D60">INDEX($B$4:$M$33,MATCH($A60,$U$4:$U$33,0),COLUMN(C$1))</x:f>
        <x:v>#N/A</x:v>
      </x:c>
      <x:c r="E60" s="13" t="e">
        <x:f t="array" ref="E60:E60">INDEX($B$4:$M$33,MATCH($A60,$U$4:$U$33,0),COLUMN(D$1))</x:f>
        <x:v>#N/A</x:v>
      </x:c>
      <x:c r="F60" s="44" t="e">
        <x:f>SUM(C60:E60)</x:f>
        <x:v>#N/A</x:v>
      </x:c>
      <x:c r="G60" s="45" t="e">
        <x:f>F60/3</x:f>
        <x:v>#N/A</x:v>
      </x:c>
      <x:c r="H60" s="34" t="e">
        <x:f t="array" ref="H60:H60">IF(B60="","",IFERROR(INDEX('회원명단 및 기준에버'!D:G,MATCH(B60,'회원명단 및 기준에버'!$C:$C,0),CHOOSE(INT((MONTH($L$2)-1)/3)+1,1,2,3,4)),""))</x:f>
        <x:v>#N/A</x:v>
      </x:c>
      <x:c r="I60" s="38">
        <x:f>IFERROR(C60+-H60,0)</x:f>
        <x:v>0</x:v>
      </x:c>
      <x:c r="J60" s="38">
        <x:f>IFERROR(D60+-H60,0)</x:f>
        <x:v>0</x:v>
      </x:c>
      <x:c r="K60" s="38">
        <x:f>IFERROR(E60+-H60,0)</x:f>
        <x:v>0</x:v>
      </x:c>
      <x:c r="L60" s="63">
        <x:f>SUM(I60:K60)</x:f>
        <x:v>0</x:v>
      </x:c>
      <x:c r="M60" s="39">
        <x:f>IFERROR(G60+-H60,0)</x:f>
        <x:v>0</x:v>
      </x:c>
    </x:row>
    <x:row r="61" spans="1:13" ht="24.949999999999999" customHeight="1">
      <x:c r="A61" s="12">
        <x:v>3</x:v>
      </x:c>
      <x:c r="B61" s="13" t="e">
        <x:f t="array" ref="B61:B61">INDEX($B$4:$M$33,MATCH($A61,$U$4:$U$33,0),COLUMN(A$1))</x:f>
        <x:v>#N/A</x:v>
      </x:c>
      <x:c r="C61" s="13" t="e">
        <x:f t="array" ref="C61:C61">INDEX($B$4:$M$33,MATCH($A61,$U$4:$U$33,0),COLUMN(B$1))</x:f>
        <x:v>#N/A</x:v>
      </x:c>
      <x:c r="D61" s="13" t="e">
        <x:f t="array" ref="D61:D61">INDEX($B$4:$M$33,MATCH($A61,$U$4:$U$33,0),COLUMN(C$1))</x:f>
        <x:v>#N/A</x:v>
      </x:c>
      <x:c r="E61" s="13" t="e">
        <x:f t="array" ref="E61:E61">INDEX($B$4:$M$33,MATCH($A61,$U$4:$U$33,0),COLUMN(D$1))</x:f>
        <x:v>#N/A</x:v>
      </x:c>
      <x:c r="F61" s="44" t="e">
        <x:f>SUM(C61:E61)</x:f>
        <x:v>#N/A</x:v>
      </x:c>
      <x:c r="G61" s="45" t="e">
        <x:f>F61/3</x:f>
        <x:v>#N/A</x:v>
      </x:c>
      <x:c r="H61" s="34" t="e">
        <x:f t="array" ref="H61:H61">IF(B61="","",IFERROR(INDEX('회원명단 및 기준에버'!D:G,MATCH(B61,'회원명단 및 기준에버'!$C:$C,0),CHOOSE(INT((MONTH($L$2)-1)/3)+1,1,2,3,4)),""))</x:f>
        <x:v>#N/A</x:v>
      </x:c>
      <x:c r="I61" s="38">
        <x:f t="shared" ref="I61:I82" si="16">IFERROR(C61+-H61,0)</x:f>
        <x:v>0</x:v>
      </x:c>
      <x:c r="J61" s="38">
        <x:f t="shared" ref="J61:J82" si="17">IFERROR(D61+-H61,0)</x:f>
        <x:v>0</x:v>
      </x:c>
      <x:c r="K61" s="38">
        <x:f t="shared" ref="K61:K82" si="18">IFERROR(E61+-H61,0)</x:f>
        <x:v>0</x:v>
      </x:c>
      <x:c r="L61" s="63">
        <x:f t="shared" ref="L61:L82" si="19">SUM(I61:K61)</x:f>
        <x:v>0</x:v>
      </x:c>
      <x:c r="M61" s="39">
        <x:f t="shared" ref="M61:M82" si="20">IFERROR(G61+-H61,0)</x:f>
        <x:v>0</x:v>
      </x:c>
    </x:row>
    <x:row r="62" spans="1:13" ht="24.949999999999999" customHeight="1">
      <x:c r="A62" s="12">
        <x:v>4</x:v>
      </x:c>
      <x:c r="B62" s="13" t="e">
        <x:f t="array" ref="B62:B62">INDEX($B$4:$M$33,MATCH($A62,$U$4:$U$33,0),COLUMN(A$1))</x:f>
        <x:v>#N/A</x:v>
      </x:c>
      <x:c r="C62" s="13" t="e">
        <x:f t="array" ref="C62:C62">INDEX($B$4:$M$33,MATCH($A62,$U$4:$U$33,0),COLUMN(B$1))</x:f>
        <x:v>#N/A</x:v>
      </x:c>
      <x:c r="D62" s="13" t="e">
        <x:f t="array" ref="D62:D62">INDEX($B$4:$M$33,MATCH($A62,$U$4:$U$33,0),COLUMN(C$1))</x:f>
        <x:v>#N/A</x:v>
      </x:c>
      <x:c r="E62" s="13" t="e">
        <x:f t="array" ref="E62:E62">INDEX($B$4:$M$33,MATCH($A62,$U$4:$U$33,0),COLUMN(D$1))</x:f>
        <x:v>#N/A</x:v>
      </x:c>
      <x:c r="F62" s="44" t="e">
        <x:f>SUM(C62:E62)</x:f>
        <x:v>#N/A</x:v>
      </x:c>
      <x:c r="G62" s="45" t="e">
        <x:f>F62/3</x:f>
        <x:v>#N/A</x:v>
      </x:c>
      <x:c r="H62" s="34" t="e">
        <x:f t="array" ref="H62:H62">IF(B62="","",IFERROR(INDEX('회원명단 및 기준에버'!D:G,MATCH(B62,'회원명단 및 기준에버'!$C:$C,0),CHOOSE(INT((MONTH($L$2)-1)/3)+1,1,2,3,4)),""))</x:f>
        <x:v>#N/A</x:v>
      </x:c>
      <x:c r="I62" s="38">
        <x:f t="shared" si="16"/>
        <x:v>0</x:v>
      </x:c>
      <x:c r="J62" s="38">
        <x:f t="shared" si="17"/>
        <x:v>0</x:v>
      </x:c>
      <x:c r="K62" s="38">
        <x:f t="shared" si="18"/>
        <x:v>0</x:v>
      </x:c>
      <x:c r="L62" s="63">
        <x:f t="shared" si="19"/>
        <x:v>0</x:v>
      </x:c>
      <x:c r="M62" s="39">
        <x:f t="shared" si="20"/>
        <x:v>0</x:v>
      </x:c>
    </x:row>
    <x:row r="63" spans="1:13" ht="24.949999999999999" customHeight="1">
      <x:c r="A63" s="12">
        <x:v>5</x:v>
      </x:c>
      <x:c r="B63" s="13" t="e">
        <x:f t="array" ref="B63:B63">INDEX($B$4:$M$33,MATCH($A63,$U$4:$U$33,0),COLUMN(A$1))</x:f>
        <x:v>#N/A</x:v>
      </x:c>
      <x:c r="C63" s="13" t="e">
        <x:f t="array" ref="C63:C63">INDEX($B$4:$M$33,MATCH($A63,$U$4:$U$33,0),COLUMN(B$1))</x:f>
        <x:v>#N/A</x:v>
      </x:c>
      <x:c r="D63" s="13" t="e">
        <x:f t="array" ref="D63:D63">INDEX($B$4:$M$33,MATCH($A63,$U$4:$U$33,0),COLUMN(C$1))</x:f>
        <x:v>#N/A</x:v>
      </x:c>
      <x:c r="E63" s="13" t="e">
        <x:f t="array" ref="E63:E63">INDEX($B$4:$M$33,MATCH($A63,$U$4:$U$33,0),COLUMN(D$1))</x:f>
        <x:v>#N/A</x:v>
      </x:c>
      <x:c r="F63" s="44" t="e">
        <x:f t="shared" ref="F63:F82" si="21">SUM(C63:E63)</x:f>
        <x:v>#N/A</x:v>
      </x:c>
      <x:c r="G63" s="45" t="e">
        <x:f t="shared" ref="G63:G82" si="22">F63/3</x:f>
        <x:v>#N/A</x:v>
      </x:c>
      <x:c r="H63" s="34" t="e">
        <x:f t="array" ref="H63:H63">IF(B63="","",IFERROR(INDEX('회원명단 및 기준에버'!D:G,MATCH(B63,'회원명단 및 기준에버'!$C:$C,0),CHOOSE(INT((MONTH($L$2)-1)/3)+1,1,2,3,4)),""))</x:f>
        <x:v>#N/A</x:v>
      </x:c>
      <x:c r="I63" s="38">
        <x:f t="shared" si="16"/>
        <x:v>0</x:v>
      </x:c>
      <x:c r="J63" s="38">
        <x:f t="shared" si="17"/>
        <x:v>0</x:v>
      </x:c>
      <x:c r="K63" s="38">
        <x:f t="shared" si="18"/>
        <x:v>0</x:v>
      </x:c>
      <x:c r="L63" s="63">
        <x:f t="shared" si="19"/>
        <x:v>0</x:v>
      </x:c>
      <x:c r="M63" s="39">
        <x:f t="shared" si="20"/>
        <x:v>0</x:v>
      </x:c>
    </x:row>
    <x:row r="64" spans="1:13" ht="24.949999999999999" customHeight="1">
      <x:c r="A64" s="12">
        <x:v>6</x:v>
      </x:c>
      <x:c r="B64" s="13" t="e">
        <x:f t="array" ref="B64:B64">INDEX($B$4:$M$33,MATCH($A64,$U$4:$U$33,0),COLUMN(A$1))</x:f>
        <x:v>#N/A</x:v>
      </x:c>
      <x:c r="C64" s="13" t="e">
        <x:f t="array" ref="C64:C64">INDEX($B$4:$M$33,MATCH($A64,$U$4:$U$33,0),COLUMN(B$1))</x:f>
        <x:v>#N/A</x:v>
      </x:c>
      <x:c r="D64" s="13" t="e">
        <x:f t="array" ref="D64:D64">INDEX($B$4:$M$33,MATCH($A64,$U$4:$U$33,0),COLUMN(C$1))</x:f>
        <x:v>#N/A</x:v>
      </x:c>
      <x:c r="E64" s="13" t="e">
        <x:f t="array" ref="E64:E64">INDEX($B$4:$M$33,MATCH($A64,$U$4:$U$33,0),COLUMN(D$1))</x:f>
        <x:v>#N/A</x:v>
      </x:c>
      <x:c r="F64" s="44" t="e">
        <x:f t="shared" si="21"/>
        <x:v>#N/A</x:v>
      </x:c>
      <x:c r="G64" s="45" t="e">
        <x:f t="shared" si="22"/>
        <x:v>#N/A</x:v>
      </x:c>
      <x:c r="H64" s="34" t="e">
        <x:f t="array" ref="H64:H64">IF(B64="","",IFERROR(INDEX('회원명단 및 기준에버'!D:G,MATCH(B64,'회원명단 및 기준에버'!$C:$C,0),CHOOSE(INT((MONTH($L$2)-1)/3)+1,1,2,3,4)),""))</x:f>
        <x:v>#N/A</x:v>
      </x:c>
      <x:c r="I64" s="38">
        <x:f t="shared" si="16"/>
        <x:v>0</x:v>
      </x:c>
      <x:c r="J64" s="38">
        <x:f t="shared" si="17"/>
        <x:v>0</x:v>
      </x:c>
      <x:c r="K64" s="38">
        <x:f t="shared" si="18"/>
        <x:v>0</x:v>
      </x:c>
      <x:c r="L64" s="63">
        <x:f t="shared" si="19"/>
        <x:v>0</x:v>
      </x:c>
      <x:c r="M64" s="39">
        <x:f t="shared" si="20"/>
        <x:v>0</x:v>
      </x:c>
    </x:row>
    <x:row r="65" spans="1:13" ht="24.949999999999999" customHeight="1">
      <x:c r="A65" s="12">
        <x:v>7</x:v>
      </x:c>
      <x:c r="B65" s="13" t="e">
        <x:f t="array" ref="B65:B65">INDEX($B$4:$M$33,MATCH($A65,$U$4:$U$33,0),COLUMN(A$1))</x:f>
        <x:v>#N/A</x:v>
      </x:c>
      <x:c r="C65" s="13" t="e">
        <x:f t="array" ref="C65:C65">INDEX($B$4:$M$33,MATCH($A65,$U$4:$U$33,0),COLUMN(B$1))</x:f>
        <x:v>#N/A</x:v>
      </x:c>
      <x:c r="D65" s="13" t="e">
        <x:f t="array" ref="D65:D65">INDEX($B$4:$M$33,MATCH($A65,$U$4:$U$33,0),COLUMN(C$1))</x:f>
        <x:v>#N/A</x:v>
      </x:c>
      <x:c r="E65" s="13" t="e">
        <x:f t="array" ref="E65:E65">INDEX($B$4:$M$33,MATCH($A65,$U$4:$U$33,0),COLUMN(D$1))</x:f>
        <x:v>#N/A</x:v>
      </x:c>
      <x:c r="F65" s="44" t="e">
        <x:f t="shared" si="21"/>
        <x:v>#N/A</x:v>
      </x:c>
      <x:c r="G65" s="45" t="e">
        <x:f t="shared" si="22"/>
        <x:v>#N/A</x:v>
      </x:c>
      <x:c r="H65" s="34" t="e">
        <x:f t="array" ref="H65:H65">IF(B65="","",IFERROR(INDEX('회원명단 및 기준에버'!D:G,MATCH(B65,'회원명단 및 기준에버'!$C:$C,0),CHOOSE(INT((MONTH($L$2)-1)/3)+1,1,2,3,4)),""))</x:f>
        <x:v>#N/A</x:v>
      </x:c>
      <x:c r="I65" s="38">
        <x:f t="shared" si="16"/>
        <x:v>0</x:v>
      </x:c>
      <x:c r="J65" s="38">
        <x:f t="shared" si="17"/>
        <x:v>0</x:v>
      </x:c>
      <x:c r="K65" s="38">
        <x:f t="shared" si="18"/>
        <x:v>0</x:v>
      </x:c>
      <x:c r="L65" s="63">
        <x:f t="shared" si="19"/>
        <x:v>0</x:v>
      </x:c>
      <x:c r="M65" s="39">
        <x:f t="shared" si="20"/>
        <x:v>0</x:v>
      </x:c>
    </x:row>
    <x:row r="66" spans="1:13" ht="24.949999999999999" customHeight="1">
      <x:c r="A66" s="12">
        <x:v>8</x:v>
      </x:c>
      <x:c r="B66" s="13" t="e">
        <x:f t="array" ref="B66:B66">INDEX($B$4:$M$33,MATCH($A66,$U$4:$U$33,0),COLUMN(A$1))</x:f>
        <x:v>#N/A</x:v>
      </x:c>
      <x:c r="C66" s="13" t="e">
        <x:f t="array" ref="C66:C66">INDEX($B$4:$M$33,MATCH($A66,$U$4:$U$33,0),COLUMN(B$1))</x:f>
        <x:v>#N/A</x:v>
      </x:c>
      <x:c r="D66" s="13" t="e">
        <x:f t="array" ref="D66:D66">INDEX($B$4:$M$33,MATCH($A66,$U$4:$U$33,0),COLUMN(C$1))</x:f>
        <x:v>#N/A</x:v>
      </x:c>
      <x:c r="E66" s="13" t="e">
        <x:f t="array" ref="E66:E66">INDEX($B$4:$M$33,MATCH($A66,$U$4:$U$33,0),COLUMN(D$1))</x:f>
        <x:v>#N/A</x:v>
      </x:c>
      <x:c r="F66" s="44" t="e">
        <x:f t="shared" si="21"/>
        <x:v>#N/A</x:v>
      </x:c>
      <x:c r="G66" s="45" t="e">
        <x:f t="shared" si="22"/>
        <x:v>#N/A</x:v>
      </x:c>
      <x:c r="H66" s="34" t="e">
        <x:f t="array" ref="H66:H66">IF(B66="","",IFERROR(INDEX('회원명단 및 기준에버'!D:G,MATCH(B66,'회원명단 및 기준에버'!$C:$C,0),CHOOSE(INT((MONTH($L$2)-1)/3)+1,1,2,3,4)),""))</x:f>
        <x:v>#N/A</x:v>
      </x:c>
      <x:c r="I66" s="38">
        <x:f t="shared" si="16"/>
        <x:v>0</x:v>
      </x:c>
      <x:c r="J66" s="38">
        <x:f t="shared" si="17"/>
        <x:v>0</x:v>
      </x:c>
      <x:c r="K66" s="38">
        <x:f t="shared" si="18"/>
        <x:v>0</x:v>
      </x:c>
      <x:c r="L66" s="63">
        <x:f t="shared" si="19"/>
        <x:v>0</x:v>
      </x:c>
      <x:c r="M66" s="39">
        <x:f t="shared" si="20"/>
        <x:v>0</x:v>
      </x:c>
    </x:row>
    <x:row r="67" spans="1:13" ht="24.949999999999999" customHeight="1">
      <x:c r="A67" s="12">
        <x:v>9</x:v>
      </x:c>
      <x:c r="B67" s="13" t="e">
        <x:f t="array" ref="B67:B67">INDEX($B$4:$M$33,MATCH($A67,$U$4:$U$33,0),COLUMN(A$1))</x:f>
        <x:v>#N/A</x:v>
      </x:c>
      <x:c r="C67" s="13" t="e">
        <x:f t="array" ref="C67:C67">INDEX($B$4:$M$33,MATCH($A67,$U$4:$U$33,0),COLUMN(B$1))</x:f>
        <x:v>#N/A</x:v>
      </x:c>
      <x:c r="D67" s="13" t="e">
        <x:f t="array" ref="D67:D67">INDEX($B$4:$M$33,MATCH($A67,$U$4:$U$33,0),COLUMN(C$1))</x:f>
        <x:v>#N/A</x:v>
      </x:c>
      <x:c r="E67" s="13" t="e">
        <x:f t="array" ref="E67:E67">INDEX($B$4:$M$33,MATCH($A67,$U$4:$U$33,0),COLUMN(D$1))</x:f>
        <x:v>#N/A</x:v>
      </x:c>
      <x:c r="F67" s="44" t="e">
        <x:f t="shared" si="21"/>
        <x:v>#N/A</x:v>
      </x:c>
      <x:c r="G67" s="45" t="e">
        <x:f t="shared" si="22"/>
        <x:v>#N/A</x:v>
      </x:c>
      <x:c r="H67" s="34" t="e">
        <x:f t="array" ref="H67:H67">IF(B67="","",IFERROR(INDEX('회원명단 및 기준에버'!D:G,MATCH(B67,'회원명단 및 기준에버'!$C:$C,0),CHOOSE(INT((MONTH($L$2)-1)/3)+1,1,2,3,4)),""))</x:f>
        <x:v>#N/A</x:v>
      </x:c>
      <x:c r="I67" s="38">
        <x:f t="shared" si="16"/>
        <x:v>0</x:v>
      </x:c>
      <x:c r="J67" s="38">
        <x:f t="shared" si="17"/>
        <x:v>0</x:v>
      </x:c>
      <x:c r="K67" s="38">
        <x:f t="shared" si="18"/>
        <x:v>0</x:v>
      </x:c>
      <x:c r="L67" s="63">
        <x:f t="shared" si="19"/>
        <x:v>0</x:v>
      </x:c>
      <x:c r="M67" s="39">
        <x:f t="shared" si="20"/>
        <x:v>0</x:v>
      </x:c>
    </x:row>
    <x:row r="68" spans="1:13" ht="24.949999999999999" customHeight="1">
      <x:c r="A68" s="12">
        <x:v>10</x:v>
      </x:c>
      <x:c r="B68" s="13" t="e">
        <x:f t="array" ref="B68:B68">INDEX($B$4:$M$33,MATCH($A68,$U$4:$U$33,0),COLUMN(A$1))</x:f>
        <x:v>#N/A</x:v>
      </x:c>
      <x:c r="C68" s="13" t="e">
        <x:f t="array" ref="C68:C68">INDEX($B$4:$M$33,MATCH($A68,$U$4:$U$33,0),COLUMN(B$1))</x:f>
        <x:v>#N/A</x:v>
      </x:c>
      <x:c r="D68" s="13" t="e">
        <x:f t="array" ref="D68:D68">INDEX($B$4:$M$33,MATCH($A68,$U$4:$U$33,0),COLUMN(C$1))</x:f>
        <x:v>#N/A</x:v>
      </x:c>
      <x:c r="E68" s="13" t="e">
        <x:f t="array" ref="E68:E68">INDEX($B$4:$M$33,MATCH($A68,$U$4:$U$33,0),COLUMN(D$1))</x:f>
        <x:v>#N/A</x:v>
      </x:c>
      <x:c r="F68" s="44" t="e">
        <x:f t="shared" si="21"/>
        <x:v>#N/A</x:v>
      </x:c>
      <x:c r="G68" s="45" t="e">
        <x:f t="shared" si="22"/>
        <x:v>#N/A</x:v>
      </x:c>
      <x:c r="H68" s="34" t="e">
        <x:f t="array" ref="H68:H68">IF(B68="","",IFERROR(INDEX('회원명단 및 기준에버'!D:G,MATCH(B68,'회원명단 및 기준에버'!$C:$C,0),CHOOSE(INT((MONTH($L$2)-1)/3)+1,1,2,3,4)),""))</x:f>
        <x:v>#N/A</x:v>
      </x:c>
      <x:c r="I68" s="38">
        <x:f t="shared" si="16"/>
        <x:v>0</x:v>
      </x:c>
      <x:c r="J68" s="38">
        <x:f t="shared" si="17"/>
        <x:v>0</x:v>
      </x:c>
      <x:c r="K68" s="38">
        <x:f t="shared" si="18"/>
        <x:v>0</x:v>
      </x:c>
      <x:c r="L68" s="63">
        <x:f t="shared" si="19"/>
        <x:v>0</x:v>
      </x:c>
      <x:c r="M68" s="39">
        <x:f t="shared" si="20"/>
        <x:v>0</x:v>
      </x:c>
    </x:row>
    <x:row r="69" spans="1:13" ht="24.949999999999999" customHeight="1">
      <x:c r="A69" s="12">
        <x:v>11</x:v>
      </x:c>
      <x:c r="B69" s="13" t="e">
        <x:f t="array" ref="B69:B69">INDEX($B$4:$M$33,MATCH($A69,$U$4:$U$33,0),COLUMN(A$1))</x:f>
        <x:v>#N/A</x:v>
      </x:c>
      <x:c r="C69" s="13" t="e">
        <x:f t="array" ref="C69:C69">INDEX($B$4:$M$33,MATCH($A69,$U$4:$U$33,0),COLUMN(B$1))</x:f>
        <x:v>#N/A</x:v>
      </x:c>
      <x:c r="D69" s="13" t="e">
        <x:f t="array" ref="D69:D69">INDEX($B$4:$M$33,MATCH($A69,$U$4:$U$33,0),COLUMN(C$1))</x:f>
        <x:v>#N/A</x:v>
      </x:c>
      <x:c r="E69" s="13" t="e">
        <x:f t="array" ref="E69:E69">INDEX($B$4:$M$33,MATCH($A69,$U$4:$U$33,0),COLUMN(D$1))</x:f>
        <x:v>#N/A</x:v>
      </x:c>
      <x:c r="F69" s="44" t="e">
        <x:f t="shared" si="21"/>
        <x:v>#N/A</x:v>
      </x:c>
      <x:c r="G69" s="45" t="e">
        <x:f t="shared" si="22"/>
        <x:v>#N/A</x:v>
      </x:c>
      <x:c r="H69" s="34" t="e">
        <x:f t="array" ref="H69:H69">IF(B69="","",IFERROR(INDEX('회원명단 및 기준에버'!D:G,MATCH(B69,'회원명단 및 기준에버'!$C:$C,0),CHOOSE(INT((MONTH($L$2)-1)/3)+1,1,2,3,4)),""))</x:f>
        <x:v>#N/A</x:v>
      </x:c>
      <x:c r="I69" s="38">
        <x:f t="shared" si="16"/>
        <x:v>0</x:v>
      </x:c>
      <x:c r="J69" s="38">
        <x:f t="shared" si="17"/>
        <x:v>0</x:v>
      </x:c>
      <x:c r="K69" s="38">
        <x:f t="shared" si="18"/>
        <x:v>0</x:v>
      </x:c>
      <x:c r="L69" s="63">
        <x:f t="shared" si="19"/>
        <x:v>0</x:v>
      </x:c>
      <x:c r="M69" s="39">
        <x:f t="shared" si="20"/>
        <x:v>0</x:v>
      </x:c>
    </x:row>
    <x:row r="70" spans="1:13" ht="24.949999999999999" customHeight="1">
      <x:c r="A70" s="12">
        <x:v>12</x:v>
      </x:c>
      <x:c r="B70" s="13" t="e">
        <x:f t="array" ref="B70:B70">INDEX($B$4:$M$33,MATCH($A70,$U$4:$U$33,0),COLUMN(A$1))</x:f>
        <x:v>#N/A</x:v>
      </x:c>
      <x:c r="C70" s="13" t="e">
        <x:f t="array" ref="C70:C70">INDEX($B$4:$M$33,MATCH($A70,$U$4:$U$33,0),COLUMN(B$1))</x:f>
        <x:v>#N/A</x:v>
      </x:c>
      <x:c r="D70" s="13" t="e">
        <x:f t="array" ref="D70:D70">INDEX($B$4:$M$33,MATCH($A70,$U$4:$U$33,0),COLUMN(C$1))</x:f>
        <x:v>#N/A</x:v>
      </x:c>
      <x:c r="E70" s="13" t="e">
        <x:f t="array" ref="E70:E70">INDEX($B$4:$M$33,MATCH($A70,$U$4:$U$33,0),COLUMN(D$1))</x:f>
        <x:v>#N/A</x:v>
      </x:c>
      <x:c r="F70" s="44" t="e">
        <x:f t="shared" si="21"/>
        <x:v>#N/A</x:v>
      </x:c>
      <x:c r="G70" s="45" t="e">
        <x:f t="shared" si="22"/>
        <x:v>#N/A</x:v>
      </x:c>
      <x:c r="H70" s="34" t="e">
        <x:f t="array" ref="H70:H70">IF(B70="","",IFERROR(INDEX('회원명단 및 기준에버'!D:G,MATCH(B70,'회원명단 및 기준에버'!$C:$C,0),CHOOSE(INT((MONTH($L$2)-1)/3)+1,1,2,3,4)),""))</x:f>
        <x:v>#N/A</x:v>
      </x:c>
      <x:c r="I70" s="38">
        <x:f t="shared" si="16"/>
        <x:v>0</x:v>
      </x:c>
      <x:c r="J70" s="38">
        <x:f t="shared" si="17"/>
        <x:v>0</x:v>
      </x:c>
      <x:c r="K70" s="38">
        <x:f t="shared" si="18"/>
        <x:v>0</x:v>
      </x:c>
      <x:c r="L70" s="63">
        <x:f t="shared" si="19"/>
        <x:v>0</x:v>
      </x:c>
      <x:c r="M70" s="39">
        <x:f t="shared" si="20"/>
        <x:v>0</x:v>
      </x:c>
    </x:row>
    <x:row r="71" spans="1:13" ht="24.949999999999999" customHeight="1">
      <x:c r="A71" s="12">
        <x:v>13</x:v>
      </x:c>
      <x:c r="B71" s="13" t="e">
        <x:f t="array" ref="B71:B71">INDEX($B$4:$M$33,MATCH($A71,$U$4:$U$33,0),COLUMN(A$1))</x:f>
        <x:v>#N/A</x:v>
      </x:c>
      <x:c r="C71" s="13" t="e">
        <x:f t="array" ref="C71:C71">INDEX($B$4:$M$33,MATCH($A71,$U$4:$U$33,0),COLUMN(B$1))</x:f>
        <x:v>#N/A</x:v>
      </x:c>
      <x:c r="D71" s="13" t="e">
        <x:f t="array" ref="D71:D71">INDEX($B$4:$M$33,MATCH($A71,$U$4:$U$33,0),COLUMN(C$1))</x:f>
        <x:v>#N/A</x:v>
      </x:c>
      <x:c r="E71" s="13" t="e">
        <x:f t="array" ref="E71:E71">INDEX($B$4:$M$33,MATCH($A71,$U$4:$U$33,0),COLUMN(D$1))</x:f>
        <x:v>#N/A</x:v>
      </x:c>
      <x:c r="F71" s="44" t="e">
        <x:f t="shared" si="21"/>
        <x:v>#N/A</x:v>
      </x:c>
      <x:c r="G71" s="45" t="e">
        <x:f t="shared" si="22"/>
        <x:v>#N/A</x:v>
      </x:c>
      <x:c r="H71" s="34" t="e">
        <x:f t="array" ref="H71:H71">IF(B71="","",IFERROR(INDEX('회원명단 및 기준에버'!D:G,MATCH(B71,'회원명단 및 기준에버'!$C:$C,0),CHOOSE(INT((MONTH($L$2)-1)/3)+1,1,2,3,4)),""))</x:f>
        <x:v>#N/A</x:v>
      </x:c>
      <x:c r="I71" s="38">
        <x:f t="shared" si="16"/>
        <x:v>0</x:v>
      </x:c>
      <x:c r="J71" s="38">
        <x:f t="shared" si="17"/>
        <x:v>0</x:v>
      </x:c>
      <x:c r="K71" s="38">
        <x:f t="shared" si="18"/>
        <x:v>0</x:v>
      </x:c>
      <x:c r="L71" s="63">
        <x:f t="shared" si="19"/>
        <x:v>0</x:v>
      </x:c>
      <x:c r="M71" s="39">
        <x:f t="shared" si="20"/>
        <x:v>0</x:v>
      </x:c>
    </x:row>
    <x:row r="72" spans="1:13" ht="24.949999999999999" customHeight="1">
      <x:c r="A72" s="12">
        <x:v>14</x:v>
      </x:c>
      <x:c r="B72" s="13" t="e">
        <x:f t="array" ref="B72:B72">INDEX($B$4:$M$33,MATCH($A72,$U$4:$U$33,0),COLUMN(A$1))</x:f>
        <x:v>#N/A</x:v>
      </x:c>
      <x:c r="C72" s="13" t="e">
        <x:f t="array" ref="C72:C72">INDEX($B$4:$M$33,MATCH($A72,$U$4:$U$33,0),COLUMN(B$1))</x:f>
        <x:v>#N/A</x:v>
      </x:c>
      <x:c r="D72" s="13" t="e">
        <x:f t="array" ref="D72:D72">INDEX($B$4:$M$33,MATCH($A72,$U$4:$U$33,0),COLUMN(C$1))</x:f>
        <x:v>#N/A</x:v>
      </x:c>
      <x:c r="E72" s="13" t="e">
        <x:f t="array" ref="E72:E72">INDEX($B$4:$M$33,MATCH($A72,$U$4:$U$33,0),COLUMN(D$1))</x:f>
        <x:v>#N/A</x:v>
      </x:c>
      <x:c r="F72" s="44" t="e">
        <x:f t="shared" si="21"/>
        <x:v>#N/A</x:v>
      </x:c>
      <x:c r="G72" s="45" t="e">
        <x:f t="shared" si="22"/>
        <x:v>#N/A</x:v>
      </x:c>
      <x:c r="H72" s="34" t="e">
        <x:f t="array" ref="H72:H72">IF(B72="","",IFERROR(INDEX('회원명단 및 기준에버'!D:G,MATCH(B72,'회원명단 및 기준에버'!$C:$C,0),CHOOSE(INT((MONTH($L$2)-1)/3)+1,1,2,3,4)),""))</x:f>
        <x:v>#N/A</x:v>
      </x:c>
      <x:c r="I72" s="38">
        <x:f t="shared" si="16"/>
        <x:v>0</x:v>
      </x:c>
      <x:c r="J72" s="38">
        <x:f t="shared" si="17"/>
        <x:v>0</x:v>
      </x:c>
      <x:c r="K72" s="38">
        <x:f t="shared" si="18"/>
        <x:v>0</x:v>
      </x:c>
      <x:c r="L72" s="63">
        <x:f t="shared" si="19"/>
        <x:v>0</x:v>
      </x:c>
      <x:c r="M72" s="39">
        <x:f t="shared" si="20"/>
        <x:v>0</x:v>
      </x:c>
    </x:row>
    <x:row r="73" spans="1:13" ht="24.949999999999999" customHeight="1">
      <x:c r="A73" s="12">
        <x:v>15</x:v>
      </x:c>
      <x:c r="B73" s="13" t="e">
        <x:f t="array" ref="B73:B73">INDEX($B$4:$M$33,MATCH($A73,$U$4:$U$33,0),COLUMN(A$1))</x:f>
        <x:v>#N/A</x:v>
      </x:c>
      <x:c r="C73" s="13" t="e">
        <x:f t="array" ref="C73:C73">INDEX($B$4:$M$33,MATCH($A73,$U$4:$U$33,0),COLUMN(B$1))</x:f>
        <x:v>#N/A</x:v>
      </x:c>
      <x:c r="D73" s="13" t="e">
        <x:f t="array" ref="D73:D73">INDEX($B$4:$M$33,MATCH($A73,$U$4:$U$33,0),COLUMN(C$1))</x:f>
        <x:v>#N/A</x:v>
      </x:c>
      <x:c r="E73" s="13" t="e">
        <x:f t="array" ref="E73:E73">INDEX($B$4:$M$33,MATCH($A73,$U$4:$U$33,0),COLUMN(D$1))</x:f>
        <x:v>#N/A</x:v>
      </x:c>
      <x:c r="F73" s="44" t="e">
        <x:f t="shared" si="21"/>
        <x:v>#N/A</x:v>
      </x:c>
      <x:c r="G73" s="45" t="e">
        <x:f t="shared" si="22"/>
        <x:v>#N/A</x:v>
      </x:c>
      <x:c r="H73" s="34" t="e">
        <x:f t="array" ref="H73:H73">IF(B73="","",IFERROR(INDEX('회원명단 및 기준에버'!D:G,MATCH(B73,'회원명단 및 기준에버'!$C:$C,0),CHOOSE(INT((MONTH($L$2)-1)/3)+1,1,2,3,4)),""))</x:f>
        <x:v>#N/A</x:v>
      </x:c>
      <x:c r="I73" s="38">
        <x:f t="shared" si="16"/>
        <x:v>0</x:v>
      </x:c>
      <x:c r="J73" s="38">
        <x:f t="shared" si="17"/>
        <x:v>0</x:v>
      </x:c>
      <x:c r="K73" s="38">
        <x:f t="shared" si="18"/>
        <x:v>0</x:v>
      </x:c>
      <x:c r="L73" s="63">
        <x:f t="shared" si="19"/>
        <x:v>0</x:v>
      </x:c>
      <x:c r="M73" s="39">
        <x:f t="shared" si="20"/>
        <x:v>0</x:v>
      </x:c>
    </x:row>
    <x:row r="74" spans="1:13" ht="24.949999999999999" customHeight="1">
      <x:c r="A74" s="12">
        <x:v>16</x:v>
      </x:c>
      <x:c r="B74" s="13" t="e">
        <x:f t="array" ref="B74:B74">INDEX($B$4:$M$33,MATCH($A74,$U$4:$U$33,0),COLUMN(A$1))</x:f>
        <x:v>#N/A</x:v>
      </x:c>
      <x:c r="C74" s="13" t="e">
        <x:f t="array" ref="C74:C74">INDEX($B$4:$M$33,MATCH($A74,$U$4:$U$33,0),COLUMN(B$1))</x:f>
        <x:v>#N/A</x:v>
      </x:c>
      <x:c r="D74" s="13" t="e">
        <x:f t="array" ref="D74:D74">INDEX($B$4:$M$33,MATCH($A74,$U$4:$U$33,0),COLUMN(C$1))</x:f>
        <x:v>#N/A</x:v>
      </x:c>
      <x:c r="E74" s="13" t="e">
        <x:f t="array" ref="E74:E74">INDEX($B$4:$M$33,MATCH($A74,$U$4:$U$33,0),COLUMN(D$1))</x:f>
        <x:v>#N/A</x:v>
      </x:c>
      <x:c r="F74" s="44" t="e">
        <x:f t="shared" si="21"/>
        <x:v>#N/A</x:v>
      </x:c>
      <x:c r="G74" s="45" t="e">
        <x:f t="shared" si="22"/>
        <x:v>#N/A</x:v>
      </x:c>
      <x:c r="H74" s="34" t="e">
        <x:f t="array" ref="H74:H74">IF(B74="","",IFERROR(INDEX('회원명단 및 기준에버'!D:G,MATCH(B74,'회원명단 및 기준에버'!$C:$C,0),CHOOSE(INT((MONTH($L$2)-1)/3)+1,1,2,3,4)),""))</x:f>
        <x:v>#N/A</x:v>
      </x:c>
      <x:c r="I74" s="38">
        <x:f t="shared" si="16"/>
        <x:v>0</x:v>
      </x:c>
      <x:c r="J74" s="38">
        <x:f t="shared" si="17"/>
        <x:v>0</x:v>
      </x:c>
      <x:c r="K74" s="38">
        <x:f t="shared" si="18"/>
        <x:v>0</x:v>
      </x:c>
      <x:c r="L74" s="63">
        <x:f t="shared" si="19"/>
        <x:v>0</x:v>
      </x:c>
      <x:c r="M74" s="39">
        <x:f t="shared" si="20"/>
        <x:v>0</x:v>
      </x:c>
    </x:row>
    <x:row r="75" spans="1:13" ht="24.949999999999999" customHeight="1">
      <x:c r="A75" s="12">
        <x:v>17</x:v>
      </x:c>
      <x:c r="B75" s="13" t="e">
        <x:f t="array" ref="B75:B75">INDEX($B$4:$M$33,MATCH($A75,$U$4:$U$33,0),COLUMN(A$1))</x:f>
        <x:v>#N/A</x:v>
      </x:c>
      <x:c r="C75" s="13" t="e">
        <x:f t="array" ref="C75:C75">INDEX($B$4:$M$33,MATCH($A75,$U$4:$U$33,0),COLUMN(B$1))</x:f>
        <x:v>#N/A</x:v>
      </x:c>
      <x:c r="D75" s="13" t="e">
        <x:f t="array" ref="D75:D75">INDEX($B$4:$M$33,MATCH($A75,$U$4:$U$33,0),COLUMN(C$1))</x:f>
        <x:v>#N/A</x:v>
      </x:c>
      <x:c r="E75" s="13" t="e">
        <x:f t="array" ref="E75:E75">INDEX($B$4:$M$33,MATCH($A75,$U$4:$U$33,0),COLUMN(D$1))</x:f>
        <x:v>#N/A</x:v>
      </x:c>
      <x:c r="F75" s="44" t="e">
        <x:f t="shared" si="21"/>
        <x:v>#N/A</x:v>
      </x:c>
      <x:c r="G75" s="45" t="e">
        <x:f t="shared" si="22"/>
        <x:v>#N/A</x:v>
      </x:c>
      <x:c r="H75" s="34" t="e">
        <x:f t="array" ref="H75:H75">IF(B75="","",IFERROR(INDEX('회원명단 및 기준에버'!D:G,MATCH(B75,'회원명단 및 기준에버'!$C:$C,0),CHOOSE(INT((MONTH($L$2)-1)/3)+1,1,2,3,4)),""))</x:f>
        <x:v>#N/A</x:v>
      </x:c>
      <x:c r="I75" s="38">
        <x:f t="shared" si="16"/>
        <x:v>0</x:v>
      </x:c>
      <x:c r="J75" s="38">
        <x:f t="shared" si="17"/>
        <x:v>0</x:v>
      </x:c>
      <x:c r="K75" s="38">
        <x:f t="shared" si="18"/>
        <x:v>0</x:v>
      </x:c>
      <x:c r="L75" s="63">
        <x:f t="shared" si="19"/>
        <x:v>0</x:v>
      </x:c>
      <x:c r="M75" s="39">
        <x:f t="shared" si="20"/>
        <x:v>0</x:v>
      </x:c>
    </x:row>
    <x:row r="76" spans="1:13" ht="24.949999999999999" customHeight="1">
      <x:c r="A76" s="12">
        <x:v>18</x:v>
      </x:c>
      <x:c r="B76" s="13" t="e">
        <x:f t="array" ref="B76:B76">INDEX($B$4:$M$33,MATCH($A76,$U$4:$U$33,0),COLUMN(A$1))</x:f>
        <x:v>#N/A</x:v>
      </x:c>
      <x:c r="C76" s="13" t="e">
        <x:f t="array" ref="C76:C76">INDEX($B$4:$M$33,MATCH($A76,$U$4:$U$33,0),COLUMN(B$1))</x:f>
        <x:v>#N/A</x:v>
      </x:c>
      <x:c r="D76" s="13" t="e">
        <x:f t="array" ref="D76:D76">INDEX($B$4:$M$33,MATCH($A76,$U$4:$U$33,0),COLUMN(C$1))</x:f>
        <x:v>#N/A</x:v>
      </x:c>
      <x:c r="E76" s="13" t="e">
        <x:f t="array" ref="E76:E76">INDEX($B$4:$M$33,MATCH($A76,$U$4:$U$33,0),COLUMN(D$1))</x:f>
        <x:v>#N/A</x:v>
      </x:c>
      <x:c r="F76" s="44" t="e">
        <x:f t="shared" si="21"/>
        <x:v>#N/A</x:v>
      </x:c>
      <x:c r="G76" s="45" t="e">
        <x:f t="shared" si="22"/>
        <x:v>#N/A</x:v>
      </x:c>
      <x:c r="H76" s="34" t="e">
        <x:f t="array" ref="H76:H76">IF(B76="","",IFERROR(INDEX('회원명단 및 기준에버'!D:G,MATCH(B76,'회원명단 및 기준에버'!$C:$C,0),CHOOSE(INT((MONTH($L$2)-1)/3)+1,1,2,3,4)),""))</x:f>
        <x:v>#N/A</x:v>
      </x:c>
      <x:c r="I76" s="38">
        <x:f t="shared" si="16"/>
        <x:v>0</x:v>
      </x:c>
      <x:c r="J76" s="38">
        <x:f t="shared" si="17"/>
        <x:v>0</x:v>
      </x:c>
      <x:c r="K76" s="38">
        <x:f t="shared" si="18"/>
        <x:v>0</x:v>
      </x:c>
      <x:c r="L76" s="63">
        <x:f t="shared" si="19"/>
        <x:v>0</x:v>
      </x:c>
      <x:c r="M76" s="39">
        <x:f t="shared" si="20"/>
        <x:v>0</x:v>
      </x:c>
    </x:row>
    <x:row r="77" spans="1:13" ht="24.949999999999999" customHeight="1">
      <x:c r="A77" s="12">
        <x:v>19</x:v>
      </x:c>
      <x:c r="B77" s="13" t="e">
        <x:f t="array" ref="B77:B77">INDEX($B$4:$M$33,MATCH($A77,$U$4:$U$33,0),COLUMN(A$1))</x:f>
        <x:v>#N/A</x:v>
      </x:c>
      <x:c r="C77" s="13" t="e">
        <x:f t="array" ref="C77:C77">INDEX($B$4:$M$33,MATCH($A77,$U$4:$U$33,0),COLUMN(B$1))</x:f>
        <x:v>#N/A</x:v>
      </x:c>
      <x:c r="D77" s="13" t="e">
        <x:f t="array" ref="D77:D77">INDEX($B$4:$M$33,MATCH($A77,$U$4:$U$33,0),COLUMN(C$1))</x:f>
        <x:v>#N/A</x:v>
      </x:c>
      <x:c r="E77" s="13" t="e">
        <x:f t="array" ref="E77:E77">INDEX($B$4:$M$33,MATCH($A77,$U$4:$U$33,0),COLUMN(D$1))</x:f>
        <x:v>#N/A</x:v>
      </x:c>
      <x:c r="F77" s="44" t="e">
        <x:f t="shared" si="21"/>
        <x:v>#N/A</x:v>
      </x:c>
      <x:c r="G77" s="45" t="e">
        <x:f t="shared" si="22"/>
        <x:v>#N/A</x:v>
      </x:c>
      <x:c r="H77" s="34" t="e">
        <x:f t="array" ref="H77:H77">IF(B77="","",IFERROR(INDEX('회원명단 및 기준에버'!D:G,MATCH(B77,'회원명단 및 기준에버'!$C:$C,0),CHOOSE(INT((MONTH($L$2)-1)/3)+1,1,2,3,4)),""))</x:f>
        <x:v>#N/A</x:v>
      </x:c>
      <x:c r="I77" s="38">
        <x:f t="shared" si="16"/>
        <x:v>0</x:v>
      </x:c>
      <x:c r="J77" s="38">
        <x:f t="shared" si="17"/>
        <x:v>0</x:v>
      </x:c>
      <x:c r="K77" s="38">
        <x:f t="shared" si="18"/>
        <x:v>0</x:v>
      </x:c>
      <x:c r="L77" s="63">
        <x:f t="shared" si="19"/>
        <x:v>0</x:v>
      </x:c>
      <x:c r="M77" s="39">
        <x:f t="shared" si="20"/>
        <x:v>0</x:v>
      </x:c>
    </x:row>
    <x:row r="78" spans="1:13" ht="24.949999999999999" customHeight="1">
      <x:c r="A78" s="12">
        <x:v>20</x:v>
      </x:c>
      <x:c r="B78" s="13" t="e">
        <x:f t="array" ref="B78:B78">INDEX($B$4:$M$33,MATCH($A78,$U$4:$U$33,0),COLUMN(A$1))</x:f>
        <x:v>#N/A</x:v>
      </x:c>
      <x:c r="C78" s="13" t="e">
        <x:f t="array" ref="C78:C78">INDEX($B$4:$M$33,MATCH($A78,$U$4:$U$33,0),COLUMN(B$1))</x:f>
        <x:v>#N/A</x:v>
      </x:c>
      <x:c r="D78" s="13" t="e">
        <x:f t="array" ref="D78:D78">INDEX($B$4:$M$33,MATCH($A78,$U$4:$U$33,0),COLUMN(C$1))</x:f>
        <x:v>#N/A</x:v>
      </x:c>
      <x:c r="E78" s="13" t="e">
        <x:f t="array" ref="E78:E78">INDEX($B$4:$M$33,MATCH($A78,$U$4:$U$33,0),COLUMN(D$1))</x:f>
        <x:v>#N/A</x:v>
      </x:c>
      <x:c r="F78" s="44" t="e">
        <x:f t="shared" si="21"/>
        <x:v>#N/A</x:v>
      </x:c>
      <x:c r="G78" s="45" t="e">
        <x:f t="shared" si="22"/>
        <x:v>#N/A</x:v>
      </x:c>
      <x:c r="H78" s="34" t="e">
        <x:f t="array" ref="H78:H78">IF(B78="","",IFERROR(INDEX('회원명단 및 기준에버'!D:G,MATCH(B78,'회원명단 및 기준에버'!$C:$C,0),CHOOSE(INT((MONTH($L$2)-1)/3)+1,1,2,3,4)),""))</x:f>
        <x:v>#N/A</x:v>
      </x:c>
      <x:c r="I78" s="38">
        <x:f t="shared" si="16"/>
        <x:v>0</x:v>
      </x:c>
      <x:c r="J78" s="38">
        <x:f t="shared" si="17"/>
        <x:v>0</x:v>
      </x:c>
      <x:c r="K78" s="38">
        <x:f t="shared" si="18"/>
        <x:v>0</x:v>
      </x:c>
      <x:c r="L78" s="63">
        <x:f t="shared" si="19"/>
        <x:v>0</x:v>
      </x:c>
      <x:c r="M78" s="39">
        <x:f t="shared" si="20"/>
        <x:v>0</x:v>
      </x:c>
    </x:row>
    <x:row r="79" spans="1:13" ht="24.949999999999999" customHeight="1">
      <x:c r="A79" s="12">
        <x:v>21</x:v>
      </x:c>
      <x:c r="B79" s="13" t="e">
        <x:f t="array" ref="B79:B79">INDEX($B$4:$M$33,MATCH($A79,$U$4:$U$33,0),COLUMN(A$1))</x:f>
        <x:v>#N/A</x:v>
      </x:c>
      <x:c r="C79" s="13" t="e">
        <x:f t="array" ref="C79:C79">INDEX($B$4:$M$33,MATCH($A79,$U$4:$U$33,0),COLUMN(B$1))</x:f>
        <x:v>#N/A</x:v>
      </x:c>
      <x:c r="D79" s="13" t="e">
        <x:f t="array" ref="D79:D79">INDEX($B$4:$M$33,MATCH($A79,$U$4:$U$33,0),COLUMN(C$1))</x:f>
        <x:v>#N/A</x:v>
      </x:c>
      <x:c r="E79" s="13" t="e">
        <x:f t="array" ref="E79:E79">INDEX($B$4:$M$33,MATCH($A79,$U$4:$U$33,0),COLUMN(D$1))</x:f>
        <x:v>#N/A</x:v>
      </x:c>
      <x:c r="F79" s="44" t="e">
        <x:f t="shared" si="21"/>
        <x:v>#N/A</x:v>
      </x:c>
      <x:c r="G79" s="45" t="e">
        <x:f t="shared" si="22"/>
        <x:v>#N/A</x:v>
      </x:c>
      <x:c r="H79" s="34" t="e">
        <x:f t="array" ref="H79:H79">IF(B79="","",IFERROR(INDEX('회원명단 및 기준에버'!D:G,MATCH(B79,'회원명단 및 기준에버'!$C:$C,0),CHOOSE(INT((MONTH($L$2)-1)/3)+1,1,2,3,4)),""))</x:f>
        <x:v>#N/A</x:v>
      </x:c>
      <x:c r="I79" s="38">
        <x:f t="shared" si="16"/>
        <x:v>0</x:v>
      </x:c>
      <x:c r="J79" s="38">
        <x:f t="shared" si="17"/>
        <x:v>0</x:v>
      </x:c>
      <x:c r="K79" s="38">
        <x:f t="shared" si="18"/>
        <x:v>0</x:v>
      </x:c>
      <x:c r="L79" s="63">
        <x:f t="shared" si="19"/>
        <x:v>0</x:v>
      </x:c>
      <x:c r="M79" s="39">
        <x:f t="shared" si="20"/>
        <x:v>0</x:v>
      </x:c>
    </x:row>
    <x:row r="80" spans="1:13" ht="24.949999999999999" customHeight="1">
      <x:c r="A80" s="12">
        <x:v>22</x:v>
      </x:c>
      <x:c r="B80" s="13" t="e">
        <x:f t="array" ref="B80:B80">INDEX($B$4:$M$33,MATCH($A80,$U$4:$U$33,0),COLUMN(A$1))</x:f>
        <x:v>#N/A</x:v>
      </x:c>
      <x:c r="C80" s="13" t="e">
        <x:f t="array" ref="C80:C80">INDEX($B$4:$M$33,MATCH($A80,$U$4:$U$33,0),COLUMN(B$1))</x:f>
        <x:v>#N/A</x:v>
      </x:c>
      <x:c r="D80" s="13" t="e">
        <x:f t="array" ref="D80:D80">INDEX($B$4:$M$33,MATCH($A80,$U$4:$U$33,0),COLUMN(C$1))</x:f>
        <x:v>#N/A</x:v>
      </x:c>
      <x:c r="E80" s="13" t="e">
        <x:f t="array" ref="E80:E80">INDEX($B$4:$M$33,MATCH($A80,$U$4:$U$33,0),COLUMN(D$1))</x:f>
        <x:v>#N/A</x:v>
      </x:c>
      <x:c r="F80" s="44" t="e">
        <x:f t="shared" si="21"/>
        <x:v>#N/A</x:v>
      </x:c>
      <x:c r="G80" s="45" t="e">
        <x:f t="shared" si="22"/>
        <x:v>#N/A</x:v>
      </x:c>
      <x:c r="H80" s="34" t="e">
        <x:f t="array" ref="H80:H80">IF(B80="","",IFERROR(INDEX('회원명단 및 기준에버'!D:G,MATCH(B80,'회원명단 및 기준에버'!$C:$C,0),CHOOSE(INT((MONTH($L$2)-1)/3)+1,1,2,3,4)),""))</x:f>
        <x:v>#N/A</x:v>
      </x:c>
      <x:c r="I80" s="38">
        <x:f t="shared" si="16"/>
        <x:v>0</x:v>
      </x:c>
      <x:c r="J80" s="38">
        <x:f t="shared" si="17"/>
        <x:v>0</x:v>
      </x:c>
      <x:c r="K80" s="38">
        <x:f t="shared" si="18"/>
        <x:v>0</x:v>
      </x:c>
      <x:c r="L80" s="63">
        <x:f t="shared" si="19"/>
        <x:v>0</x:v>
      </x:c>
      <x:c r="M80" s="39">
        <x:f t="shared" si="20"/>
        <x:v>0</x:v>
      </x:c>
    </x:row>
    <x:row r="81" spans="1:13" ht="24.949999999999999" customHeight="1">
      <x:c r="A81" s="12">
        <x:v>23</x:v>
      </x:c>
      <x:c r="B81" s="13" t="e">
        <x:f t="array" ref="B81:B81">INDEX($B$4:$M$33,MATCH($A81,$U$4:$U$33,0),COLUMN(A$1))</x:f>
        <x:v>#N/A</x:v>
      </x:c>
      <x:c r="C81" s="13" t="e">
        <x:f t="array" ref="C81:C81">INDEX($B$4:$M$33,MATCH($A81,$U$4:$U$33,0),COLUMN(B$1))</x:f>
        <x:v>#N/A</x:v>
      </x:c>
      <x:c r="D81" s="13" t="e">
        <x:f t="array" ref="D81:D81">INDEX($B$4:$M$33,MATCH($A81,$U$4:$U$33,0),COLUMN(C$1))</x:f>
        <x:v>#N/A</x:v>
      </x:c>
      <x:c r="E81" s="13" t="e">
        <x:f t="array" ref="E81:E81">INDEX($B$4:$M$33,MATCH($A81,$U$4:$U$33,0),COLUMN(D$1))</x:f>
        <x:v>#N/A</x:v>
      </x:c>
      <x:c r="F81" s="44" t="e">
        <x:f t="shared" si="21"/>
        <x:v>#N/A</x:v>
      </x:c>
      <x:c r="G81" s="45" t="e">
        <x:f t="shared" si="22"/>
        <x:v>#N/A</x:v>
      </x:c>
      <x:c r="H81" s="34" t="e">
        <x:f t="array" ref="H81:H81">IF(B81="","",IFERROR(INDEX('회원명단 및 기준에버'!D:G,MATCH(B81,'회원명단 및 기준에버'!$C:$C,0),CHOOSE(INT((MONTH($L$2)-1)/3)+1,1,2,3,4)),""))</x:f>
        <x:v>#N/A</x:v>
      </x:c>
      <x:c r="I81" s="38">
        <x:f t="shared" si="16"/>
        <x:v>0</x:v>
      </x:c>
      <x:c r="J81" s="38">
        <x:f t="shared" si="17"/>
        <x:v>0</x:v>
      </x:c>
      <x:c r="K81" s="38">
        <x:f t="shared" si="18"/>
        <x:v>0</x:v>
      </x:c>
      <x:c r="L81" s="63">
        <x:f t="shared" si="19"/>
        <x:v>0</x:v>
      </x:c>
      <x:c r="M81" s="39">
        <x:f t="shared" si="20"/>
        <x:v>0</x:v>
      </x:c>
    </x:row>
    <x:row r="82" spans="1:13" ht="24.949999999999999" customHeight="1">
      <x:c r="A82" s="12">
        <x:v>24</x:v>
      </x:c>
      <x:c r="B82" s="13" t="e">
        <x:f t="array" ref="B82:B82">INDEX($B$4:$M$33,MATCH($A82,$U$4:$U$33,0),COLUMN(A$1))</x:f>
        <x:v>#N/A</x:v>
      </x:c>
      <x:c r="C82" s="13" t="e">
        <x:f t="array" ref="C82:C82">INDEX($B$4:$M$33,MATCH($A82,$U$4:$U$33,0),COLUMN(B$1))</x:f>
        <x:v>#N/A</x:v>
      </x:c>
      <x:c r="D82" s="13" t="e">
        <x:f t="array" ref="D82:D82">INDEX($B$4:$M$33,MATCH($A82,$U$4:$U$33,0),COLUMN(C$1))</x:f>
        <x:v>#N/A</x:v>
      </x:c>
      <x:c r="E82" s="13" t="e">
        <x:f t="array" ref="E82:E82">INDEX($B$4:$M$33,MATCH($A82,$U$4:$U$33,0),COLUMN(D$1))</x:f>
        <x:v>#N/A</x:v>
      </x:c>
      <x:c r="F82" s="44" t="e">
        <x:f t="shared" si="21"/>
        <x:v>#N/A</x:v>
      </x:c>
      <x:c r="G82" s="45" t="e">
        <x:f t="shared" si="22"/>
        <x:v>#N/A</x:v>
      </x:c>
      <x:c r="H82" s="34" t="e">
        <x:f t="array" ref="H82:H82">IF(B82="","",IFERROR(INDEX('회원명단 및 기준에버'!D:G,MATCH(B82,'회원명단 및 기준에버'!$C:$C,0),CHOOSE(INT((MONTH($L$2)-1)/3)+1,1,2,3,4)),""))</x:f>
        <x:v>#N/A</x:v>
      </x:c>
      <x:c r="I82" s="38">
        <x:f t="shared" si="16"/>
        <x:v>0</x:v>
      </x:c>
      <x:c r="J82" s="38">
        <x:f t="shared" si="17"/>
        <x:v>0</x:v>
      </x:c>
      <x:c r="K82" s="38">
        <x:f t="shared" si="18"/>
        <x:v>0</x:v>
      </x:c>
      <x:c r="L82" s="63">
        <x:f t="shared" si="19"/>
        <x:v>0</x:v>
      </x:c>
      <x:c r="M82" s="39">
        <x:f t="shared" si="20"/>
        <x:v>0</x:v>
      </x:c>
    </x:row>
    <x:row r="83" spans="2:13" ht="24.949999999999999" customHeight="1">
      <x:c r="B83" s="168" t="s">
        <x:v>63</x:v>
      </x:c>
      <x:c r="C83" s="169"/>
      <x:c r="D83" s="169"/>
      <x:c r="E83" s="169"/>
      <x:c r="F83" s="169"/>
      <x:c r="G83" s="169"/>
      <x:c r="H83" s="169"/>
      <x:c r="I83" s="169"/>
      <x:c r="J83" s="169"/>
      <x:c r="K83" s="169"/>
      <x:c r="L83" s="169"/>
      <x:c r="M83" s="170"/>
    </x:row>
    <x:row r="84" spans="2:13" ht="24.949999999999999" customHeight="1">
      <x:c r="B84" s="171" t="s">
        <x:v>68</x:v>
      </x:c>
      <x:c r="C84" s="172"/>
      <x:c r="D84" s="172"/>
      <x:c r="E84" s="173"/>
      <x:c r="F84" s="174" t="s">
        <x:v>28</x:v>
      </x:c>
      <x:c r="G84" s="176" t="s">
        <x:v>14</x:v>
      </x:c>
      <x:c r="H84" s="177"/>
      <x:c r="I84" s="178"/>
      <x:c r="J84" s="179" t="s">
        <x:v>55</x:v>
      </x:c>
      <x:c r="K84" s="180"/>
      <x:c r="L84" s="180"/>
      <x:c r="M84" s="181"/>
    </x:row>
    <x:row r="85" spans="2:13" ht="24.949999999999999" customHeight="1">
      <x:c r="B85" s="54" t="str">
        <x:f>IF(B31="","",B31)</x:f>
        <x:v/>
      </x:c>
      <x:c r="C85" s="24" t="str">
        <x:f t="shared" ref="C85:E85" si="23">IF(C31="","",C31)</x:f>
        <x:v/>
      </x:c>
      <x:c r="D85" s="24" t="str">
        <x:f t="shared" si="23"/>
        <x:v/>
      </x:c>
      <x:c r="E85" s="25" t="str">
        <x:f t="shared" si="23"/>
        <x:v/>
      </x:c>
      <x:c r="F85" s="175"/>
      <x:c r="G85" s="182" t="s">
        <x:v>62</x:v>
      </x:c>
      <x:c r="H85" s="183"/>
      <x:c r="I85" s="184"/>
      <x:c r="J85" s="26" t="str">
        <x:f t="shared" ref="J85:M85" si="24">IF(J31="","",J31)</x:f>
        <x:v/>
      </x:c>
      <x:c r="K85" s="27" t="str">
        <x:f t="shared" si="24"/>
        <x:v/>
      </x:c>
      <x:c r="L85" s="27" t="str">
        <x:f t="shared" si="24"/>
        <x:v/>
      </x:c>
      <x:c r="M85" s="28" t="str">
        <x:f t="shared" si="24"/>
        <x:v/>
      </x:c>
    </x:row>
    <x:row r="86" spans="2:13" ht="24.949999999999999" customHeight="1">
      <x:c r="B86" s="155" t="s">
        <x:v>29</x:v>
      </x:c>
      <x:c r="C86" s="156"/>
      <x:c r="D86" s="156"/>
      <x:c r="E86" s="156"/>
      <x:c r="F86" s="156"/>
      <x:c r="G86" s="156"/>
      <x:c r="H86" s="157"/>
      <x:c r="I86" s="158" t="s">
        <x:v>66</x:v>
      </x:c>
      <x:c r="J86" s="159"/>
      <x:c r="K86" s="160" t="s">
        <x:v>67</x:v>
      </x:c>
      <x:c r="L86" s="161"/>
      <x:c r="M86" s="162"/>
    </x:row>
    <x:row r="87" spans="2:13" ht="24.949999999999999" customHeight="1">
      <x:c r="B87" s="21" t="str">
        <x:f t="shared" ref="B87:G87" si="25">IF(B33="","",B33)</x:f>
        <x:v/>
      </x:c>
      <x:c r="C87" s="64" t="str">
        <x:f t="shared" si="25"/>
        <x:v/>
      </x:c>
      <x:c r="D87" s="32" t="str">
        <x:f t="shared" si="25"/>
        <x:v/>
      </x:c>
      <x:c r="E87" s="67" t="str">
        <x:f t="shared" si="25"/>
        <x:v/>
      </x:c>
      <x:c r="F87" s="30" t="str">
        <x:f t="shared" si="25"/>
        <x:v/>
      </x:c>
      <x:c r="G87" s="70" t="str">
        <x:f t="shared" si="25"/>
        <x:v/>
      </x:c>
      <x:c r="H87" s="157"/>
      <x:c r="I87" s="23" t="str">
        <x:f t="shared" ref="I87:M87" si="26">IF(I33="","",I33)</x:f>
        <x:v/>
      </x:c>
      <x:c r="J87" s="50" t="str">
        <x:f t="shared" si="26"/>
        <x:v/>
      </x:c>
      <x:c r="K87" s="57" t="str">
        <x:f t="shared" si="26"/>
        <x:v/>
      </x:c>
      <x:c r="L87" s="58" t="str">
        <x:f t="shared" si="26"/>
        <x:v/>
      </x:c>
      <x:c r="M87" s="59" t="str">
        <x:f t="shared" si="26"/>
        <x:v/>
      </x:c>
    </x:row>
    <x:row r="88" spans="2:13" ht="24.949999999999999" customHeight="1">
      <x:c r="B88" s="46" t="str">
        <x:f t="shared" ref="B88:G88" si="27">IF(B34="","",B34)</x:f>
        <x:v/>
      </x:c>
      <x:c r="C88" s="65" t="str">
        <x:f t="shared" si="27"/>
        <x:v/>
      </x:c>
      <x:c r="D88" s="47" t="str">
        <x:f t="shared" si="27"/>
        <x:v/>
      </x:c>
      <x:c r="E88" s="68" t="str">
        <x:f t="shared" si="27"/>
        <x:v/>
      </x:c>
      <x:c r="F88" s="48" t="str">
        <x:f t="shared" si="27"/>
        <x:v/>
      </x:c>
      <x:c r="G88" s="71" t="str">
        <x:f t="shared" si="27"/>
        <x:v/>
      </x:c>
      <x:c r="H88" s="157"/>
      <x:c r="I88" s="49" t="str">
        <x:f t="shared" ref="I88:M88" si="28">IF(I34="","",I34)</x:f>
        <x:v/>
      </x:c>
      <x:c r="J88" s="51" t="str">
        <x:f t="shared" si="28"/>
        <x:v/>
      </x:c>
      <x:c r="K88" s="57" t="str">
        <x:f t="shared" si="28"/>
        <x:v/>
      </x:c>
      <x:c r="L88" s="58" t="str">
        <x:f t="shared" si="28"/>
        <x:v/>
      </x:c>
      <x:c r="M88" s="59" t="str">
        <x:f t="shared" si="28"/>
        <x:v/>
      </x:c>
    </x:row>
    <x:row r="89" spans="2:13" ht="24.949999999999999" customHeight="1">
      <x:c r="B89" s="29" t="str">
        <x:f t="shared" ref="B89:G89" si="29">IF(B35="","",B35)</x:f>
        <x:v/>
      </x:c>
      <x:c r="C89" s="66" t="str">
        <x:f t="shared" si="29"/>
        <x:v/>
      </x:c>
      <x:c r="D89" s="33" t="str">
        <x:f t="shared" si="29"/>
        <x:v/>
      </x:c>
      <x:c r="E89" s="69" t="str">
        <x:f t="shared" si="29"/>
        <x:v/>
      </x:c>
      <x:c r="F89" s="31" t="str">
        <x:f t="shared" si="29"/>
        <x:v/>
      </x:c>
      <x:c r="G89" s="72" t="str">
        <x:f t="shared" si="29"/>
        <x:v/>
      </x:c>
      <x:c r="H89" s="157"/>
      <x:c r="I89" s="24" t="str">
        <x:f t="shared" ref="I89:M89" si="30">IF(I35="","",I35)</x:f>
        <x:v/>
      </x:c>
      <x:c r="J89" s="52" t="str">
        <x:f t="shared" si="30"/>
        <x:v/>
      </x:c>
      <x:c r="K89" s="60" t="str">
        <x:f t="shared" si="30"/>
        <x:v/>
      </x:c>
      <x:c r="L89" s="53" t="str">
        <x:f t="shared" si="30"/>
        <x:v/>
      </x:c>
      <x:c r="M89" s="61" t="str">
        <x:f t="shared" si="30"/>
        <x:v/>
      </x:c>
    </x:row>
    <x:row r="90" spans="2:13" ht="24.949999999999999" customHeight="1">
      <x:c r="B90" s="163" t="s">
        <x:v>51</x:v>
      </x:c>
      <x:c r="C90" s="164"/>
      <x:c r="D90" s="164"/>
      <x:c r="E90" s="164"/>
      <x:c r="F90" s="164"/>
      <x:c r="G90" s="164"/>
      <x:c r="H90" s="164"/>
      <x:c r="I90" s="164"/>
      <x:c r="J90" s="164"/>
      <x:c r="K90" s="164"/>
      <x:c r="L90" s="164"/>
      <x:c r="M90" s="165"/>
    </x:row>
    <x:row r="91" spans="2:13" ht="24.949999999999999" customHeight="1">
      <x:c r="B91" s="35">
        <x:f t="shared" ref="B91:M91" si="31">IF(B37="","",B37)</x:f>
        <x:v>0</x:v>
      </x:c>
      <x:c r="C91" s="40">
        <x:f t="shared" si="31"/>
        <x:v>0</x:v>
      </x:c>
      <x:c r="D91" s="40">
        <x:f t="shared" si="31"/>
        <x:v>0</x:v>
      </x:c>
      <x:c r="E91" s="40">
        <x:f t="shared" si="31"/>
        <x:v>0</x:v>
      </x:c>
      <x:c r="F91" s="141">
        <x:f t="shared" si="31"/>
        <x:v>0</x:v>
      </x:c>
      <x:c r="G91" s="144" t="str">
        <x:f t="shared" si="31"/>
        <x:v/>
      </x:c>
      <x:c r="H91" s="79">
        <x:f t="shared" si="31"/>
        <x:v>0</x:v>
      </x:c>
      <x:c r="I91" s="40">
        <x:f t="shared" si="31"/>
        <x:v>0</x:v>
      </x:c>
      <x:c r="J91" s="40">
        <x:f t="shared" si="31"/>
        <x:v>0</x:v>
      </x:c>
      <x:c r="K91" s="40">
        <x:f t="shared" si="31"/>
        <x:v>0</x:v>
      </x:c>
      <x:c r="L91" s="149">
        <x:f t="shared" si="31"/>
        <x:v>0</x:v>
      </x:c>
      <x:c r="M91" s="152" t="str">
        <x:f t="shared" si="31"/>
        <x:v/>
      </x:c>
    </x:row>
    <x:row r="92" spans="2:13" ht="24.949999999999999" customHeight="1">
      <x:c r="B92" s="36">
        <x:f t="shared" ref="B92:M92" si="32">IF(B38="","",B38)</x:f>
        <x:v>0</x:v>
      </x:c>
      <x:c r="C92" s="41">
        <x:f t="shared" si="32"/>
        <x:v>0</x:v>
      </x:c>
      <x:c r="D92" s="41">
        <x:f t="shared" si="32"/>
        <x:v>0</x:v>
      </x:c>
      <x:c r="E92" s="41">
        <x:f t="shared" si="32"/>
        <x:v>0</x:v>
      </x:c>
      <x:c r="F92" s="142" t="str">
        <x:f t="shared" si="32"/>
        <x:v/>
      </x:c>
      <x:c r="G92" s="145" t="str">
        <x:f t="shared" si="32"/>
        <x:v/>
      </x:c>
      <x:c r="H92" s="36">
        <x:f t="shared" si="32"/>
        <x:v>0</x:v>
      </x:c>
      <x:c r="I92" s="41">
        <x:f t="shared" si="32"/>
        <x:v>0</x:v>
      </x:c>
      <x:c r="J92" s="41">
        <x:f t="shared" si="32"/>
        <x:v>0</x:v>
      </x:c>
      <x:c r="K92" s="41">
        <x:f t="shared" si="32"/>
        <x:v>0</x:v>
      </x:c>
      <x:c r="L92" s="150" t="str">
        <x:f t="shared" si="32"/>
        <x:v/>
      </x:c>
      <x:c r="M92" s="153" t="str">
        <x:f t="shared" si="32"/>
        <x:v/>
      </x:c>
    </x:row>
    <x:row r="93" spans="2:13" ht="24.949999999999999" customHeight="1">
      <x:c r="B93" s="36">
        <x:f t="shared" ref="B93:M93" si="33">IF(B39="","",B39)</x:f>
        <x:v>0</x:v>
      </x:c>
      <x:c r="C93" s="41">
        <x:f t="shared" si="33"/>
        <x:v>0</x:v>
      </x:c>
      <x:c r="D93" s="41">
        <x:f t="shared" si="33"/>
        <x:v>0</x:v>
      </x:c>
      <x:c r="E93" s="41">
        <x:f t="shared" si="33"/>
        <x:v>0</x:v>
      </x:c>
      <x:c r="F93" s="142" t="str">
        <x:f t="shared" si="33"/>
        <x:v/>
      </x:c>
      <x:c r="G93" s="145" t="str">
        <x:f t="shared" si="33"/>
        <x:v/>
      </x:c>
      <x:c r="H93" s="36">
        <x:f t="shared" si="33"/>
        <x:v>0</x:v>
      </x:c>
      <x:c r="I93" s="41">
        <x:f t="shared" si="33"/>
        <x:v>0</x:v>
      </x:c>
      <x:c r="J93" s="41">
        <x:f t="shared" si="33"/>
        <x:v>0</x:v>
      </x:c>
      <x:c r="K93" s="41">
        <x:f t="shared" si="33"/>
        <x:v>0</x:v>
      </x:c>
      <x:c r="L93" s="150" t="str">
        <x:f t="shared" si="33"/>
        <x:v/>
      </x:c>
      <x:c r="M93" s="153" t="str">
        <x:f t="shared" si="33"/>
        <x:v/>
      </x:c>
    </x:row>
    <x:row r="94" spans="2:13" ht="24.949999999999999" customHeight="1">
      <x:c r="B94" s="36">
        <x:f t="shared" ref="B94:M94" si="34">IF(B40="","",B40)</x:f>
        <x:v>0</x:v>
      </x:c>
      <x:c r="C94" s="41">
        <x:f t="shared" si="34"/>
        <x:v>0</x:v>
      </x:c>
      <x:c r="D94" s="41">
        <x:f t="shared" si="34"/>
        <x:v>0</x:v>
      </x:c>
      <x:c r="E94" s="41">
        <x:f t="shared" si="34"/>
        <x:v>0</x:v>
      </x:c>
      <x:c r="F94" s="142" t="str">
        <x:f t="shared" si="34"/>
        <x:v/>
      </x:c>
      <x:c r="G94" s="145" t="str">
        <x:f t="shared" si="34"/>
        <x:v/>
      </x:c>
      <x:c r="H94" s="36">
        <x:f t="shared" si="34"/>
        <x:v>0</x:v>
      </x:c>
      <x:c r="I94" s="41">
        <x:f t="shared" si="34"/>
        <x:v>0</x:v>
      </x:c>
      <x:c r="J94" s="41">
        <x:f t="shared" si="34"/>
        <x:v>0</x:v>
      </x:c>
      <x:c r="K94" s="41">
        <x:f t="shared" si="34"/>
        <x:v>0</x:v>
      </x:c>
      <x:c r="L94" s="150" t="str">
        <x:f t="shared" si="34"/>
        <x:v/>
      </x:c>
      <x:c r="M94" s="153" t="str">
        <x:f t="shared" si="34"/>
        <x:v/>
      </x:c>
    </x:row>
    <x:row r="95" spans="2:13" ht="24.949999999999999" customHeight="1">
      <x:c r="B95" s="37" t="str">
        <x:f t="shared" ref="B95:M100" si="35">IF(B41="","",B41)</x:f>
        <x:v/>
      </x:c>
      <x:c r="C95" s="42">
        <x:f t="shared" si="35"/>
        <x:v>0</x:v>
      </x:c>
      <x:c r="D95" s="42">
        <x:f t="shared" si="35"/>
        <x:v>0</x:v>
      </x:c>
      <x:c r="E95" s="42">
        <x:f t="shared" si="35"/>
        <x:v>0</x:v>
      </x:c>
      <x:c r="F95" s="143" t="str">
        <x:f t="shared" si="35"/>
        <x:v/>
      </x:c>
      <x:c r="G95" s="146" t="str">
        <x:f t="shared" si="35"/>
        <x:v/>
      </x:c>
      <x:c r="H95" s="37" t="str">
        <x:f t="shared" si="35"/>
        <x:v/>
      </x:c>
      <x:c r="I95" s="42">
        <x:f t="shared" si="35"/>
        <x:v>0</x:v>
      </x:c>
      <x:c r="J95" s="42">
        <x:f t="shared" si="35"/>
        <x:v>0</x:v>
      </x:c>
      <x:c r="K95" s="42">
        <x:f t="shared" si="35"/>
        <x:v>0</x:v>
      </x:c>
      <x:c r="L95" s="151" t="str">
        <x:f t="shared" si="35"/>
        <x:v/>
      </x:c>
      <x:c r="M95" s="154" t="str">
        <x:f t="shared" si="35"/>
        <x:v/>
      </x:c>
    </x:row>
    <x:row r="96" spans="2:13" ht="24.949999999999999" customHeight="1">
      <x:c r="B96" s="18" t="str">
        <x:f t="shared" si="35"/>
        <x:v/>
      </x:c>
      <x:c r="C96" s="18" t="str">
        <x:f t="shared" si="35"/>
        <x:v/>
      </x:c>
      <x:c r="D96" s="18" t="str">
        <x:f t="shared" si="35"/>
        <x:v/>
      </x:c>
      <x:c r="E96" s="18" t="str">
        <x:f t="shared" si="35"/>
        <x:v/>
      </x:c>
      <x:c r="F96" s="18" t="str">
        <x:f t="shared" si="35"/>
        <x:v/>
      </x:c>
      <x:c r="G96" s="18" t="str">
        <x:f t="shared" si="35"/>
        <x:v/>
      </x:c>
      <x:c r="H96" s="18" t="str">
        <x:f t="shared" si="35"/>
        <x:v/>
      </x:c>
      <x:c r="I96" s="18" t="str">
        <x:f t="shared" si="35"/>
        <x:v/>
      </x:c>
      <x:c r="J96" s="18" t="str">
        <x:f t="shared" si="35"/>
        <x:v/>
      </x:c>
      <x:c r="K96" s="18" t="str">
        <x:f t="shared" si="35"/>
        <x:v/>
      </x:c>
      <x:c r="L96" s="18" t="str">
        <x:f t="shared" si="35"/>
        <x:v/>
      </x:c>
      <x:c r="M96" s="18" t="str">
        <x:f t="shared" si="35"/>
        <x:v/>
      </x:c>
    </x:row>
    <x:row r="97" spans="2:13" ht="24.949999999999999" customHeight="1">
      <x:c r="B97" s="35">
        <x:f t="shared" si="35"/>
        <x:v>0</x:v>
      </x:c>
      <x:c r="C97" s="40">
        <x:f t="shared" si="35"/>
        <x:v>0</x:v>
      </x:c>
      <x:c r="D97" s="40">
        <x:f t="shared" si="35"/>
        <x:v>0</x:v>
      </x:c>
      <x:c r="E97" s="40">
        <x:f t="shared" si="35"/>
        <x:v>0</x:v>
      </x:c>
      <x:c r="F97" s="149">
        <x:f t="shared" si="35"/>
        <x:v>0</x:v>
      </x:c>
      <x:c r="G97" s="152" t="str">
        <x:f t="shared" si="35"/>
        <x:v/>
      </x:c>
      <x:c r="H97" s="79">
        <x:f t="shared" si="35"/>
        <x:v>0</x:v>
      </x:c>
      <x:c r="I97" s="40">
        <x:f t="shared" si="35"/>
        <x:v>0</x:v>
      </x:c>
      <x:c r="J97" s="40">
        <x:f t="shared" si="35"/>
        <x:v>0</x:v>
      </x:c>
      <x:c r="K97" s="40">
        <x:f t="shared" si="35"/>
        <x:v>0</x:v>
      </x:c>
      <x:c r="L97" s="149">
        <x:f t="shared" si="35"/>
        <x:v>0</x:v>
      </x:c>
      <x:c r="M97" s="152" t="str">
        <x:f t="shared" si="35"/>
        <x:v/>
      </x:c>
    </x:row>
    <x:row r="98" spans="2:13" ht="24.949999999999999" customHeight="1">
      <x:c r="B98" s="36">
        <x:f t="shared" si="35"/>
        <x:v>0</x:v>
      </x:c>
      <x:c r="C98" s="41">
        <x:f t="shared" si="35"/>
        <x:v>0</x:v>
      </x:c>
      <x:c r="D98" s="41">
        <x:f t="shared" si="35"/>
        <x:v>0</x:v>
      </x:c>
      <x:c r="E98" s="41">
        <x:f t="shared" si="35"/>
        <x:v>0</x:v>
      </x:c>
      <x:c r="F98" s="150" t="str">
        <x:f t="shared" si="35"/>
        <x:v/>
      </x:c>
      <x:c r="G98" s="153" t="str">
        <x:f t="shared" si="35"/>
        <x:v/>
      </x:c>
      <x:c r="H98" s="36">
        <x:f t="shared" si="35"/>
        <x:v>0</x:v>
      </x:c>
      <x:c r="I98" s="41">
        <x:f t="shared" si="35"/>
        <x:v>0</x:v>
      </x:c>
      <x:c r="J98" s="41">
        <x:f t="shared" si="35"/>
        <x:v>0</x:v>
      </x:c>
      <x:c r="K98" s="41">
        <x:f t="shared" si="35"/>
        <x:v>0</x:v>
      </x:c>
      <x:c r="L98" s="150" t="str">
        <x:f t="shared" si="35"/>
        <x:v/>
      </x:c>
      <x:c r="M98" s="153" t="str">
        <x:f t="shared" si="35"/>
        <x:v/>
      </x:c>
    </x:row>
    <x:row r="99" spans="2:13" ht="24.949999999999999" customHeight="1">
      <x:c r="B99" s="36">
        <x:f t="shared" si="35"/>
        <x:v>0</x:v>
      </x:c>
      <x:c r="C99" s="41">
        <x:f t="shared" si="35"/>
        <x:v>0</x:v>
      </x:c>
      <x:c r="D99" s="41">
        <x:f t="shared" si="35"/>
        <x:v>0</x:v>
      </x:c>
      <x:c r="E99" s="41">
        <x:f t="shared" si="35"/>
        <x:v>0</x:v>
      </x:c>
      <x:c r="F99" s="150" t="str">
        <x:f t="shared" si="35"/>
        <x:v/>
      </x:c>
      <x:c r="G99" s="153" t="str">
        <x:f t="shared" si="35"/>
        <x:v/>
      </x:c>
      <x:c r="H99" s="36">
        <x:f t="shared" si="35"/>
        <x:v>0</x:v>
      </x:c>
      <x:c r="I99" s="41">
        <x:f t="shared" si="35"/>
        <x:v>0</x:v>
      </x:c>
      <x:c r="J99" s="41">
        <x:f t="shared" si="35"/>
        <x:v>0</x:v>
      </x:c>
      <x:c r="K99" s="41">
        <x:f t="shared" si="35"/>
        <x:v>0</x:v>
      </x:c>
      <x:c r="L99" s="150" t="str">
        <x:f t="shared" si="35"/>
        <x:v/>
      </x:c>
      <x:c r="M99" s="153" t="str">
        <x:f t="shared" si="35"/>
        <x:v/>
      </x:c>
    </x:row>
    <x:row r="100" spans="2:13" ht="24.949999999999999" customHeight="1">
      <x:c r="B100" s="36">
        <x:f t="shared" si="35"/>
        <x:v>0</x:v>
      </x:c>
      <x:c r="C100" s="41">
        <x:f t="shared" si="35"/>
        <x:v>0</x:v>
      </x:c>
      <x:c r="D100" s="41">
        <x:f t="shared" si="35"/>
        <x:v>0</x:v>
      </x:c>
      <x:c r="E100" s="41">
        <x:f t="shared" si="35"/>
        <x:v>0</x:v>
      </x:c>
      <x:c r="F100" s="150" t="str">
        <x:f t="shared" si="35"/>
        <x:v/>
      </x:c>
      <x:c r="G100" s="153" t="str">
        <x:f t="shared" si="35"/>
        <x:v/>
      </x:c>
      <x:c r="H100" s="36">
        <x:f t="shared" si="35"/>
        <x:v>0</x:v>
      </x:c>
      <x:c r="I100" s="41">
        <x:f t="shared" si="35"/>
        <x:v>0</x:v>
      </x:c>
      <x:c r="J100" s="41">
        <x:f t="shared" si="35"/>
        <x:v>0</x:v>
      </x:c>
      <x:c r="K100" s="41">
        <x:f t="shared" si="35"/>
        <x:v>0</x:v>
      </x:c>
      <x:c r="L100" s="150" t="str">
        <x:f t="shared" si="35"/>
        <x:v/>
      </x:c>
      <x:c r="M100" s="153" t="str">
        <x:f t="shared" si="35"/>
        <x:v/>
      </x:c>
    </x:row>
    <x:row r="101" spans="2:13" ht="24.949999999999999" customHeight="1">
      <x:c r="B101" s="37" t="str">
        <x:f t="shared" ref="B101:M101" si="36">IF(B47="","",B47)</x:f>
        <x:v/>
      </x:c>
      <x:c r="C101" s="42">
        <x:f t="shared" si="36"/>
        <x:v>0</x:v>
      </x:c>
      <x:c r="D101" s="42">
        <x:f t="shared" si="36"/>
        <x:v>0</x:v>
      </x:c>
      <x:c r="E101" s="42">
        <x:f t="shared" si="36"/>
        <x:v>0</x:v>
      </x:c>
      <x:c r="F101" s="151" t="str">
        <x:f t="shared" si="36"/>
        <x:v/>
      </x:c>
      <x:c r="G101" s="154" t="str">
        <x:f t="shared" si="36"/>
        <x:v/>
      </x:c>
      <x:c r="H101" s="37" t="str">
        <x:f t="shared" si="36"/>
        <x:v/>
      </x:c>
      <x:c r="I101" s="42">
        <x:f t="shared" si="36"/>
        <x:v>0</x:v>
      </x:c>
      <x:c r="J101" s="42">
        <x:f t="shared" si="36"/>
        <x:v>0</x:v>
      </x:c>
      <x:c r="K101" s="42">
        <x:f t="shared" si="36"/>
        <x:v>0</x:v>
      </x:c>
      <x:c r="L101" s="151" t="str">
        <x:f t="shared" si="36"/>
        <x:v/>
      </x:c>
      <x:c r="M101" s="154" t="str">
        <x:f t="shared" si="36"/>
        <x:v/>
      </x:c>
    </x:row>
    <x:row r="102" spans="2:13" ht="24.949999999999999" customHeight="1">
      <x:c r="B102" s="11" t="str">
        <x:f t="shared" ref="B102:M102" si="37">IF(B48="","",B48)</x:f>
        <x:v/>
      </x:c>
      <x:c r="C102" s="11" t="str">
        <x:f t="shared" si="37"/>
        <x:v/>
      </x:c>
      <x:c r="D102" s="11" t="str">
        <x:f t="shared" si="37"/>
        <x:v/>
      </x:c>
      <x:c r="E102" s="11" t="str">
        <x:f t="shared" si="37"/>
        <x:v/>
      </x:c>
      <x:c r="F102" s="11" t="str">
        <x:f t="shared" si="37"/>
        <x:v/>
      </x:c>
      <x:c r="G102" s="11" t="str">
        <x:f t="shared" si="37"/>
        <x:v/>
      </x:c>
      <x:c r="H102" s="11" t="str">
        <x:f t="shared" si="37"/>
        <x:v/>
      </x:c>
      <x:c r="I102" s="11" t="str">
        <x:f t="shared" si="37"/>
        <x:v/>
      </x:c>
      <x:c r="J102" s="11" t="str">
        <x:f t="shared" si="37"/>
        <x:v/>
      </x:c>
      <x:c r="K102" s="11" t="str">
        <x:f t="shared" si="37"/>
        <x:v/>
      </x:c>
      <x:c r="L102" s="11" t="str">
        <x:f t="shared" si="37"/>
        <x:v/>
      </x:c>
      <x:c r="M102" s="11" t="str">
        <x:f t="shared" si="37"/>
        <x:v/>
      </x:c>
    </x:row>
    <x:row r="103" spans="2:13" ht="24.949999999999999" customHeight="1">
      <x:c r="B103" s="35">
        <x:f t="shared" ref="B103:M103" si="38">IF(B49="","",B49)</x:f>
        <x:v>0</x:v>
      </x:c>
      <x:c r="C103" s="40">
        <x:f t="shared" si="38"/>
        <x:v>0</x:v>
      </x:c>
      <x:c r="D103" s="40">
        <x:f t="shared" si="38"/>
        <x:v>0</x:v>
      </x:c>
      <x:c r="E103" s="40">
        <x:f t="shared" si="38"/>
        <x:v>0</x:v>
      </x:c>
      <x:c r="F103" s="141">
        <x:f t="shared" si="38"/>
        <x:v>0</x:v>
      </x:c>
      <x:c r="G103" s="190" t="str">
        <x:f t="shared" si="38"/>
        <x:v/>
      </x:c>
      <x:c r="H103" s="35">
        <x:f t="shared" si="38"/>
        <x:v>0</x:v>
      </x:c>
      <x:c r="I103" s="40">
        <x:f t="shared" si="38"/>
        <x:v>0</x:v>
      </x:c>
      <x:c r="J103" s="40">
        <x:f t="shared" si="38"/>
        <x:v>0</x:v>
      </x:c>
      <x:c r="K103" s="40">
        <x:f t="shared" si="38"/>
        <x:v>0</x:v>
      </x:c>
      <x:c r="L103" s="141">
        <x:f t="shared" si="38"/>
        <x:v>0</x:v>
      </x:c>
      <x:c r="M103" s="144" t="str">
        <x:f t="shared" si="38"/>
        <x:v/>
      </x:c>
    </x:row>
    <x:row r="104" spans="2:13" ht="24.949999999999999" customHeight="1">
      <x:c r="B104" s="36">
        <x:f t="shared" ref="B104:M104" si="39">IF(B50="","",B50)</x:f>
        <x:v>0</x:v>
      </x:c>
      <x:c r="C104" s="41">
        <x:f t="shared" si="39"/>
        <x:v>0</x:v>
      </x:c>
      <x:c r="D104" s="41">
        <x:f t="shared" si="39"/>
        <x:v>0</x:v>
      </x:c>
      <x:c r="E104" s="41">
        <x:f t="shared" si="39"/>
        <x:v>0</x:v>
      </x:c>
      <x:c r="F104" s="142" t="str">
        <x:f t="shared" si="39"/>
        <x:v/>
      </x:c>
      <x:c r="G104" s="191" t="str">
        <x:f t="shared" si="39"/>
        <x:v/>
      </x:c>
      <x:c r="H104" s="36">
        <x:f t="shared" si="39"/>
        <x:v>0</x:v>
      </x:c>
      <x:c r="I104" s="41">
        <x:f t="shared" si="39"/>
        <x:v>0</x:v>
      </x:c>
      <x:c r="J104" s="41">
        <x:f t="shared" si="39"/>
        <x:v>0</x:v>
      </x:c>
      <x:c r="K104" s="41">
        <x:f t="shared" si="39"/>
        <x:v>0</x:v>
      </x:c>
      <x:c r="L104" s="142" t="str">
        <x:f t="shared" si="39"/>
        <x:v/>
      </x:c>
      <x:c r="M104" s="145" t="str">
        <x:f t="shared" si="39"/>
        <x:v/>
      </x:c>
    </x:row>
    <x:row r="105" spans="2:13" ht="24.949999999999999" customHeight="1">
      <x:c r="B105" s="36">
        <x:f t="shared" ref="B105:M105" si="40">IF(B51="","",B51)</x:f>
        <x:v>0</x:v>
      </x:c>
      <x:c r="C105" s="41">
        <x:f t="shared" si="40"/>
        <x:v>0</x:v>
      </x:c>
      <x:c r="D105" s="41">
        <x:f t="shared" si="40"/>
        <x:v>0</x:v>
      </x:c>
      <x:c r="E105" s="41">
        <x:f t="shared" si="40"/>
        <x:v>0</x:v>
      </x:c>
      <x:c r="F105" s="142" t="str">
        <x:f t="shared" si="40"/>
        <x:v/>
      </x:c>
      <x:c r="G105" s="191" t="str">
        <x:f t="shared" si="40"/>
        <x:v/>
      </x:c>
      <x:c r="H105" s="36">
        <x:f t="shared" si="40"/>
        <x:v>0</x:v>
      </x:c>
      <x:c r="I105" s="41">
        <x:f t="shared" si="40"/>
        <x:v>0</x:v>
      </x:c>
      <x:c r="J105" s="41">
        <x:f t="shared" si="40"/>
        <x:v>0</x:v>
      </x:c>
      <x:c r="K105" s="41">
        <x:f t="shared" si="40"/>
        <x:v>0</x:v>
      </x:c>
      <x:c r="L105" s="142" t="str">
        <x:f t="shared" si="40"/>
        <x:v/>
      </x:c>
      <x:c r="M105" s="145" t="str">
        <x:f t="shared" si="40"/>
        <x:v/>
      </x:c>
    </x:row>
    <x:row r="106" spans="2:13" ht="24.949999999999999" customHeight="1">
      <x:c r="B106" s="36">
        <x:f t="shared" ref="B106:M106" si="41">IF(B52="","",B52)</x:f>
        <x:v>0</x:v>
      </x:c>
      <x:c r="C106" s="41">
        <x:f t="shared" si="41"/>
        <x:v>0</x:v>
      </x:c>
      <x:c r="D106" s="41">
        <x:f t="shared" si="41"/>
        <x:v>0</x:v>
      </x:c>
      <x:c r="E106" s="41">
        <x:f t="shared" si="41"/>
        <x:v>0</x:v>
      </x:c>
      <x:c r="F106" s="142" t="str">
        <x:f t="shared" si="41"/>
        <x:v/>
      </x:c>
      <x:c r="G106" s="191" t="str">
        <x:f t="shared" si="41"/>
        <x:v/>
      </x:c>
      <x:c r="H106" s="36">
        <x:f t="shared" si="41"/>
        <x:v>0</x:v>
      </x:c>
      <x:c r="I106" s="41">
        <x:f t="shared" si="41"/>
        <x:v>0</x:v>
      </x:c>
      <x:c r="J106" s="41">
        <x:f t="shared" si="41"/>
        <x:v>0</x:v>
      </x:c>
      <x:c r="K106" s="41">
        <x:f t="shared" si="41"/>
        <x:v>0</x:v>
      </x:c>
      <x:c r="L106" s="142" t="str">
        <x:f t="shared" si="41"/>
        <x:v/>
      </x:c>
      <x:c r="M106" s="145" t="str">
        <x:f t="shared" si="41"/>
        <x:v/>
      </x:c>
    </x:row>
    <x:row r="107" spans="2:13" ht="24.949999999999999" customHeight="1">
      <x:c r="B107" s="37" t="str">
        <x:f t="shared" ref="B107:M107" si="42">IF(B53="","",B53)</x:f>
        <x:v/>
      </x:c>
      <x:c r="C107" s="42">
        <x:f t="shared" si="42"/>
        <x:v>0</x:v>
      </x:c>
      <x:c r="D107" s="42">
        <x:f t="shared" si="42"/>
        <x:v>0</x:v>
      </x:c>
      <x:c r="E107" s="42">
        <x:f t="shared" si="42"/>
        <x:v>0</x:v>
      </x:c>
      <x:c r="F107" s="143" t="str">
        <x:f t="shared" si="42"/>
        <x:v/>
      </x:c>
      <x:c r="G107" s="192" t="str">
        <x:f t="shared" si="42"/>
        <x:v/>
      </x:c>
      <x:c r="H107" s="37" t="str">
        <x:f t="shared" si="42"/>
        <x:v/>
      </x:c>
      <x:c r="I107" s="42">
        <x:f t="shared" si="42"/>
        <x:v>0</x:v>
      </x:c>
      <x:c r="J107" s="42">
        <x:f t="shared" si="42"/>
        <x:v>0</x:v>
      </x:c>
      <x:c r="K107" s="42">
        <x:f t="shared" si="42"/>
        <x:v>0</x:v>
      </x:c>
      <x:c r="L107" s="143" t="str">
        <x:f t="shared" si="42"/>
        <x:v/>
      </x:c>
      <x:c r="M107" s="146" t="str">
        <x:f t="shared" si="42"/>
        <x:v/>
      </x:c>
    </x:row>
  </x:sheetData>
  <x:mergeCells count="50">
    <x:mergeCell ref="F103:F107"/>
    <x:mergeCell ref="G103:G107"/>
    <x:mergeCell ref="L103:L107"/>
    <x:mergeCell ref="M103:M107"/>
    <x:mergeCell ref="F91:F95"/>
    <x:mergeCell ref="G91:G95"/>
    <x:mergeCell ref="L91:L95"/>
    <x:mergeCell ref="M91:M95"/>
    <x:mergeCell ref="F97:F101"/>
    <x:mergeCell ref="G97:G101"/>
    <x:mergeCell ref="L97:L101"/>
    <x:mergeCell ref="M97:M101"/>
    <x:mergeCell ref="B86:G86"/>
    <x:mergeCell ref="H86:H89"/>
    <x:mergeCell ref="I86:J86"/>
    <x:mergeCell ref="K86:M86"/>
    <x:mergeCell ref="B90:M90"/>
    <x:mergeCell ref="L57:M57"/>
    <x:mergeCell ref="B83:M83"/>
    <x:mergeCell ref="B84:E84"/>
    <x:mergeCell ref="F84:F85"/>
    <x:mergeCell ref="G84:I84"/>
    <x:mergeCell ref="J84:M84"/>
    <x:mergeCell ref="G85:I85"/>
    <x:mergeCell ref="F49:F53"/>
    <x:mergeCell ref="G49:G53"/>
    <x:mergeCell ref="L49:L53"/>
    <x:mergeCell ref="M49:M53"/>
    <x:mergeCell ref="A56:M56"/>
    <x:mergeCell ref="F37:F41"/>
    <x:mergeCell ref="G37:G41"/>
    <x:mergeCell ref="L37:L41"/>
    <x:mergeCell ref="M37:M41"/>
    <x:mergeCell ref="F43:F47"/>
    <x:mergeCell ref="G43:G47"/>
    <x:mergeCell ref="L43:L47"/>
    <x:mergeCell ref="M43:M47"/>
    <x:mergeCell ref="B32:G32"/>
    <x:mergeCell ref="H32:H35"/>
    <x:mergeCell ref="I32:J32"/>
    <x:mergeCell ref="K32:M32"/>
    <x:mergeCell ref="B36:M36"/>
    <x:mergeCell ref="A1:M1"/>
    <x:mergeCell ref="L2:M2"/>
    <x:mergeCell ref="B29:M29"/>
    <x:mergeCell ref="B30:E30"/>
    <x:mergeCell ref="F30:F31"/>
    <x:mergeCell ref="G30:I30"/>
    <x:mergeCell ref="J30:M30"/>
    <x:mergeCell ref="G31:I31"/>
  </x:mergeCells>
  <x:conditionalFormatting sqref="C33:C35">
    <x:cfRule type="cellIs" dxfId="113" priority="43" operator="greaterThan">
      <x:formula>199</x:formula>
    </x:cfRule>
  </x:conditionalFormatting>
  <x:conditionalFormatting sqref="C87:C89">
    <x:cfRule type="cellIs" dxfId="112" priority="3" operator="greaterThan">
      <x:formula>199</x:formula>
    </x:cfRule>
  </x:conditionalFormatting>
  <x:conditionalFormatting sqref="C4:E28">
    <x:cfRule type="cellIs" dxfId="111" priority="15" operator="between">
      <x:formula>200</x:formula>
      <x:formula>200</x:formula>
    </x:cfRule>
    <x:cfRule type="cellIs" dxfId="110" priority="14" operator="between">
      <x:formula>200</x:formula>
      <x:formula>300</x:formula>
    </x:cfRule>
  </x:conditionalFormatting>
  <x:conditionalFormatting sqref="E33:E35">
    <x:cfRule type="cellIs" dxfId="109" priority="42" operator="greaterThan">
      <x:formula>199</x:formula>
    </x:cfRule>
  </x:conditionalFormatting>
  <x:conditionalFormatting sqref="E87:E89">
    <x:cfRule type="cellIs" dxfId="108" priority="2" operator="greaterThan">
      <x:formula>199</x:formula>
    </x:cfRule>
  </x:conditionalFormatting>
  <x:conditionalFormatting sqref="F4:F28">
    <x:cfRule type="cellIs" dxfId="107" priority="46" operator="greaterThan">
      <x:formula>599</x:formula>
    </x:cfRule>
    <x:cfRule type="cellIs" dxfId="106" priority="13" operator="between">
      <x:formula>600</x:formula>
      <x:formula>900</x:formula>
    </x:cfRule>
  </x:conditionalFormatting>
  <x:conditionalFormatting sqref="F59:F82">
    <x:cfRule type="cellIs" dxfId="105" priority="10" operator="greaterThan">
      <x:formula>599</x:formula>
    </x:cfRule>
    <x:cfRule type="cellIs" dxfId="104" priority="5" operator="between">
      <x:formula>600</x:formula>
      <x:formula>900</x:formula>
    </x:cfRule>
  </x:conditionalFormatting>
  <x:conditionalFormatting sqref="G4:G28">
    <x:cfRule type="cellIs" dxfId="103" priority="44" operator="greaterThan">
      <x:formula>199.9</x:formula>
    </x:cfRule>
  </x:conditionalFormatting>
  <x:conditionalFormatting sqref="G33:G35">
    <x:cfRule type="cellIs" dxfId="102" priority="41" operator="greaterThan">
      <x:formula>199</x:formula>
    </x:cfRule>
  </x:conditionalFormatting>
  <x:conditionalFormatting sqref="G59:G82">
    <x:cfRule type="cellIs" dxfId="101" priority="8" operator="greaterThan">
      <x:formula>199.9</x:formula>
    </x:cfRule>
  </x:conditionalFormatting>
  <x:conditionalFormatting sqref="G87:G89">
    <x:cfRule type="cellIs" dxfId="100" priority="1" operator="greaterThan">
      <x:formula>199</x:formula>
    </x:cfRule>
  </x:conditionalFormatting>
  <x:conditionalFormatting sqref="G4:H28">
    <x:cfRule type="cellIs" dxfId="99" priority="11" operator="between">
      <x:formula>200</x:formula>
      <x:formula>300</x:formula>
    </x:cfRule>
  </x:conditionalFormatting>
  <x:conditionalFormatting sqref="G59:H82">
    <x:cfRule type="cellIs" dxfId="98" priority="4" operator="between">
      <x:formula>200</x:formula>
      <x:formula>300</x:formula>
    </x:cfRule>
  </x:conditionalFormatting>
  <x:conditionalFormatting sqref="H4:H28">
    <x:cfRule type="cellIs" dxfId="97" priority="45" operator="greaterThan">
      <x:formula>199</x:formula>
    </x:cfRule>
  </x:conditionalFormatting>
  <x:conditionalFormatting sqref="H59:H82">
    <x:cfRule type="cellIs" dxfId="96" priority="9" operator="greaterThan">
      <x:formula>199</x:formula>
    </x:cfRule>
  </x:conditionalFormatting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  <x:legacyDrawing r:id="rId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V115"/>
  <x:sheetViews>
    <x:sheetView topLeftCell="A55" zoomScale="85" zoomScaleNormal="85" zoomScaleSheetLayoutView="85" workbookViewId="0">
      <x:selection activeCell="Q82" activeCellId="0" sqref="Q82:Q82"/>
    </x:sheetView>
  </x:sheetViews>
  <x:sheetFormatPr defaultColWidth="9" defaultRowHeight="16.399999999999999"/>
  <x:cols>
    <x:col min="1" max="1" width="4.625" style="11" customWidth="1"/>
    <x:col min="2" max="2" width="10.625" style="11" customWidth="1"/>
    <x:col min="3" max="11" width="9.625" style="11" customWidth="1"/>
    <x:col min="12" max="12" width="9" style="11" customWidth="1"/>
    <x:col min="13" max="13" width="9" style="11" bestFit="1" customWidth="1"/>
    <x:col min="14" max="14" width="9.875" style="11" bestFit="1" customWidth="1"/>
    <x:col min="15" max="15" width="9.375" style="11" customWidth="1"/>
    <x:col min="17" max="17" width="10.625" style="11" customWidth="1"/>
    <x:col min="19" max="19" width="13.125" style="11" customWidth="1"/>
    <x:col min="20" max="20" width="9" style="1" bestFit="1" customWidth="1"/>
    <x:col min="21" max="21" width="15" style="11" customWidth="1"/>
    <x:col min="22" max="22" width="9" style="1" bestFit="1" customWidth="1"/>
  </x:cols>
  <x:sheetData>
    <x:row r="1" spans="1:13" ht="60" customHeight="1">
      <x:c r="A1" s="185" t="s">
        <x:v>75</x:v>
      </x:c>
      <x:c r="B1" s="185"/>
      <x:c r="C1" s="185"/>
      <x:c r="D1" s="185"/>
      <x:c r="E1" s="185"/>
      <x:c r="F1" s="185"/>
      <x:c r="G1" s="185"/>
      <x:c r="H1" s="185"/>
      <x:c r="I1" s="185"/>
      <x:c r="J1" s="185"/>
      <x:c r="K1" s="185"/>
      <x:c r="L1" s="185"/>
      <x:c r="M1" s="185"/>
    </x:row>
    <x:row r="2" spans="1:22" ht="22.5" customHeight="1">
      <x:c r="A2" s="77"/>
      <x:c r="B2" s="77"/>
      <x:c r="C2" s="77"/>
      <x:c r="D2" s="77"/>
      <x:c r="E2" s="77"/>
      <x:c r="F2" s="77"/>
      <x:c r="G2" s="77"/>
      <x:c r="H2" s="77"/>
      <x:c r="I2" s="77"/>
      <x:c r="J2" s="77"/>
      <x:c r="K2" s="78" t="s">
        <x:v>8</x:v>
      </x:c>
      <x:c r="L2" s="166">
        <x:v>46114</x:v>
      </x:c>
      <x:c r="M2" s="167"/>
      <x:c r="S2" s="140" t="s">
        <x:v>44</x:v>
      </x:c>
      <x:c r="T2" s="90">
        <x:v>1</x:v>
      </x:c>
      <x:c r="U2" s="140" t="s">
        <x:v>61</x:v>
      </x:c>
      <x:c r="V2" s="90">
        <x:v>1</x:v>
      </x:c>
    </x:row>
    <x:row r="3" spans="1:22" ht="24.949999999999999" customHeight="1">
      <x:c r="A3" s="20"/>
      <x:c r="B3" s="14" t="s">
        <x:v>53</x:v>
      </x:c>
      <x:c r="C3" s="14" t="s">
        <x:v>2</x:v>
      </x:c>
      <x:c r="D3" s="14" t="s">
        <x:v>0</x:v>
      </x:c>
      <x:c r="E3" s="14" t="s">
        <x:v>10</x:v>
      </x:c>
      <x:c r="F3" s="14" t="s">
        <x:v>9</x:v>
      </x:c>
      <x:c r="G3" s="14" t="s">
        <x:v>6</x:v>
      </x:c>
      <x:c r="H3" s="16" t="s">
        <x:v>57</x:v>
      </x:c>
      <x:c r="I3" s="14" t="s">
        <x:v>2</x:v>
      </x:c>
      <x:c r="J3" s="14" t="s">
        <x:v>0</x:v>
      </x:c>
      <x:c r="K3" s="14" t="s">
        <x:v>10</x:v>
      </x:c>
      <x:c r="L3" s="15" t="s">
        <x:v>9</x:v>
      </x:c>
      <x:c r="M3" s="22" t="s">
        <x:v>13</x:v>
      </x:c>
      <x:c r="S3" s="92" t="s">
        <x:v>65</x:v>
      </x:c>
      <x:c r="T3" s="93"/>
      <x:c r="U3" s="93"/>
      <x:c r="V3" s="93"/>
    </x:row>
    <x:row r="4" spans="1:22" ht="24.949999999999999" customHeight="1">
      <x:c r="A4" s="12">
        <x:v>1</x:v>
      </x:c>
      <x:c r="B4" s="13" t="s">
        <x:v>52</x:v>
      </x:c>
      <x:c r="C4" s="62">
        <x:v>187</x:v>
      </x:c>
      <x:c r="D4" s="62">
        <x:v>214</x:v>
      </x:c>
      <x:c r="E4" s="62">
        <x:v>181</x:v>
      </x:c>
      <x:c r="F4" s="44">
        <x:f>SUM(C4:E4)</x:f>
        <x:v>582</x:v>
      </x:c>
      <x:c r="G4" s="45">
        <x:f>F4/3</x:f>
        <x:v>194</x:v>
      </x:c>
      <x:c r="H4" s="34">
        <x:f t="array" ref="H4:H4">IF(B4="","",IFERROR(INDEX('회원명단 및 기준에버'!D:G,MATCH(B4,'회원명단 및 기준에버'!$C:$C,0),CHOOSE(INT((MONTH($L$2)-1)/3)+1,1,2,3,4)),""))</x:f>
        <x:v>0</x:v>
      </x:c>
      <x:c r="I4" s="38">
        <x:v>0</x:v>
      </x:c>
      <x:c r="J4" s="38">
        <x:v>0</x:v>
      </x:c>
      <x:c r="K4" s="38">
        <x:v>0</x:v>
      </x:c>
      <x:c r="L4" s="63">
        <x:f>SUM(I4:K4)</x:f>
        <x:v>0</x:v>
      </x:c>
      <x:c r="M4" s="39">
        <x:v>0</x:v>
      </x:c>
      <x:c r="N4" s="19"/>
      <x:c r="S4" s="104">
        <x:f t="shared" ref="S4:S28" si="0">MAX(C4:E4)-MIN(C4:E4)</x:f>
        <x:v>33</x:v>
      </x:c>
      <x:c r="T4" s="99">
        <x:f>IF($B4="",-999999999+A4,IF($V$2=0,(F4*10000+S4*1000+A4),(M4*10000+S4*10+A4)))</x:f>
        <x:v>331</x:v>
      </x:c>
      <x:c r="U4" s="105">
        <x:f t="shared" ref="U4:U28" si="1">_xlfn.RANK.EQ(T4,$T$4:$T$28,0)</x:f>
        <x:v>12</x:v>
      </x:c>
      <x:c r="V4" s="106"/>
    </x:row>
    <x:row r="5" spans="1:22" ht="24.949999999999999" customHeight="1">
      <x:c r="A5" s="12">
        <x:v>2</x:v>
      </x:c>
      <x:c r="B5" s="13" t="s">
        <x:v>20</x:v>
      </x:c>
      <x:c r="C5" s="62">
        <x:v>165</x:v>
      </x:c>
      <x:c r="D5" s="62">
        <x:v>213</x:v>
      </x:c>
      <x:c r="E5" s="62">
        <x:v>183</x:v>
      </x:c>
      <x:c r="F5" s="44">
        <x:f>SUM(C5:E5)</x:f>
        <x:v>561</x:v>
      </x:c>
      <x:c r="G5" s="45">
        <x:f>F5/3</x:f>
        <x:v>187</x:v>
      </x:c>
      <x:c r="H5" s="34">
        <x:f t="array" ref="H5:H5">IF(B5="","",IFERROR(INDEX('회원명단 및 기준에버'!D:G,MATCH(B5,'회원명단 및 기준에버'!$C:$C,0),CHOOSE(INT((MONTH($L$2)-1)/3)+1,1,2,3,4)),""))</x:f>
        <x:v>200</x:v>
      </x:c>
      <x:c r="I5" s="38">
        <x:f>IFERROR(C5+-H5,0)</x:f>
        <x:v>-35</x:v>
      </x:c>
      <x:c r="J5" s="38">
        <x:f>IFERROR(D5+-H5,0)</x:f>
        <x:v>13</x:v>
      </x:c>
      <x:c r="K5" s="38">
        <x:f>IFERROR(E5+-H5,0)</x:f>
        <x:v>-17</x:v>
      </x:c>
      <x:c r="L5" s="63">
        <x:f>SUM(I5:K5)</x:f>
        <x:v>-39</x:v>
      </x:c>
      <x:c r="M5" s="39">
        <x:f>IFERROR(G5+-H5,0)</x:f>
        <x:v>-13</x:v>
      </x:c>
      <x:c r="N5" s="19"/>
      <x:c r="S5" s="107">
        <x:f t="shared" si="0"/>
        <x:v>48</x:v>
      </x:c>
      <x:c r="T5" s="97">
        <x:f t="shared" ref="T5:T28" si="2">IF($B5="",-999999999+A5,IF($V$2=0,(F5*10000+S5*1000+A5),(M5*10000+S5*10+A5)))</x:f>
        <x:v>-129518</x:v>
      </x:c>
      <x:c r="U5" s="91">
        <x:f t="shared" si="1"/>
        <x:v>23</x:v>
      </x:c>
      <x:c r="V5" s="108"/>
    </x:row>
    <x:row r="6" spans="1:22" ht="24.949999999999999" customHeight="1">
      <x:c r="A6" s="12">
        <x:v>3</x:v>
      </x:c>
      <x:c r="B6" s="13" t="s">
        <x:v>26</x:v>
      </x:c>
      <x:c r="C6" s="62">
        <x:v>182</x:v>
      </x:c>
      <x:c r="D6" s="62">
        <x:v>203</x:v>
      </x:c>
      <x:c r="E6" s="62">
        <x:v>193</x:v>
      </x:c>
      <x:c r="F6" s="44">
        <x:f>SUM(C6:E6)</x:f>
        <x:v>578</x:v>
      </x:c>
      <x:c r="G6" s="45">
        <x:f>F6/3</x:f>
        <x:v>192.66666666666666</x:v>
      </x:c>
      <x:c r="H6" s="34">
        <x:f t="array" ref="H6:H6">IF(B6="","",IFERROR(INDEX('회원명단 및 기준에버'!D:G,MATCH(B6,'회원명단 및 기준에버'!$C:$C,0),CHOOSE(INT((MONTH($L$2)-1)/3)+1,1,2,3,4)),""))</x:f>
        <x:v>200</x:v>
      </x:c>
      <x:c r="I6" s="38">
        <x:f t="shared" ref="I6:I27" si="3">IFERROR(C6+-H6,0)</x:f>
        <x:v>-18</x:v>
      </x:c>
      <x:c r="J6" s="38">
        <x:f t="shared" ref="J6:J27" si="4">IFERROR(D6+-H6,0)</x:f>
        <x:v>3</x:v>
      </x:c>
      <x:c r="K6" s="38">
        <x:f t="shared" ref="K6:K27" si="5">IFERROR(E6+-H6,0)</x:f>
        <x:v>-7</x:v>
      </x:c>
      <x:c r="L6" s="63">
        <x:f t="shared" ref="L6:L27" si="6">SUM(I6:K6)</x:f>
        <x:v>-22</x:v>
      </x:c>
      <x:c r="M6" s="39">
        <x:f t="shared" ref="M6:M27" si="7">IFERROR(G6+-H6,0)</x:f>
        <x:v>-7.3333333333333428</x:v>
      </x:c>
      <x:c r="S6" s="107">
        <x:f t="shared" si="0"/>
        <x:v>21</x:v>
      </x:c>
      <x:c r="T6" s="97">
        <x:f t="shared" si="2"/>
        <x:v>-73120.33333333343</x:v>
      </x:c>
      <x:c r="U6" s="91">
        <x:f t="shared" si="1"/>
        <x:v>20</x:v>
      </x:c>
      <x:c r="V6" s="108"/>
    </x:row>
    <x:row r="7" spans="1:22" ht="24.949999999999999" customHeight="1">
      <x:c r="A7" s="12">
        <x:v>4</x:v>
      </x:c>
      <x:c r="B7" s="13" t="s">
        <x:v>32</x:v>
      </x:c>
      <x:c r="C7" s="62">
        <x:v>185</x:v>
      </x:c>
      <x:c r="D7" s="62">
        <x:v>193</x:v>
      </x:c>
      <x:c r="E7" s="62">
        <x:v>245</x:v>
      </x:c>
      <x:c r="F7" s="44">
        <x:f>SUM(C7:E7)</x:f>
        <x:v>623</x:v>
      </x:c>
      <x:c r="G7" s="45">
        <x:f>F7/3</x:f>
        <x:v>207.66666666666666</x:v>
      </x:c>
      <x:c r="H7" s="34">
        <x:f t="array" ref="H7:H7">IF(B7="","",IFERROR(INDEX('회원명단 및 기준에버'!D:G,MATCH(B7,'회원명단 및 기준에버'!$C:$C,0),CHOOSE(INT((MONTH($L$2)-1)/3)+1,1,2,3,4)),""))</x:f>
        <x:v>199</x:v>
      </x:c>
      <x:c r="I7" s="38">
        <x:f t="shared" si="3"/>
        <x:v>-14</x:v>
      </x:c>
      <x:c r="J7" s="38">
        <x:f t="shared" si="4"/>
        <x:v>-6</x:v>
      </x:c>
      <x:c r="K7" s="38">
        <x:f t="shared" si="5"/>
        <x:v>46</x:v>
      </x:c>
      <x:c r="L7" s="63">
        <x:f t="shared" si="6"/>
        <x:v>26</x:v>
      </x:c>
      <x:c r="M7" s="39">
        <x:f t="shared" si="7"/>
        <x:v>8.6666666666666572</x:v>
      </x:c>
      <x:c r="S7" s="107">
        <x:f t="shared" si="0"/>
        <x:v>60</x:v>
      </x:c>
      <x:c r="T7" s="97">
        <x:f t="shared" si="2"/>
        <x:v>87270.66666666657</x:v>
      </x:c>
      <x:c r="U7" s="91">
        <x:f t="shared" si="1"/>
        <x:v>6</x:v>
      </x:c>
      <x:c r="V7" s="108"/>
    </x:row>
    <x:row r="8" spans="1:22" ht="24.949999999999999" customHeight="1">
      <x:c r="A8" s="12">
        <x:v>5</x:v>
      </x:c>
      <x:c r="B8" s="13" t="s">
        <x:v>56</x:v>
      </x:c>
      <x:c r="C8" s="62">
        <x:v>150</x:v>
      </x:c>
      <x:c r="D8" s="62">
        <x:v>134</x:v>
      </x:c>
      <x:c r="E8" s="62">
        <x:v>160</x:v>
      </x:c>
      <x:c r="F8" s="44">
        <x:f t="shared" ref="F8:F27" si="8">SUM(C8:E8)</x:f>
        <x:v>444</x:v>
      </x:c>
      <x:c r="G8" s="45">
        <x:f t="shared" ref="G8:G27" si="9">F8/3</x:f>
        <x:v>148</x:v>
      </x:c>
      <x:c r="H8" s="34">
        <x:f t="array" ref="H8:H8">IF(B8="","",IFERROR(INDEX('회원명단 및 기준에버'!D:G,MATCH(B8,'회원명단 및 기준에버'!$C:$C,0),CHOOSE(INT((MONTH($L$2)-1)/3)+1,1,2,3,4)),""))</x:f>
        <x:v>190</x:v>
      </x:c>
      <x:c r="I8" s="38">
        <x:f t="shared" si="3"/>
        <x:v>-40</x:v>
      </x:c>
      <x:c r="J8" s="38">
        <x:f t="shared" si="4"/>
        <x:v>-56</x:v>
      </x:c>
      <x:c r="K8" s="38">
        <x:f t="shared" si="5"/>
        <x:v>-30</x:v>
      </x:c>
      <x:c r="L8" s="63">
        <x:f t="shared" si="6"/>
        <x:v>-126</x:v>
      </x:c>
      <x:c r="M8" s="39">
        <x:f t="shared" si="7"/>
        <x:v>-42</x:v>
      </x:c>
      <x:c r="S8" s="107">
        <x:f t="shared" si="0"/>
        <x:v>26</x:v>
      </x:c>
      <x:c r="T8" s="97">
        <x:f t="shared" si="2"/>
        <x:v>-419735</x:v>
      </x:c>
      <x:c r="U8" s="91">
        <x:f t="shared" si="1"/>
        <x:v>25</x:v>
      </x:c>
      <x:c r="V8" s="108"/>
    </x:row>
    <x:row r="9" spans="1:22" ht="24.949999999999999" customHeight="1">
      <x:c r="A9" s="12">
        <x:v>6</x:v>
      </x:c>
      <x:c r="B9" s="13" t="s">
        <x:v>41</x:v>
      </x:c>
      <x:c r="C9" s="62">
        <x:v>158</x:v>
      </x:c>
      <x:c r="D9" s="62">
        <x:v>166</x:v>
      </x:c>
      <x:c r="E9" s="62">
        <x:v>188</x:v>
      </x:c>
      <x:c r="F9" s="44">
        <x:f t="shared" si="8"/>
        <x:v>512</x:v>
      </x:c>
      <x:c r="G9" s="45">
        <x:f t="shared" si="9"/>
        <x:v>170.66666666666666</x:v>
      </x:c>
      <x:c r="H9" s="34">
        <x:f t="array" ref="H9:H9">IF(B9="","",IFERROR(INDEX('회원명단 및 기준에버'!D:G,MATCH(B9,'회원명단 및 기준에버'!$C:$C,0),CHOOSE(INT((MONTH($L$2)-1)/3)+1,1,2,3,4)),""))</x:f>
        <x:v>162</x:v>
      </x:c>
      <x:c r="I9" s="38">
        <x:f t="shared" si="3"/>
        <x:v>-4</x:v>
      </x:c>
      <x:c r="J9" s="38">
        <x:f t="shared" si="4"/>
        <x:v>4</x:v>
      </x:c>
      <x:c r="K9" s="38">
        <x:f t="shared" si="5"/>
        <x:v>26</x:v>
      </x:c>
      <x:c r="L9" s="63">
        <x:f t="shared" si="6"/>
        <x:v>26</x:v>
      </x:c>
      <x:c r="M9" s="39">
        <x:f t="shared" si="7"/>
        <x:v>8.6666666666666572</x:v>
      </x:c>
      <x:c r="S9" s="107">
        <x:f t="shared" si="0"/>
        <x:v>30</x:v>
      </x:c>
      <x:c r="T9" s="97">
        <x:f t="shared" si="2"/>
        <x:v>86972.66666666657</x:v>
      </x:c>
      <x:c r="U9" s="91">
        <x:f t="shared" si="1"/>
        <x:v>7</x:v>
      </x:c>
      <x:c r="V9" s="108"/>
    </x:row>
    <x:row r="10" spans="1:22" ht="24.949999999999999" customHeight="1">
      <x:c r="A10" s="12">
        <x:v>7</x:v>
      </x:c>
      <x:c r="B10" s="13" t="s">
        <x:v>58</x:v>
      </x:c>
      <x:c r="C10" s="62">
        <x:v>180</x:v>
      </x:c>
      <x:c r="D10" s="62">
        <x:v>245</x:v>
      </x:c>
      <x:c r="E10" s="62">
        <x:v>217</x:v>
      </x:c>
      <x:c r="F10" s="44">
        <x:f t="shared" si="8"/>
        <x:v>642</x:v>
      </x:c>
      <x:c r="G10" s="45">
        <x:f t="shared" si="9"/>
        <x:v>214</x:v>
      </x:c>
      <x:c r="H10" s="34">
        <x:f t="array" ref="H10:H10">IF(B10="","",IFERROR(INDEX('회원명단 및 기준에버'!D:G,MATCH(B10,'회원명단 및 기준에버'!$C:$C,0),CHOOSE(INT((MONTH($L$2)-1)/3)+1,1,2,3,4)),""))</x:f>
        <x:v>200</x:v>
      </x:c>
      <x:c r="I10" s="38">
        <x:f t="shared" si="3"/>
        <x:v>-20</x:v>
      </x:c>
      <x:c r="J10" s="38">
        <x:f t="shared" si="4"/>
        <x:v>45</x:v>
      </x:c>
      <x:c r="K10" s="38">
        <x:f t="shared" si="5"/>
        <x:v>17</x:v>
      </x:c>
      <x:c r="L10" s="63">
        <x:f t="shared" si="6"/>
        <x:v>42</x:v>
      </x:c>
      <x:c r="M10" s="39">
        <x:f t="shared" si="7"/>
        <x:v>14</x:v>
      </x:c>
      <x:c r="S10" s="107">
        <x:f t="shared" si="0"/>
        <x:v>65</x:v>
      </x:c>
      <x:c r="T10" s="97">
        <x:f t="shared" si="2"/>
        <x:v>140657</x:v>
      </x:c>
      <x:c r="U10" s="91">
        <x:f t="shared" si="1"/>
        <x:v>4</x:v>
      </x:c>
      <x:c r="V10" s="108"/>
    </x:row>
    <x:row r="11" spans="1:22" ht="24.949999999999999" customHeight="1">
      <x:c r="A11" s="12">
        <x:v>8</x:v>
      </x:c>
      <x:c r="B11" s="13" t="s">
        <x:v>47</x:v>
      </x:c>
      <x:c r="C11" s="62">
        <x:v>204</x:v>
      </x:c>
      <x:c r="D11" s="62">
        <x:v>222</x:v>
      </x:c>
      <x:c r="E11" s="62">
        <x:v>156</x:v>
      </x:c>
      <x:c r="F11" s="44">
        <x:f t="shared" si="8"/>
        <x:v>582</x:v>
      </x:c>
      <x:c r="G11" s="45">
        <x:f t="shared" si="9"/>
        <x:v>194</x:v>
      </x:c>
      <x:c r="H11" s="34">
        <x:f t="array" ref="H11:H11">IF(B11="","",IFERROR(INDEX('회원명단 및 기준에버'!D:G,MATCH(B11,'회원명단 및 기준에버'!$C:$C,0),CHOOSE(INT((MONTH($L$2)-1)/3)+1,1,2,3,4)),""))</x:f>
        <x:v>200</x:v>
      </x:c>
      <x:c r="I11" s="38">
        <x:f t="shared" si="3"/>
        <x:v>4</x:v>
      </x:c>
      <x:c r="J11" s="38">
        <x:f t="shared" si="4"/>
        <x:v>22</x:v>
      </x:c>
      <x:c r="K11" s="38">
        <x:f t="shared" si="5"/>
        <x:v>-44</x:v>
      </x:c>
      <x:c r="L11" s="63">
        <x:f t="shared" si="6"/>
        <x:v>-18</x:v>
      </x:c>
      <x:c r="M11" s="39">
        <x:f t="shared" si="7"/>
        <x:v>-6</x:v>
      </x:c>
      <x:c r="S11" s="107">
        <x:f t="shared" si="0"/>
        <x:v>66</x:v>
      </x:c>
      <x:c r="T11" s="97">
        <x:f t="shared" si="2"/>
        <x:v>-59332</x:v>
      </x:c>
      <x:c r="U11" s="91">
        <x:f t="shared" si="1"/>
        <x:v>17</x:v>
      </x:c>
      <x:c r="V11" s="108"/>
    </x:row>
    <x:row r="12" spans="1:22" ht="24.949999999999999" customHeight="1">
      <x:c r="A12" s="12">
        <x:v>9</x:v>
      </x:c>
      <x:c r="B12" s="13" t="s">
        <x:v>43</x:v>
      </x:c>
      <x:c r="C12" s="62">
        <x:v>180</x:v>
      </x:c>
      <x:c r="D12" s="62">
        <x:v>194</x:v>
      </x:c>
      <x:c r="E12" s="62">
        <x:v>182</x:v>
      </x:c>
      <x:c r="F12" s="44">
        <x:f t="shared" si="8"/>
        <x:v>556</x:v>
      </x:c>
      <x:c r="G12" s="45">
        <x:f t="shared" si="9"/>
        <x:v>185.33333333333334</x:v>
      </x:c>
      <x:c r="H12" s="34">
        <x:f t="array" ref="H12:H12">IF(B12="","",IFERROR(INDEX('회원명단 및 기준에버'!D:G,MATCH(B12,'회원명단 및 기준에버'!$C:$C,0),CHOOSE(INT((MONTH($L$2)-1)/3)+1,1,2,3,4)),""))</x:f>
        <x:v>195</x:v>
      </x:c>
      <x:c r="I12" s="38">
        <x:f t="shared" si="3"/>
        <x:v>-15</x:v>
      </x:c>
      <x:c r="J12" s="38">
        <x:f t="shared" si="4"/>
        <x:v>-1</x:v>
      </x:c>
      <x:c r="K12" s="38">
        <x:f t="shared" si="5"/>
        <x:v>-13</x:v>
      </x:c>
      <x:c r="L12" s="63">
        <x:f t="shared" si="6"/>
        <x:v>-29</x:v>
      </x:c>
      <x:c r="M12" s="39">
        <x:f t="shared" si="7"/>
        <x:v>-9.6666666666666572</x:v>
      </x:c>
      <x:c r="S12" s="107">
        <x:f t="shared" si="0"/>
        <x:v>14</x:v>
      </x:c>
      <x:c r="T12" s="97">
        <x:f t="shared" si="2"/>
        <x:v>-96517.66666666657</x:v>
      </x:c>
      <x:c r="U12" s="91">
        <x:f t="shared" si="1"/>
        <x:v>21</x:v>
      </x:c>
      <x:c r="V12" s="108"/>
    </x:row>
    <x:row r="13" spans="1:22" ht="24.949999999999999" customHeight="1">
      <x:c r="A13" s="12">
        <x:v>10</x:v>
      </x:c>
      <x:c r="B13" s="13" t="s">
        <x:v>38</x:v>
      </x:c>
      <x:c r="C13" s="62">
        <x:v>208</x:v>
      </x:c>
      <x:c r="D13" s="62">
        <x:v>179</x:v>
      </x:c>
      <x:c r="E13" s="62">
        <x:v>191</x:v>
      </x:c>
      <x:c r="F13" s="44">
        <x:f t="shared" si="8"/>
        <x:v>578</x:v>
      </x:c>
      <x:c r="G13" s="45">
        <x:f t="shared" si="9"/>
        <x:v>192.66666666666666</x:v>
      </x:c>
      <x:c r="H13" s="34">
        <x:f t="array" ref="H13:H13">IF(B13="","",IFERROR(INDEX('회원명단 및 기준에버'!D:G,MATCH(B13,'회원명단 및 기준에버'!$C:$C,0),CHOOSE(INT((MONTH($L$2)-1)/3)+1,1,2,3,4)),""))</x:f>
        <x:v>191</x:v>
      </x:c>
      <x:c r="I13" s="38">
        <x:f t="shared" si="3"/>
        <x:v>17</x:v>
      </x:c>
      <x:c r="J13" s="38">
        <x:f t="shared" si="4"/>
        <x:v>-12</x:v>
      </x:c>
      <x:c r="K13" s="38">
        <x:f t="shared" si="5"/>
        <x:v>0</x:v>
      </x:c>
      <x:c r="L13" s="63">
        <x:f t="shared" si="6"/>
        <x:v>5</x:v>
      </x:c>
      <x:c r="M13" s="39">
        <x:f t="shared" si="7"/>
        <x:v>1.6666666666666572</x:v>
      </x:c>
      <x:c r="S13" s="107">
        <x:f t="shared" si="0"/>
        <x:v>29</x:v>
      </x:c>
      <x:c r="T13" s="97">
        <x:f t="shared" si="2"/>
        <x:v>16966.666666666573</x:v>
      </x:c>
      <x:c r="U13" s="91">
        <x:f t="shared" si="1"/>
        <x:v>11</x:v>
      </x:c>
      <x:c r="V13" s="108"/>
    </x:row>
    <x:row r="14" spans="1:22" ht="24.949999999999999" customHeight="1">
      <x:c r="A14" s="12">
        <x:v>11</x:v>
      </x:c>
      <x:c r="B14" s="13" t="s">
        <x:v>34</x:v>
      </x:c>
      <x:c r="C14" s="62">
        <x:v>173</x:v>
      </x:c>
      <x:c r="D14" s="62">
        <x:v>166</x:v>
      </x:c>
      <x:c r="E14" s="62">
        <x:v>191</x:v>
      </x:c>
      <x:c r="F14" s="44">
        <x:f t="shared" si="8"/>
        <x:v>530</x:v>
      </x:c>
      <x:c r="G14" s="45">
        <x:f t="shared" si="9"/>
        <x:v>176.66666666666666</x:v>
      </x:c>
      <x:c r="H14" s="34">
        <x:f t="array" ref="H14:H14">IF(B14="","",IFERROR(INDEX('회원명단 및 기준에버'!D:G,MATCH(B14,'회원명단 및 기준에버'!$C:$C,0),CHOOSE(INT((MONTH($L$2)-1)/3)+1,1,2,3,4)),""))</x:f>
        <x:v>177</x:v>
      </x:c>
      <x:c r="I14" s="38">
        <x:f t="shared" si="3"/>
        <x:v>-4</x:v>
      </x:c>
      <x:c r="J14" s="38">
        <x:f t="shared" si="4"/>
        <x:v>-11</x:v>
      </x:c>
      <x:c r="K14" s="38">
        <x:f t="shared" si="5"/>
        <x:v>14</x:v>
      </x:c>
      <x:c r="L14" s="63">
        <x:f t="shared" si="6"/>
        <x:v>-1</x:v>
      </x:c>
      <x:c r="M14" s="39">
        <x:f t="shared" si="7"/>
        <x:v>-0.33333333333334281</x:v>
      </x:c>
      <x:c r="S14" s="107">
        <x:f t="shared" si="0"/>
        <x:v>25</x:v>
      </x:c>
      <x:c r="T14" s="97">
        <x:f t="shared" si="2"/>
        <x:v>-3072.3333333334281</x:v>
      </x:c>
      <x:c r="U14" s="91">
        <x:f t="shared" si="1"/>
        <x:v>14</x:v>
      </x:c>
      <x:c r="V14" s="108"/>
    </x:row>
    <x:row r="15" spans="1:22" ht="24.949999999999999" customHeight="1">
      <x:c r="A15" s="12">
        <x:v>12</x:v>
      </x:c>
      <x:c r="B15" s="13" t="s">
        <x:v>48</x:v>
      </x:c>
      <x:c r="C15" s="62">
        <x:v>176</x:v>
      </x:c>
      <x:c r="D15" s="62">
        <x:v>179</x:v>
      </x:c>
      <x:c r="E15" s="62">
        <x:v>214</x:v>
      </x:c>
      <x:c r="F15" s="44">
        <x:f t="shared" si="8"/>
        <x:v>569</x:v>
      </x:c>
      <x:c r="G15" s="45">
        <x:f t="shared" si="9"/>
        <x:v>189.66666666666666</x:v>
      </x:c>
      <x:c r="H15" s="34">
        <x:f t="array" ref="H15:H15">IF(B15="","",IFERROR(INDEX('회원명단 및 기준에버'!D:G,MATCH(B15,'회원명단 및 기준에버'!$C:$C,0),CHOOSE(INT((MONTH($L$2)-1)/3)+1,1,2,3,4)),""))</x:f>
        <x:v>191</x:v>
      </x:c>
      <x:c r="I15" s="38">
        <x:f t="shared" si="3"/>
        <x:v>-15</x:v>
      </x:c>
      <x:c r="J15" s="38">
        <x:f t="shared" si="4"/>
        <x:v>-12</x:v>
      </x:c>
      <x:c r="K15" s="38">
        <x:f t="shared" si="5"/>
        <x:v>23</x:v>
      </x:c>
      <x:c r="L15" s="63">
        <x:f t="shared" si="6"/>
        <x:v>-4</x:v>
      </x:c>
      <x:c r="M15" s="39">
        <x:f t="shared" si="7"/>
        <x:v>-1.3333333333333428</x:v>
      </x:c>
      <x:c r="S15" s="107">
        <x:f t="shared" si="0"/>
        <x:v>38</x:v>
      </x:c>
      <x:c r="T15" s="97">
        <x:f t="shared" si="2"/>
        <x:v>-12941.333333333429</x:v>
      </x:c>
      <x:c r="U15" s="91">
        <x:f t="shared" si="1"/>
        <x:v>15</x:v>
      </x:c>
      <x:c r="V15" s="108"/>
    </x:row>
    <x:row r="16" spans="1:22" ht="24.949999999999999" customHeight="1">
      <x:c r="A16" s="12">
        <x:v>13</x:v>
      </x:c>
      <x:c r="B16" s="13" t="s">
        <x:v>39</x:v>
      </x:c>
      <x:c r="C16" s="62">
        <x:v>192</x:v>
      </x:c>
      <x:c r="D16" s="62">
        <x:v>192</x:v>
      </x:c>
      <x:c r="E16" s="62">
        <x:v>194</x:v>
      </x:c>
      <x:c r="F16" s="44">
        <x:f t="shared" si="8"/>
        <x:v>578</x:v>
      </x:c>
      <x:c r="G16" s="45">
        <x:f t="shared" si="9"/>
        <x:v>192.66666666666666</x:v>
      </x:c>
      <x:c r="H16" s="34">
        <x:f t="array" ref="H16:H16">IF(B16="","",IFERROR(INDEX('회원명단 및 기준에버'!D:G,MATCH(B16,'회원명단 및 기준에버'!$C:$C,0),CHOOSE(INT((MONTH($L$2)-1)/3)+1,1,2,3,4)),""))</x:f>
        <x:v>199</x:v>
      </x:c>
      <x:c r="I16" s="38">
        <x:f t="shared" si="3"/>
        <x:v>-7</x:v>
      </x:c>
      <x:c r="J16" s="38">
        <x:f t="shared" si="4"/>
        <x:v>-7</x:v>
      </x:c>
      <x:c r="K16" s="38">
        <x:f t="shared" si="5"/>
        <x:v>-5</x:v>
      </x:c>
      <x:c r="L16" s="63">
        <x:f t="shared" si="6"/>
        <x:v>-19</x:v>
      </x:c>
      <x:c r="M16" s="39">
        <x:f t="shared" si="7"/>
        <x:v>-6.3333333333333428</x:v>
      </x:c>
      <x:c r="S16" s="107">
        <x:f t="shared" si="0"/>
        <x:v>2</x:v>
      </x:c>
      <x:c r="T16" s="97">
        <x:f t="shared" si="2"/>
        <x:v>-63300.33333333343</x:v>
      </x:c>
      <x:c r="U16" s="91">
        <x:f t="shared" si="1"/>
        <x:v>18</x:v>
      </x:c>
      <x:c r="V16" s="108"/>
    </x:row>
    <x:row r="17" spans="1:22" ht="24.949999999999999" customHeight="1">
      <x:c r="A17" s="12">
        <x:v>14</x:v>
      </x:c>
      <x:c r="B17" s="13" t="s">
        <x:v>22</x:v>
      </x:c>
      <x:c r="C17" s="62">
        <x:v>197</x:v>
      </x:c>
      <x:c r="D17" s="62">
        <x:v>168</x:v>
      </x:c>
      <x:c r="E17" s="62">
        <x:v>173</x:v>
      </x:c>
      <x:c r="F17" s="44">
        <x:f t="shared" si="8"/>
        <x:v>538</x:v>
      </x:c>
      <x:c r="G17" s="45">
        <x:f t="shared" si="9"/>
        <x:v>179.33333333333334</x:v>
      </x:c>
      <x:c r="H17" s="34">
        <x:f t="array" ref="H17:H17">IF(B17="","",IFERROR(INDEX('회원명단 및 기준에버'!D:G,MATCH(B17,'회원명단 및 기준에버'!$C:$C,0),CHOOSE(INT((MONTH($L$2)-1)/3)+1,1,2,3,4)),""))</x:f>
        <x:v>198</x:v>
      </x:c>
      <x:c r="I17" s="38">
        <x:f t="shared" si="3"/>
        <x:v>-1</x:v>
      </x:c>
      <x:c r="J17" s="38">
        <x:f t="shared" si="4"/>
        <x:v>-30</x:v>
      </x:c>
      <x:c r="K17" s="38">
        <x:f t="shared" si="5"/>
        <x:v>-25</x:v>
      </x:c>
      <x:c r="L17" s="63">
        <x:f t="shared" si="6"/>
        <x:v>-56</x:v>
      </x:c>
      <x:c r="M17" s="39">
        <x:f t="shared" si="7"/>
        <x:v>-18.666666666666657</x:v>
      </x:c>
      <x:c r="S17" s="107">
        <x:f t="shared" si="0"/>
        <x:v>29</x:v>
      </x:c>
      <x:c r="T17" s="97">
        <x:f t="shared" si="2"/>
        <x:v>-186362.66666666657</x:v>
      </x:c>
      <x:c r="U17" s="91">
        <x:f t="shared" si="1"/>
        <x:v>24</x:v>
      </x:c>
      <x:c r="V17" s="108"/>
    </x:row>
    <x:row r="18" spans="1:22" ht="24.949999999999999" customHeight="1">
      <x:c r="A18" s="12">
        <x:v>15</x:v>
      </x:c>
      <x:c r="B18" s="13" t="s">
        <x:v>24</x:v>
      </x:c>
      <x:c r="C18" s="62">
        <x:v>216</x:v>
      </x:c>
      <x:c r="D18" s="62">
        <x:v>277</x:v>
      </x:c>
      <x:c r="E18" s="62">
        <x:v>236</x:v>
      </x:c>
      <x:c r="F18" s="44">
        <x:f t="shared" si="8"/>
        <x:v>729</x:v>
      </x:c>
      <x:c r="G18" s="45">
        <x:f t="shared" si="9"/>
        <x:v>243</x:v>
      </x:c>
      <x:c r="H18" s="34">
        <x:f t="array" ref="H18:H18">IF(B18="","",IFERROR(INDEX('회원명단 및 기준에버'!D:G,MATCH(B18,'회원명단 및 기준에버'!$C:$C,0),CHOOSE(INT((MONTH($L$2)-1)/3)+1,1,2,3,4)),""))</x:f>
        <x:v>182</x:v>
      </x:c>
      <x:c r="I18" s="38">
        <x:f t="shared" si="3"/>
        <x:v>34</x:v>
      </x:c>
      <x:c r="J18" s="38">
        <x:f t="shared" si="4"/>
        <x:v>95</x:v>
      </x:c>
      <x:c r="K18" s="38">
        <x:f t="shared" si="5"/>
        <x:v>54</x:v>
      </x:c>
      <x:c r="L18" s="63">
        <x:f t="shared" si="6"/>
        <x:v>183</x:v>
      </x:c>
      <x:c r="M18" s="39">
        <x:f t="shared" si="7"/>
        <x:v>61</x:v>
      </x:c>
      <x:c r="S18" s="107">
        <x:f t="shared" si="0"/>
        <x:v>61</x:v>
      </x:c>
      <x:c r="T18" s="97">
        <x:f t="shared" si="2"/>
        <x:v>610625</x:v>
      </x:c>
      <x:c r="U18" s="91">
        <x:f t="shared" si="1"/>
        <x:v>1</x:v>
      </x:c>
      <x:c r="V18" s="108"/>
    </x:row>
    <x:row r="19" spans="1:22" ht="24.949999999999999" customHeight="1">
      <x:c r="A19" s="12">
        <x:v>16</x:v>
      </x:c>
      <x:c r="B19" s="13" t="s">
        <x:v>27</x:v>
      </x:c>
      <x:c r="C19" s="62">
        <x:v>146</x:v>
      </x:c>
      <x:c r="D19" s="62">
        <x:v>173</x:v>
      </x:c>
      <x:c r="E19" s="62">
        <x:v>187</x:v>
      </x:c>
      <x:c r="F19" s="44">
        <x:f t="shared" si="8"/>
        <x:v>506</x:v>
      </x:c>
      <x:c r="G19" s="45">
        <x:f t="shared" si="9"/>
        <x:v>168.66666666666666</x:v>
      </x:c>
      <x:c r="H19" s="34">
        <x:f t="array" ref="H19:H19">IF(B19="","",IFERROR(INDEX('회원명단 및 기준에버'!D:G,MATCH(B19,'회원명단 및 기준에버'!$C:$C,0),CHOOSE(INT((MONTH($L$2)-1)/3)+1,1,2,3,4)),""))</x:f>
        <x:v>179</x:v>
      </x:c>
      <x:c r="I19" s="38">
        <x:f t="shared" si="3"/>
        <x:v>-33</x:v>
      </x:c>
      <x:c r="J19" s="38">
        <x:f t="shared" si="4"/>
        <x:v>-6</x:v>
      </x:c>
      <x:c r="K19" s="38">
        <x:f t="shared" si="5"/>
        <x:v>8</x:v>
      </x:c>
      <x:c r="L19" s="63">
        <x:f t="shared" si="6"/>
        <x:v>-31</x:v>
      </x:c>
      <x:c r="M19" s="39">
        <x:f t="shared" si="7"/>
        <x:v>-10.333333333333343</x:v>
      </x:c>
      <x:c r="S19" s="107">
        <x:f t="shared" si="0"/>
        <x:v>41</x:v>
      </x:c>
      <x:c r="T19" s="97">
        <x:f t="shared" si="2"/>
        <x:v>-102907.33333333343</x:v>
      </x:c>
      <x:c r="U19" s="91">
        <x:f t="shared" si="1"/>
        <x:v>22</x:v>
      </x:c>
      <x:c r="V19" s="108"/>
    </x:row>
    <x:row r="20" spans="1:22" ht="24.949999999999999" customHeight="1">
      <x:c r="A20" s="12">
        <x:v>17</x:v>
      </x:c>
      <x:c r="B20" s="13" t="s">
        <x:v>45</x:v>
      </x:c>
      <x:c r="C20" s="62">
        <x:v>187</x:v>
      </x:c>
      <x:c r="D20" s="62">
        <x:v>224</x:v>
      </x:c>
      <x:c r="E20" s="62">
        <x:v>153</x:v>
      </x:c>
      <x:c r="F20" s="44">
        <x:f t="shared" si="8"/>
        <x:v>564</x:v>
      </x:c>
      <x:c r="G20" s="45">
        <x:f t="shared" si="9"/>
        <x:v>188</x:v>
      </x:c>
      <x:c r="H20" s="34">
        <x:f t="array" ref="H20:H20">IF(B20="","",IFERROR(INDEX('회원명단 및 기준에버'!D:G,MATCH(B20,'회원명단 및 기준에버'!$C:$C,0),CHOOSE(INT((MONTH($L$2)-1)/3)+1,1,2,3,4)),""))</x:f>
        <x:v>183</x:v>
      </x:c>
      <x:c r="I20" s="38">
        <x:f t="shared" si="3"/>
        <x:v>4</x:v>
      </x:c>
      <x:c r="J20" s="38">
        <x:f t="shared" si="4"/>
        <x:v>41</x:v>
      </x:c>
      <x:c r="K20" s="38">
        <x:f t="shared" si="5"/>
        <x:v>-30</x:v>
      </x:c>
      <x:c r="L20" s="63">
        <x:f t="shared" si="6"/>
        <x:v>15</x:v>
      </x:c>
      <x:c r="M20" s="39">
        <x:f t="shared" si="7"/>
        <x:v>5</x:v>
      </x:c>
      <x:c r="S20" s="107">
        <x:f t="shared" si="0"/>
        <x:v>71</x:v>
      </x:c>
      <x:c r="T20" s="97">
        <x:f t="shared" si="2"/>
        <x:v>50727</x:v>
      </x:c>
      <x:c r="U20" s="91">
        <x:f t="shared" si="1"/>
        <x:v>8</x:v>
      </x:c>
      <x:c r="V20" s="108"/>
    </x:row>
    <x:row r="21" spans="1:22" ht="24.949999999999999" customHeight="1">
      <x:c r="A21" s="12">
        <x:v>18</x:v>
      </x:c>
      <x:c r="B21" s="13" t="s">
        <x:v>36</x:v>
      </x:c>
      <x:c r="C21" s="62">
        <x:v>229</x:v>
      </x:c>
      <x:c r="D21" s="62">
        <x:v>227</x:v>
      </x:c>
      <x:c r="E21" s="62">
        <x:v>170</x:v>
      </x:c>
      <x:c r="F21" s="44">
        <x:f t="shared" si="8"/>
        <x:v>626</x:v>
      </x:c>
      <x:c r="G21" s="45">
        <x:f t="shared" si="9"/>
        <x:v>208.66666666666666</x:v>
      </x:c>
      <x:c r="H21" s="34">
        <x:f t="array" ref="H21:H21">IF(B21="","",IFERROR(INDEX('회원명단 및 기준에버'!D:G,MATCH(B21,'회원명단 및 기준에버'!$C:$C,0),CHOOSE(INT((MONTH($L$2)-1)/3)+1,1,2,3,4)),""))</x:f>
        <x:v>200</x:v>
      </x:c>
      <x:c r="I21" s="38">
        <x:f t="shared" si="3"/>
        <x:v>29</x:v>
      </x:c>
      <x:c r="J21" s="38">
        <x:f t="shared" si="4"/>
        <x:v>27</x:v>
      </x:c>
      <x:c r="K21" s="38">
        <x:f t="shared" si="5"/>
        <x:v>-30</x:v>
      </x:c>
      <x:c r="L21" s="63">
        <x:f t="shared" si="6"/>
        <x:v>26</x:v>
      </x:c>
      <x:c r="M21" s="39">
        <x:f t="shared" si="7"/>
        <x:v>8.6666666666666572</x:v>
      </x:c>
      <x:c r="S21" s="107">
        <x:f t="shared" si="0"/>
        <x:v>59</x:v>
      </x:c>
      <x:c r="T21" s="97">
        <x:f t="shared" si="2"/>
        <x:v>87274.66666666657</x:v>
      </x:c>
      <x:c r="U21" s="91">
        <x:f t="shared" si="1"/>
        <x:v>5</x:v>
      </x:c>
      <x:c r="V21" s="108"/>
    </x:row>
    <x:row r="22" spans="1:22" ht="24.949999999999999" customHeight="1">
      <x:c r="A22" s="12">
        <x:v>19</x:v>
      </x:c>
      <x:c r="B22" s="13" t="s">
        <x:v>50</x:v>
      </x:c>
      <x:c r="C22" s="62">
        <x:v>184</x:v>
      </x:c>
      <x:c r="D22" s="62">
        <x:v>228</x:v>
      </x:c>
      <x:c r="E22" s="62">
        <x:v>182</x:v>
      </x:c>
      <x:c r="F22" s="44">
        <x:f t="shared" si="8"/>
        <x:v>594</x:v>
      </x:c>
      <x:c r="G22" s="45">
        <x:f t="shared" si="9"/>
        <x:v>198</x:v>
      </x:c>
      <x:c r="H22" s="34">
        <x:f t="array" ref="H22:H22">IF(B22="","",IFERROR(INDEX('회원명단 및 기준에버'!D:G,MATCH(B22,'회원명단 및 기준에버'!$C:$C,0),CHOOSE(INT((MONTH($L$2)-1)/3)+1,1,2,3,4)),""))</x:f>
        <x:v>196</x:v>
      </x:c>
      <x:c r="I22" s="38">
        <x:f t="shared" si="3"/>
        <x:v>-12</x:v>
      </x:c>
      <x:c r="J22" s="38">
        <x:f t="shared" si="4"/>
        <x:v>32</x:v>
      </x:c>
      <x:c r="K22" s="38">
        <x:f t="shared" si="5"/>
        <x:v>-14</x:v>
      </x:c>
      <x:c r="L22" s="63">
        <x:f t="shared" si="6"/>
        <x:v>6</x:v>
      </x:c>
      <x:c r="M22" s="39">
        <x:f t="shared" si="7"/>
        <x:v>2</x:v>
      </x:c>
      <x:c r="S22" s="107">
        <x:f t="shared" si="0"/>
        <x:v>46</x:v>
      </x:c>
      <x:c r="T22" s="97">
        <x:f t="shared" si="2"/>
        <x:v>20479</x:v>
      </x:c>
      <x:c r="U22" s="91">
        <x:f t="shared" si="1"/>
        <x:v>10</x:v>
      </x:c>
      <x:c r="V22" s="108"/>
    </x:row>
    <x:row r="23" spans="1:22" ht="24.949999999999999" customHeight="1">
      <x:c r="A23" s="12">
        <x:v>20</x:v>
      </x:c>
      <x:c r="B23" s="13" t="s">
        <x:v>59</x:v>
      </x:c>
      <x:c r="C23" s="62">
        <x:v>191</x:v>
      </x:c>
      <x:c r="D23" s="62">
        <x:v>174</x:v>
      </x:c>
      <x:c r="E23" s="62">
        <x:v>202</x:v>
      </x:c>
      <x:c r="F23" s="44">
        <x:f t="shared" si="8"/>
        <x:v>567</x:v>
      </x:c>
      <x:c r="G23" s="45">
        <x:f t="shared" si="9"/>
        <x:v>189</x:v>
      </x:c>
      <x:c r="H23" s="34" t="str">
        <x:f t="array" ref="H23:H23">IF(B23="","",IFERROR(INDEX('회원명단 및 기준에버'!D:G,MATCH(B23,'회원명단 및 기준에버'!$C:$C,0),CHOOSE(INT((MONTH($L$2)-1)/3)+1,1,2,3,4)),""))</x:f>
        <x:v/>
      </x:c>
      <x:c r="I23" s="38">
        <x:f t="shared" si="3"/>
        <x:v>0</x:v>
      </x:c>
      <x:c r="J23" s="38">
        <x:f t="shared" si="4"/>
        <x:v>0</x:v>
      </x:c>
      <x:c r="K23" s="38">
        <x:f t="shared" si="5"/>
        <x:v>0</x:v>
      </x:c>
      <x:c r="L23" s="63">
        <x:f t="shared" si="6"/>
        <x:v>0</x:v>
      </x:c>
      <x:c r="M23" s="39">
        <x:f t="shared" si="7"/>
        <x:v>0</x:v>
      </x:c>
      <x:c r="S23" s="107">
        <x:f t="shared" si="0"/>
        <x:v>28</x:v>
      </x:c>
      <x:c r="T23" s="97">
        <x:f t="shared" si="2"/>
        <x:v>300</x:v>
      </x:c>
      <x:c r="U23" s="91">
        <x:f t="shared" si="1"/>
        <x:v>13</x:v>
      </x:c>
      <x:c r="V23" s="108"/>
    </x:row>
    <x:row r="24" spans="1:22" ht="24.949999999999999" customHeight="1">
      <x:c r="A24" s="12">
        <x:v>21</x:v>
      </x:c>
      <x:c r="B24" s="13" t="s">
        <x:v>31</x:v>
      </x:c>
      <x:c r="C24" s="62">
        <x:v>119</x:v>
      </x:c>
      <x:c r="D24" s="62">
        <x:v>159</x:v>
      </x:c>
      <x:c r="E24" s="62">
        <x:v>141</x:v>
      </x:c>
      <x:c r="F24" s="44">
        <x:f t="shared" si="8"/>
        <x:v>419</x:v>
      </x:c>
      <x:c r="G24" s="45">
        <x:f t="shared" si="9"/>
        <x:v>139.66666666666666</x:v>
      </x:c>
      <x:c r="H24" s="34">
        <x:f t="array" ref="H24:H24">IF(B24="","",IFERROR(INDEX('회원명단 및 기준에버'!D:G,MATCH(B24,'회원명단 및 기준에버'!$C:$C,0),CHOOSE(INT((MONTH($L$2)-1)/3)+1,1,2,3,4)),""))</x:f>
        <x:v>144</x:v>
      </x:c>
      <x:c r="I24" s="38">
        <x:f t="shared" si="3"/>
        <x:v>-25</x:v>
      </x:c>
      <x:c r="J24" s="38">
        <x:f t="shared" si="4"/>
        <x:v>15</x:v>
      </x:c>
      <x:c r="K24" s="38">
        <x:f t="shared" si="5"/>
        <x:v>-3</x:v>
      </x:c>
      <x:c r="L24" s="63">
        <x:f t="shared" si="6"/>
        <x:v>-13</x:v>
      </x:c>
      <x:c r="M24" s="39">
        <x:f t="shared" si="7"/>
        <x:v>-4.3333333333333428</x:v>
      </x:c>
      <x:c r="S24" s="107">
        <x:f t="shared" si="0"/>
        <x:v>40</x:v>
      </x:c>
      <x:c r="T24" s="97">
        <x:f t="shared" si="2"/>
        <x:v>-42912.33333333343</x:v>
      </x:c>
      <x:c r="U24" s="91">
        <x:f t="shared" si="1"/>
        <x:v>16</x:v>
      </x:c>
      <x:c r="V24" s="108"/>
    </x:row>
    <x:row r="25" spans="1:22" ht="24.949999999999999" customHeight="1">
      <x:c r="A25" s="12">
        <x:v>22</x:v>
      </x:c>
      <x:c r="B25" s="13" t="s">
        <x:v>21</x:v>
      </x:c>
      <x:c r="C25" s="62">
        <x:v>256</x:v>
      </x:c>
      <x:c r="D25" s="62">
        <x:v>214</x:v>
      </x:c>
      <x:c r="E25" s="62">
        <x:v>192</x:v>
      </x:c>
      <x:c r="F25" s="44">
        <x:f t="shared" si="8"/>
        <x:v>662</x:v>
      </x:c>
      <x:c r="G25" s="45">
        <x:f t="shared" si="9"/>
        <x:v>220.66666666666666</x:v>
      </x:c>
      <x:c r="H25" s="34">
        <x:f t="array" ref="H25:H25">IF(B25="","",IFERROR(INDEX('회원명단 및 기준에버'!D:G,MATCH(B25,'회원명단 및 기준에버'!$C:$C,0),CHOOSE(INT((MONTH($L$2)-1)/3)+1,1,2,3,4)),""))</x:f>
        <x:v>200</x:v>
      </x:c>
      <x:c r="I25" s="38">
        <x:f t="shared" si="3"/>
        <x:v>56</x:v>
      </x:c>
      <x:c r="J25" s="38">
        <x:f t="shared" si="4"/>
        <x:v>14</x:v>
      </x:c>
      <x:c r="K25" s="38">
        <x:f t="shared" si="5"/>
        <x:v>-8</x:v>
      </x:c>
      <x:c r="L25" s="63">
        <x:f t="shared" si="6"/>
        <x:v>62</x:v>
      </x:c>
      <x:c r="M25" s="39">
        <x:f t="shared" si="7"/>
        <x:v>20.666666666666657</x:v>
      </x:c>
      <x:c r="S25" s="107">
        <x:f t="shared" si="0"/>
        <x:v>64</x:v>
      </x:c>
      <x:c r="T25" s="97">
        <x:f t="shared" si="2"/>
        <x:v>207328.66666666657</x:v>
      </x:c>
      <x:c r="U25" s="91">
        <x:f t="shared" si="1"/>
        <x:v>2</x:v>
      </x:c>
      <x:c r="V25" s="108"/>
    </x:row>
    <x:row r="26" spans="1:22" ht="24.949999999999999" customHeight="1">
      <x:c r="A26" s="12">
        <x:v>23</x:v>
      </x:c>
      <x:c r="B26" s="13" t="s">
        <x:v>37</x:v>
      </x:c>
      <x:c r="C26" s="62">
        <x:v>234</x:v>
      </x:c>
      <x:c r="D26" s="62">
        <x:v>209</x:v>
      </x:c>
      <x:c r="E26" s="62">
        <x:v>169</x:v>
      </x:c>
      <x:c r="F26" s="44">
        <x:f t="shared" si="8"/>
        <x:v>612</x:v>
      </x:c>
      <x:c r="G26" s="45">
        <x:f t="shared" si="9"/>
        <x:v>204</x:v>
      </x:c>
      <x:c r="H26" s="34">
        <x:f t="array" ref="H26:H26">IF(B26="","",IFERROR(INDEX('회원명단 및 기준에버'!D:G,MATCH(B26,'회원명단 및 기준에버'!$C:$C,0),CHOOSE(INT((MONTH($L$2)-1)/3)+1,1,2,3,4)),""))</x:f>
        <x:v>200</x:v>
      </x:c>
      <x:c r="I26" s="38">
        <x:f t="shared" si="3"/>
        <x:v>34</x:v>
      </x:c>
      <x:c r="J26" s="38">
        <x:f t="shared" si="4"/>
        <x:v>9</x:v>
      </x:c>
      <x:c r="K26" s="38">
        <x:f t="shared" si="5"/>
        <x:v>-31</x:v>
      </x:c>
      <x:c r="L26" s="63">
        <x:f t="shared" si="6"/>
        <x:v>12</x:v>
      </x:c>
      <x:c r="M26" s="39">
        <x:f t="shared" si="7"/>
        <x:v>4</x:v>
      </x:c>
      <x:c r="S26" s="107">
        <x:f t="shared" si="0"/>
        <x:v>65</x:v>
      </x:c>
      <x:c r="T26" s="97">
        <x:f t="shared" si="2"/>
        <x:v>40673</x:v>
      </x:c>
      <x:c r="U26" s="91">
        <x:f t="shared" si="1"/>
        <x:v>9</x:v>
      </x:c>
      <x:c r="V26" s="108"/>
    </x:row>
    <x:row r="27" spans="1:22" ht="24.949999999999999" customHeight="1">
      <x:c r="A27" s="12">
        <x:v>24</x:v>
      </x:c>
      <x:c r="B27" s="13" t="s">
        <x:v>18</x:v>
      </x:c>
      <x:c r="C27" s="62">
        <x:v>190</x:v>
      </x:c>
      <x:c r="D27" s="62">
        <x:v>201</x:v>
      </x:c>
      <x:c r="E27" s="62">
        <x:v>172</x:v>
      </x:c>
      <x:c r="F27" s="44">
        <x:f t="shared" si="8"/>
        <x:v>563</x:v>
      </x:c>
      <x:c r="G27" s="45">
        <x:f t="shared" si="9"/>
        <x:v>187.66666666666666</x:v>
      </x:c>
      <x:c r="H27" s="34">
        <x:f t="array" ref="H27:H27">IF(B27="","",IFERROR(INDEX('회원명단 및 기준에버'!D:G,MATCH(B27,'회원명단 및 기준에버'!$C:$C,0),CHOOSE(INT((MONTH($L$2)-1)/3)+1,1,2,3,4)),""))</x:f>
        <x:v>195</x:v>
      </x:c>
      <x:c r="I27" s="38">
        <x:f t="shared" si="3"/>
        <x:v>-5</x:v>
      </x:c>
      <x:c r="J27" s="38">
        <x:f t="shared" si="4"/>
        <x:v>6</x:v>
      </x:c>
      <x:c r="K27" s="38">
        <x:f t="shared" si="5"/>
        <x:v>-23</x:v>
      </x:c>
      <x:c r="L27" s="63">
        <x:f t="shared" si="6"/>
        <x:v>-22</x:v>
      </x:c>
      <x:c r="M27" s="39">
        <x:f t="shared" si="7"/>
        <x:v>-7.3333333333333428</x:v>
      </x:c>
      <x:c r="S27" s="107">
        <x:f t="shared" si="0"/>
        <x:v>29</x:v>
      </x:c>
      <x:c r="T27" s="97">
        <x:f t="shared" si="2"/>
        <x:v>-73019.33333333343</x:v>
      </x:c>
      <x:c r="U27" s="91">
        <x:f t="shared" si="1"/>
        <x:v>19</x:v>
      </x:c>
      <x:c r="V27" s="108"/>
    </x:row>
    <x:row r="28" spans="1:22" ht="24.949999999999999" customHeight="1">
      <x:c r="A28" s="12">
        <x:v>25</x:v>
      </x:c>
      <x:c r="B28" s="13" t="s">
        <x:v>25</x:v>
      </x:c>
      <x:c r="C28" s="62">
        <x:v>246</x:v>
      </x:c>
      <x:c r="D28" s="62">
        <x:v>165</x:v>
      </x:c>
      <x:c r="E28" s="62">
        <x:v>221</x:v>
      </x:c>
      <x:c r="F28" s="44">
        <x:f>SUM(C28:E28)</x:f>
        <x:v>632</x:v>
      </x:c>
      <x:c r="G28" s="45">
        <x:f>F28/3</x:f>
        <x:v>210.66666666666666</x:v>
      </x:c>
      <x:c r="H28" s="34">
        <x:f t="array" ref="H28:H28">IF(B28="","",IFERROR(INDEX('회원명단 및 기준에버'!D:G,MATCH(B28,'회원명단 및 기준에버'!$C:$C,0),CHOOSE(INT((MONTH($L$2)-1)/3)+1,1,2,3,4)),""))</x:f>
        <x:v>196</x:v>
      </x:c>
      <x:c r="I28" s="38">
        <x:f>IFERROR(C28+-H28,0)</x:f>
        <x:v>50</x:v>
      </x:c>
      <x:c r="J28" s="38">
        <x:f>IFERROR(D28+-H28,0)</x:f>
        <x:v>-31</x:v>
      </x:c>
      <x:c r="K28" s="38">
        <x:f>IFERROR(E28+-H28,0)</x:f>
        <x:v>25</x:v>
      </x:c>
      <x:c r="L28" s="63">
        <x:f>SUM(I28:K28)</x:f>
        <x:v>44</x:v>
      </x:c>
      <x:c r="M28" s="39">
        <x:f>IFERROR(G28+-H28,0)</x:f>
        <x:v>14.666666666666657</x:v>
      </x:c>
      <x:c r="S28" s="107">
        <x:f t="shared" si="0"/>
        <x:v>81</x:v>
      </x:c>
      <x:c r="T28" s="97">
        <x:f t="shared" si="2"/>
        <x:v>147501.66666666657</x:v>
      </x:c>
      <x:c r="U28" s="91">
        <x:f t="shared" si="1"/>
        <x:v>3</x:v>
      </x:c>
      <x:c r="V28" s="108"/>
    </x:row>
    <x:row r="29" spans="2:13" s="18" customFormat="1" ht="24.949999999999999" customHeight="1">
      <x:c r="B29" s="168" t="s">
        <x:v>63</x:v>
      </x:c>
      <x:c r="C29" s="169"/>
      <x:c r="D29" s="169"/>
      <x:c r="E29" s="169"/>
      <x:c r="F29" s="169"/>
      <x:c r="G29" s="169"/>
      <x:c r="H29" s="169"/>
      <x:c r="I29" s="169"/>
      <x:c r="J29" s="169"/>
      <x:c r="K29" s="169"/>
      <x:c r="L29" s="169"/>
      <x:c r="M29" s="170"/>
    </x:row>
    <x:row r="30" spans="2:13" s="18" customFormat="1" ht="24.949999999999999" customHeight="1">
      <x:c r="B30" s="171" t="s">
        <x:v>68</x:v>
      </x:c>
      <x:c r="C30" s="172"/>
      <x:c r="D30" s="172"/>
      <x:c r="E30" s="173"/>
      <x:c r="F30" s="174" t="s">
        <x:v>28</x:v>
      </x:c>
      <x:c r="G30" s="176" t="s">
        <x:v>14</x:v>
      </x:c>
      <x:c r="H30" s="177"/>
      <x:c r="I30" s="178"/>
      <x:c r="J30" s="179" t="s">
        <x:v>64</x:v>
      </x:c>
      <x:c r="K30" s="180"/>
      <x:c r="L30" s="180"/>
      <x:c r="M30" s="181"/>
    </x:row>
    <x:row r="31" spans="2:13" s="18" customFormat="1" ht="24.949999999999999" customHeight="1">
      <x:c r="B31" s="54" t="s">
        <x:v>24</x:v>
      </x:c>
      <x:c r="C31" s="24">
        <x:v>61</x:v>
      </x:c>
      <x:c r="D31" s="55"/>
      <x:c r="E31" s="56"/>
      <x:c r="F31" s="175"/>
      <x:c r="G31" s="182" t="s">
        <x:v>62</x:v>
      </x:c>
      <x:c r="H31" s="183"/>
      <x:c r="I31" s="184"/>
      <x:c r="J31" s="26" t="s">
        <x:v>45</x:v>
      </x:c>
      <x:c r="K31" s="27"/>
      <x:c r="L31" s="27"/>
      <x:c r="M31" s="28"/>
    </x:row>
    <x:row r="32" spans="2:13" s="18" customFormat="1" ht="24.949999999999999" customHeight="1">
      <x:c r="B32" s="155" t="s">
        <x:v>29</x:v>
      </x:c>
      <x:c r="C32" s="156"/>
      <x:c r="D32" s="156"/>
      <x:c r="E32" s="156"/>
      <x:c r="F32" s="156"/>
      <x:c r="G32" s="156"/>
      <x:c r="H32" s="157"/>
      <x:c r="I32" s="158" t="s">
        <x:v>66</x:v>
      </x:c>
      <x:c r="J32" s="159"/>
      <x:c r="K32" s="160" t="s">
        <x:v>67</x:v>
      </x:c>
      <x:c r="L32" s="161"/>
      <x:c r="M32" s="162"/>
    </x:row>
    <x:row r="33" spans="2:13" s="18" customFormat="1" ht="24.949999999999999" customHeight="1">
      <x:c r="B33" s="21" t="s">
        <x:v>58</x:v>
      </x:c>
      <x:c r="C33" s="64">
        <x:v>245</x:v>
      </x:c>
      <x:c r="D33" s="32"/>
      <x:c r="E33" s="67"/>
      <x:c r="F33" s="30"/>
      <x:c r="G33" s="70"/>
      <x:c r="H33" s="157"/>
      <x:c r="I33" s="23"/>
      <x:c r="J33" s="50"/>
      <x:c r="K33" s="57" t="s">
        <x:v>27</x:v>
      </x:c>
      <x:c r="L33" s="58"/>
      <x:c r="M33" s="59"/>
    </x:row>
    <x:row r="34" spans="2:13" s="18" customFormat="1" ht="24.949999999999999" customHeight="1">
      <x:c r="B34" s="46" t="s">
        <x:v>50</x:v>
      </x:c>
      <x:c r="C34" s="65">
        <x:v>225</x:v>
      </x:c>
      <x:c r="D34" s="47"/>
      <x:c r="E34" s="68"/>
      <x:c r="F34" s="48"/>
      <x:c r="G34" s="71"/>
      <x:c r="H34" s="157"/>
      <x:c r="I34" s="49"/>
      <x:c r="J34" s="51"/>
      <x:c r="K34" s="57"/>
      <x:c r="L34" s="58"/>
      <x:c r="M34" s="59"/>
    </x:row>
    <x:row r="35" spans="2:13" s="18" customFormat="1" ht="24.949999999999999" customHeight="1">
      <x:c r="B35" s="29" t="s">
        <x:v>21</x:v>
      </x:c>
      <x:c r="C35" s="66">
        <x:v>214</x:v>
      </x:c>
      <x:c r="D35" s="33"/>
      <x:c r="E35" s="69"/>
      <x:c r="F35" s="31"/>
      <x:c r="G35" s="72"/>
      <x:c r="H35" s="157"/>
      <x:c r="I35" s="24"/>
      <x:c r="J35" s="52"/>
      <x:c r="K35" s="60"/>
      <x:c r="L35" s="53"/>
      <x:c r="M35" s="61"/>
    </x:row>
    <x:row r="36" spans="1:13" s="18" customFormat="1" ht="24.949999999999999" customHeight="1">
      <x:c r="A36" s="17"/>
      <x:c r="B36" s="163" t="s">
        <x:v>51</x:v>
      </x:c>
      <x:c r="C36" s="164"/>
      <x:c r="D36" s="164"/>
      <x:c r="E36" s="164"/>
      <x:c r="F36" s="164"/>
      <x:c r="G36" s="164"/>
      <x:c r="H36" s="164"/>
      <x:c r="I36" s="164"/>
      <x:c r="J36" s="164"/>
      <x:c r="K36" s="164"/>
      <x:c r="L36" s="164"/>
      <x:c r="M36" s="165"/>
    </x:row>
    <x:row r="37" spans="2:13" s="18" customFormat="1" ht="24.949999999999999" customHeight="1">
      <x:c r="B37" s="35" t="str">
        <x:f>$B4</x:f>
        <x:v>채 윤 주</x:v>
      </x:c>
      <x:c r="C37" s="40">
        <x:f>IF($T$2=0,$C4,$I4)</x:f>
        <x:v>0</x:v>
      </x:c>
      <x:c r="D37" s="40">
        <x:f>IF($T$2=0,$D4,$J4)</x:f>
        <x:v>0</x:v>
      </x:c>
      <x:c r="E37" s="40">
        <x:f>IF($T$2=0,$E4,$K4)</x:f>
        <x:v>0</x:v>
      </x:c>
      <x:c r="F37" s="141">
        <x:f>E42+D42+C42</x:f>
        <x:v>-161</x:v>
      </x:c>
      <x:c r="G37" s="144"/>
      <x:c r="H37" s="79" t="str">
        <x:f>$B9</x:f>
        <x:v>김 선 미</x:v>
      </x:c>
      <x:c r="I37" s="40">
        <x:f>IF($T$2=0,$C9,$I9)</x:f>
        <x:v>-4</x:v>
      </x:c>
      <x:c r="J37" s="40">
        <x:f>IF($T$2=0,$D9,$J9)</x:f>
        <x:v>4</x:v>
      </x:c>
      <x:c r="K37" s="40">
        <x:f>IF($T$2=0,$E9,$K9)</x:f>
        <x:v>26</x:v>
      </x:c>
      <x:c r="L37" s="149">
        <x:f>K42+J42+I42</x:f>
        <x:v>26</x:v>
      </x:c>
      <x:c r="M37" s="152"/>
    </x:row>
    <x:row r="38" spans="2:13" s="18" customFormat="1" ht="24.949999999999999" customHeight="1">
      <x:c r="B38" s="36" t="str">
        <x:f>$B5</x:f>
        <x:v>이 정 석</x:v>
      </x:c>
      <x:c r="C38" s="41">
        <x:f>IF($T$2=0,$C5,$I5)</x:f>
        <x:v>-35</x:v>
      </x:c>
      <x:c r="D38" s="41">
        <x:f>IF($T$2=0,$D5,$J5)</x:f>
        <x:v>13</x:v>
      </x:c>
      <x:c r="E38" s="41">
        <x:f>IF($T$2=0,$E5,$K5)</x:f>
        <x:v>-17</x:v>
      </x:c>
      <x:c r="F38" s="142"/>
      <x:c r="G38" s="145"/>
      <x:c r="H38" s="36" t="str">
        <x:f>$B10</x:f>
        <x:v>김 정 희</x:v>
      </x:c>
      <x:c r="I38" s="41">
        <x:f>IF($T$2=0,$C10,$I10)</x:f>
        <x:v>-20</x:v>
      </x:c>
      <x:c r="J38" s="41">
        <x:f>IF($T$2=0,$D10,$J10)</x:f>
        <x:v>45</x:v>
      </x:c>
      <x:c r="K38" s="41">
        <x:f>IF($T$2=0,$E10,$K10)</x:f>
        <x:v>17</x:v>
      </x:c>
      <x:c r="L38" s="150"/>
      <x:c r="M38" s="153"/>
    </x:row>
    <x:row r="39" spans="2:13" s="18" customFormat="1" ht="24.949999999999999" customHeight="1">
      <x:c r="B39" s="36" t="str">
        <x:f>$B6</x:f>
        <x:v>임 승 기</x:v>
      </x:c>
      <x:c r="C39" s="41">
        <x:f>IF($T$2=0,$C6,$I6)</x:f>
        <x:v>-18</x:v>
      </x:c>
      <x:c r="D39" s="41">
        <x:f>IF($T$2=0,$D6,$J6)</x:f>
        <x:v>3</x:v>
      </x:c>
      <x:c r="E39" s="41">
        <x:f>IF($T$2=0,$E6,$K6)</x:f>
        <x:v>-7</x:v>
      </x:c>
      <x:c r="F39" s="142"/>
      <x:c r="G39" s="145"/>
      <x:c r="H39" s="36" t="str">
        <x:f>$B11</x:f>
        <x:v>장 영 민</x:v>
      </x:c>
      <x:c r="I39" s="41">
        <x:f>IF($T$2=0,$C11,$I11)</x:f>
        <x:v>4</x:v>
      </x:c>
      <x:c r="J39" s="41">
        <x:f>IF($T$2=0,$D11,$J11)</x:f>
        <x:v>22</x:v>
      </x:c>
      <x:c r="K39" s="41">
        <x:f>IF($T$2=0,$E11,$K11)</x:f>
        <x:v>-44</x:v>
      </x:c>
      <x:c r="L39" s="150"/>
      <x:c r="M39" s="153"/>
    </x:row>
    <x:row r="40" spans="2:13" s="18" customFormat="1" ht="24.949999999999999" customHeight="1">
      <x:c r="B40" s="36" t="str">
        <x:f>$B7</x:f>
        <x:v>김 태 환</x:v>
      </x:c>
      <x:c r="C40" s="41">
        <x:f>IF($T$2=0,$C7,$I7)</x:f>
        <x:v>-14</x:v>
      </x:c>
      <x:c r="D40" s="41">
        <x:f>IF($T$2=0,$D7,$J7)</x:f>
        <x:v>-6</x:v>
      </x:c>
      <x:c r="E40" s="41">
        <x:f>IF($T$2=0,$E7,$K7)</x:f>
        <x:v>46</x:v>
      </x:c>
      <x:c r="F40" s="142"/>
      <x:c r="G40" s="145"/>
      <x:c r="H40" s="36" t="str">
        <x:f>$B12</x:f>
        <x:v>이 상 현</x:v>
      </x:c>
      <x:c r="I40" s="41">
        <x:f>IF($T$2=0,$C12,$I12)</x:f>
        <x:v>-15</x:v>
      </x:c>
      <x:c r="J40" s="41">
        <x:f>IF($T$2=0,$D12,$J12)</x:f>
        <x:v>-1</x:v>
      </x:c>
      <x:c r="K40" s="41">
        <x:f>IF($T$2=0,$E12,$K12)</x:f>
        <x:v>-13</x:v>
      </x:c>
      <x:c r="L40" s="150"/>
      <x:c r="M40" s="153"/>
    </x:row>
    <x:row r="41" spans="2:13" s="18" customFormat="1" ht="24.949999999999999" customHeight="1">
      <x:c r="B41" s="36" t="str">
        <x:f>$B8</x:f>
        <x:v>김 종 훈</x:v>
      </x:c>
      <x:c r="C41" s="41">
        <x:f>IF($T$2=0,$C8,$I8)</x:f>
        <x:v>-40</x:v>
      </x:c>
      <x:c r="D41" s="41">
        <x:f>IF($T$2=0,$D8,$J8)</x:f>
        <x:v>-56</x:v>
      </x:c>
      <x:c r="E41" s="41">
        <x:f>IF($T$2=0,$E8,$K8)</x:f>
        <x:v>-30</x:v>
      </x:c>
      <x:c r="F41" s="142"/>
      <x:c r="G41" s="145"/>
      <x:c r="H41" s="36" t="str">
        <x:f>$B13</x:f>
        <x:v>박 성 현</x:v>
      </x:c>
      <x:c r="I41" s="41">
        <x:f>IF($T$2=0,$C13,$I13)</x:f>
        <x:v>17</x:v>
      </x:c>
      <x:c r="J41" s="41">
        <x:f>IF($T$2=0,$D13,$J13)</x:f>
        <x:v>-12</x:v>
      </x:c>
      <x:c r="K41" s="41">
        <x:f>IF($T$2=0,$E13,$K13)</x:f>
        <x:v>0</x:v>
      </x:c>
      <x:c r="L41" s="150"/>
      <x:c r="M41" s="153"/>
    </x:row>
    <x:row r="42" spans="2:13" s="18" customFormat="1" ht="24.949999999999999" customHeight="1">
      <x:c r="B42" s="37"/>
      <x:c r="C42" s="42">
        <x:f>SUM(C37:C41)</x:f>
        <x:v>-107</x:v>
      </x:c>
      <x:c r="D42" s="42">
        <x:f>SUM(D37:D41)</x:f>
        <x:v>-46</x:v>
      </x:c>
      <x:c r="E42" s="42">
        <x:f>SUM(E37:E41)</x:f>
        <x:v>-8</x:v>
      </x:c>
      <x:c r="F42" s="143"/>
      <x:c r="G42" s="146"/>
      <x:c r="H42" s="37"/>
      <x:c r="I42" s="42">
        <x:f>SUM(I37:I41)</x:f>
        <x:v>-18</x:v>
      </x:c>
      <x:c r="J42" s="42">
        <x:f>SUM(J37:J41)</x:f>
        <x:v>58</x:v>
      </x:c>
      <x:c r="K42" s="42">
        <x:f>SUM(K37:K41)</x:f>
        <x:v>-14</x:v>
      </x:c>
      <x:c r="L42" s="151"/>
      <x:c r="M42" s="154"/>
    </x:row>
    <x:row r="43" s="18" customFormat="1" ht="24.949999999999999" customHeight="1"/>
    <x:row r="44" spans="2:13" s="18" customFormat="1" ht="24.949999999999999" customHeight="1">
      <x:c r="B44" s="35" t="str">
        <x:f>$B14</x:f>
        <x:v>지 옥 명</x:v>
      </x:c>
      <x:c r="C44" s="40">
        <x:f>IF($T$2=0,$C14,$I14)</x:f>
        <x:v>-4</x:v>
      </x:c>
      <x:c r="D44" s="40">
        <x:f>IF($T$2=0,$D14,$J14)</x:f>
        <x:v>-11</x:v>
      </x:c>
      <x:c r="E44" s="40">
        <x:f>IF($T$2=0,$E14,$K14)</x:f>
        <x:v>14</x:v>
      </x:c>
      <x:c r="F44" s="141">
        <x:f>E49+D49+C49</x:f>
        <x:v>103</x:v>
      </x:c>
      <x:c r="G44" s="144"/>
      <x:c r="H44" s="79" t="str">
        <x:f>$B19</x:f>
        <x:v>진 명 옥</x:v>
      </x:c>
      <x:c r="I44" s="40">
        <x:f>IF($T$2=0,$C19,$I19)</x:f>
        <x:v>-33</x:v>
      </x:c>
      <x:c r="J44" s="40">
        <x:f>IF($T$2=0,$D19,$J19)</x:f>
        <x:v>-6</x:v>
      </x:c>
      <x:c r="K44" s="40">
        <x:f>IF($T$2=0,$E19,$K19)</x:f>
        <x:v>8</x:v>
      </x:c>
      <x:c r="L44" s="149">
        <x:f>K49+J49+I49</x:f>
        <x:v>16</x:v>
      </x:c>
      <x:c r="M44" s="152"/>
    </x:row>
    <x:row r="45" spans="2:13" s="17" customFormat="1" ht="24.949999999999999" customHeight="1">
      <x:c r="B45" s="36" t="str">
        <x:f>$B15</x:f>
        <x:v>천 성 일</x:v>
      </x:c>
      <x:c r="C45" s="41">
        <x:f>IF($T$2=0,$C15,$I15)</x:f>
        <x:v>-15</x:v>
      </x:c>
      <x:c r="D45" s="41">
        <x:f>IF($T$2=0,$D15,$J15)</x:f>
        <x:v>-12</x:v>
      </x:c>
      <x:c r="E45" s="41">
        <x:f>IF($T$2=0,$E15,$K15)</x:f>
        <x:v>23</x:v>
      </x:c>
      <x:c r="F45" s="142"/>
      <x:c r="G45" s="145"/>
      <x:c r="H45" s="36" t="str">
        <x:f>$B20</x:f>
        <x:v>김 미 란</x:v>
      </x:c>
      <x:c r="I45" s="41">
        <x:f>IF($T$2=0,$C20,$I20)</x:f>
        <x:v>4</x:v>
      </x:c>
      <x:c r="J45" s="41">
        <x:f>IF($T$2=0,$D20,$J20)</x:f>
        <x:v>41</x:v>
      </x:c>
      <x:c r="K45" s="41">
        <x:f>IF($T$2=0,$E20,$K20)</x:f>
        <x:v>-30</x:v>
      </x:c>
      <x:c r="L45" s="150"/>
      <x:c r="M45" s="153"/>
    </x:row>
    <x:row r="46" spans="2:13" s="17" customFormat="1" ht="24.949999999999999" customHeight="1">
      <x:c r="B46" s="36" t="str">
        <x:f>$B16</x:f>
        <x:v>이 우 석</x:v>
      </x:c>
      <x:c r="C46" s="41">
        <x:f>IF($T$2=0,$C16,$I16)</x:f>
        <x:v>-7</x:v>
      </x:c>
      <x:c r="D46" s="41">
        <x:f>IF($T$2=0,$D16,$J16)</x:f>
        <x:v>-7</x:v>
      </x:c>
      <x:c r="E46" s="41">
        <x:f>IF($T$2=0,$E16,$K16)</x:f>
        <x:v>-5</x:v>
      </x:c>
      <x:c r="F46" s="142"/>
      <x:c r="G46" s="145"/>
      <x:c r="H46" s="36" t="str">
        <x:f>$B21</x:f>
        <x:v>변 상 필</x:v>
      </x:c>
      <x:c r="I46" s="41">
        <x:f>IF($T$2=0,$C21,$I21)</x:f>
        <x:v>29</x:v>
      </x:c>
      <x:c r="J46" s="41">
        <x:f>IF($T$2=0,$D21,$J21)</x:f>
        <x:v>27</x:v>
      </x:c>
      <x:c r="K46" s="41">
        <x:f>IF($T$2=0,$E21,$K21)</x:f>
        <x:v>-30</x:v>
      </x:c>
      <x:c r="L46" s="150"/>
      <x:c r="M46" s="153"/>
    </x:row>
    <x:row r="47" spans="2:13" s="17" customFormat="1" ht="24.949999999999999" customHeight="1">
      <x:c r="B47" s="36" t="str">
        <x:f>$B17</x:f>
        <x:v>강 완 규</x:v>
      </x:c>
      <x:c r="C47" s="41">
        <x:f>IF($T$2=0,$C17,$I17)</x:f>
        <x:v>-1</x:v>
      </x:c>
      <x:c r="D47" s="41">
        <x:f>IF($T$2=0,$D17,$J17)</x:f>
        <x:v>-30</x:v>
      </x:c>
      <x:c r="E47" s="41">
        <x:f>IF($T$2=0,$E17,$K17)</x:f>
        <x:v>-25</x:v>
      </x:c>
      <x:c r="F47" s="142"/>
      <x:c r="G47" s="145"/>
      <x:c r="H47" s="36" t="str">
        <x:f>$B22</x:f>
        <x:v>고 경 훈</x:v>
      </x:c>
      <x:c r="I47" s="41">
        <x:f>IF($T$2=0,$C22,$I22)</x:f>
        <x:v>-12</x:v>
      </x:c>
      <x:c r="J47" s="41">
        <x:f>IF($T$2=0,$D22,$J22)</x:f>
        <x:v>32</x:v>
      </x:c>
      <x:c r="K47" s="41">
        <x:f>IF($T$2=0,$E22,$K22)</x:f>
        <x:v>-14</x:v>
      </x:c>
      <x:c r="L47" s="150"/>
      <x:c r="M47" s="153"/>
    </x:row>
    <x:row r="48" spans="2:13" s="17" customFormat="1" ht="24.949999999999999" customHeight="1">
      <x:c r="B48" s="36" t="str">
        <x:f>$B18</x:f>
        <x:v>김 규 희</x:v>
      </x:c>
      <x:c r="C48" s="41">
        <x:f>IF($T$2=0,$C18,$I18)</x:f>
        <x:v>34</x:v>
      </x:c>
      <x:c r="D48" s="41">
        <x:f>IF($T$2=0,$D18,$J18)</x:f>
        <x:v>95</x:v>
      </x:c>
      <x:c r="E48" s="41">
        <x:f>IF($T$2=0,$E18,$K18)</x:f>
        <x:v>54</x:v>
      </x:c>
      <x:c r="F48" s="142"/>
      <x:c r="G48" s="145"/>
      <x:c r="H48" s="36" t="str">
        <x:f>$B23</x:f>
        <x:v>최  진</x:v>
      </x:c>
      <x:c r="I48" s="41">
        <x:f>IF($T$2=0,$C23,$I23)</x:f>
        <x:v>0</x:v>
      </x:c>
      <x:c r="J48" s="41">
        <x:f>IF($T$2=0,$D23,$J23)</x:f>
        <x:v>0</x:v>
      </x:c>
      <x:c r="K48" s="41">
        <x:f>IF($T$2=0,$E23,$K23)</x:f>
        <x:v>0</x:v>
      </x:c>
      <x:c r="L48" s="150"/>
      <x:c r="M48" s="153"/>
    </x:row>
    <x:row r="49" spans="2:13" s="17" customFormat="1" ht="24.949999999999999" customHeight="1">
      <x:c r="B49" s="37"/>
      <x:c r="C49" s="42">
        <x:f>SUM(C44:C48)</x:f>
        <x:v>7</x:v>
      </x:c>
      <x:c r="D49" s="42">
        <x:f>SUM(D44:D48)</x:f>
        <x:v>35</x:v>
      </x:c>
      <x:c r="E49" s="42">
        <x:f>SUM(E44:E48)</x:f>
        <x:v>61</x:v>
      </x:c>
      <x:c r="F49" s="143"/>
      <x:c r="G49" s="146"/>
      <x:c r="H49" s="37"/>
      <x:c r="I49" s="42">
        <x:f>SUM(I44:I48)</x:f>
        <x:v>-12</x:v>
      </x:c>
      <x:c r="J49" s="42">
        <x:f>SUM(J44:J48)</x:f>
        <x:v>94</x:v>
      </x:c>
      <x:c r="K49" s="42">
        <x:f>SUM(K44:K48)</x:f>
        <x:v>-66</x:v>
      </x:c>
      <x:c r="L49" s="151"/>
      <x:c r="M49" s="154"/>
    </x:row>
    <x:row r="50" spans="7:14" ht="24.949999999999999" customHeight="1">
      <x:c r="G50" s="5"/>
      <x:c r="H50" s="5"/>
      <x:c r="I50" s="5"/>
      <x:c r="J50" s="5"/>
      <x:c r="K50" s="5"/>
      <x:c r="L50" s="5"/>
      <x:c r="M50" s="5"/>
      <x:c r="N50" s="5"/>
    </x:row>
    <x:row r="51" spans="2:14" ht="24.949999999999999" customHeight="1">
      <x:c r="B51" s="35" t="str">
        <x:f>$B24</x:f>
        <x:v>손 은 주</x:v>
      </x:c>
      <x:c r="C51" s="40">
        <x:f>IF($T$2=0,$C24,$I24)</x:f>
        <x:v>-25</x:v>
      </x:c>
      <x:c r="D51" s="40">
        <x:f>IF($T$2=0,$D24,$J24)</x:f>
        <x:v>15</x:v>
      </x:c>
      <x:c r="E51" s="40">
        <x:f>IF($T$2=0,$E24,$K24)</x:f>
        <x:v>-3</x:v>
      </x:c>
      <x:c r="F51" s="141">
        <x:f>E56+D56+C56</x:f>
        <x:v>83</x:v>
      </x:c>
      <x:c r="G51" s="144"/>
      <x:c r="H51" s="130"/>
      <x:c r="I51" s="131"/>
      <x:c r="J51" s="131"/>
      <x:c r="K51" s="131"/>
      <x:c r="L51" s="124"/>
      <x:c r="M51" s="125"/>
      <x:c r="N51" s="5"/>
    </x:row>
    <x:row r="52" spans="2:14" ht="24.949999999999999" customHeight="1">
      <x:c r="B52" s="36" t="str">
        <x:f>$B25</x:f>
        <x:v>임 연 진</x:v>
      </x:c>
      <x:c r="C52" s="41">
        <x:f>IF($T$2=0,$C25,$I25)</x:f>
        <x:v>56</x:v>
      </x:c>
      <x:c r="D52" s="41">
        <x:f>IF($T$2=0,$D25,$J25)</x:f>
        <x:v>14</x:v>
      </x:c>
      <x:c r="E52" s="41">
        <x:f>IF($T$2=0,$E25,$K25)</x:f>
        <x:v>-8</x:v>
      </x:c>
      <x:c r="F52" s="142"/>
      <x:c r="G52" s="145"/>
      <x:c r="H52" s="130"/>
      <x:c r="I52" s="131"/>
      <x:c r="J52" s="131"/>
      <x:c r="K52" s="131"/>
      <x:c r="L52" s="124"/>
      <x:c r="M52" s="125"/>
      <x:c r="N52" s="5"/>
    </x:row>
    <x:row r="53" spans="2:14" ht="24.949999999999999" customHeight="1">
      <x:c r="B53" s="36" t="str">
        <x:f>$B26</x:f>
        <x:v>이 대 용</x:v>
      </x:c>
      <x:c r="C53" s="41">
        <x:f>IF($T$2=0,$C26,$I26)</x:f>
        <x:v>34</x:v>
      </x:c>
      <x:c r="D53" s="41">
        <x:f>IF($T$2=0,$D26,$J26)</x:f>
        <x:v>9</x:v>
      </x:c>
      <x:c r="E53" s="41">
        <x:f>IF($T$2=0,$E26,$K26)</x:f>
        <x:v>-31</x:v>
      </x:c>
      <x:c r="F53" s="142"/>
      <x:c r="G53" s="145"/>
      <x:c r="H53" s="130"/>
      <x:c r="I53" s="131"/>
      <x:c r="J53" s="131"/>
      <x:c r="K53" s="131"/>
      <x:c r="L53" s="124"/>
      <x:c r="M53" s="125"/>
      <x:c r="N53" s="5"/>
    </x:row>
    <x:row r="54" spans="2:14" ht="24.949999999999999" customHeight="1">
      <x:c r="B54" s="36" t="str">
        <x:f>$B27</x:f>
        <x:v>나 경 주</x:v>
      </x:c>
      <x:c r="C54" s="41">
        <x:f>IF($T$2=0,$C27,$I27)</x:f>
        <x:v>-5</x:v>
      </x:c>
      <x:c r="D54" s="41">
        <x:f>IF($T$2=0,$D27,$J27)</x:f>
        <x:v>6</x:v>
      </x:c>
      <x:c r="E54" s="41">
        <x:f>IF($T$2=0,$E27,$K27)</x:f>
        <x:v>-23</x:v>
      </x:c>
      <x:c r="F54" s="142"/>
      <x:c r="G54" s="145"/>
      <x:c r="H54" s="130"/>
      <x:c r="I54" s="131"/>
      <x:c r="J54" s="131"/>
      <x:c r="K54" s="131"/>
      <x:c r="L54" s="124"/>
      <x:c r="M54" s="125"/>
      <x:c r="N54" s="5"/>
    </x:row>
    <x:row r="55" spans="2:14" ht="24.949999999999999" customHeight="1">
      <x:c r="B55" s="36" t="str">
        <x:f>$B28</x:f>
        <x:v>이 재 용</x:v>
      </x:c>
      <x:c r="C55" s="41">
        <x:f>IF($T$2=0,$C28,$I28)</x:f>
        <x:v>50</x:v>
      </x:c>
      <x:c r="D55" s="41">
        <x:f>IF($T$2=0,$D28,$J28)</x:f>
        <x:v>-31</x:v>
      </x:c>
      <x:c r="E55" s="41">
        <x:f>IF($T$2=0,$E28,$K28)</x:f>
        <x:v>25</x:v>
      </x:c>
      <x:c r="F55" s="142"/>
      <x:c r="G55" s="145"/>
      <x:c r="H55" s="130"/>
      <x:c r="I55" s="131"/>
      <x:c r="J55" s="131"/>
      <x:c r="K55" s="131"/>
      <x:c r="L55" s="124"/>
      <x:c r="M55" s="125"/>
      <x:c r="N55" s="5"/>
    </x:row>
    <x:row r="56" spans="2:14" ht="24.949999999999999" customHeight="1">
      <x:c r="B56" s="37"/>
      <x:c r="C56" s="42">
        <x:f>SUM(C51:C55)</x:f>
        <x:v>110</x:v>
      </x:c>
      <x:c r="D56" s="42">
        <x:f>SUM(D51:D55)</x:f>
        <x:v>13</x:v>
      </x:c>
      <x:c r="E56" s="42">
        <x:f>SUM(E51:E55)</x:f>
        <x:v>-40</x:v>
      </x:c>
      <x:c r="F56" s="143"/>
      <x:c r="G56" s="146"/>
      <x:c r="H56" s="130"/>
      <x:c r="I56" s="132"/>
      <x:c r="J56" s="132"/>
      <x:c r="K56" s="132"/>
      <x:c r="L56" s="124"/>
      <x:c r="M56" s="125"/>
      <x:c r="N56" s="5"/>
    </x:row>
    <x:row r="57" spans="7:14" ht="24.949999999999999" customHeight="1">
      <x:c r="G57" s="5"/>
      <x:c r="H57" s="5"/>
      <x:c r="I57" s="5"/>
      <x:c r="J57" s="5"/>
      <x:c r="K57" s="5"/>
      <x:c r="L57" s="5"/>
      <x:c r="M57" s="5"/>
      <x:c r="N57" s="5"/>
    </x:row>
    <x:row r="58" ht="24.949999999999999" customHeight="1"/>
    <x:row r="59" ht="24.949999999999999" customHeight="1"/>
    <x:row r="60" spans="1:13" ht="60" customHeight="1">
      <x:c r="A60" s="185" t="str">
        <x:f>A1</x:f>
        <x:v>2026 아르케 존 07회 정기 모임 점수</x:v>
      </x:c>
      <x:c r="B60" s="185"/>
      <x:c r="C60" s="185"/>
      <x:c r="D60" s="185"/>
      <x:c r="E60" s="185"/>
      <x:c r="F60" s="185"/>
      <x:c r="G60" s="185"/>
      <x:c r="H60" s="185"/>
      <x:c r="I60" s="185"/>
      <x:c r="J60" s="185"/>
      <x:c r="K60" s="185"/>
      <x:c r="L60" s="185"/>
      <x:c r="M60" s="185"/>
    </x:row>
    <x:row r="61" spans="1:13" ht="24.949999999999999" customHeight="1">
      <x:c r="A61" s="77"/>
      <x:c r="B61" s="77"/>
      <x:c r="C61" s="77"/>
      <x:c r="D61" s="77"/>
      <x:c r="E61" s="77"/>
      <x:c r="F61" s="77"/>
      <x:c r="G61" s="77"/>
      <x:c r="H61" s="77"/>
      <x:c r="I61" s="77"/>
      <x:c r="J61" s="77"/>
      <x:c r="K61" s="78" t="s">
        <x:v>8</x:v>
      </x:c>
      <x:c r="L61" s="166">
        <x:f>L2</x:f>
        <x:v>46114</x:v>
      </x:c>
      <x:c r="M61" s="167"/>
    </x:row>
    <x:row r="62" spans="1:13" ht="24.949999999999999" customHeight="1">
      <x:c r="A62" s="20"/>
      <x:c r="B62" s="14" t="s">
        <x:v>53</x:v>
      </x:c>
      <x:c r="C62" s="14" t="s">
        <x:v>2</x:v>
      </x:c>
      <x:c r="D62" s="14" t="s">
        <x:v>0</x:v>
      </x:c>
      <x:c r="E62" s="14" t="s">
        <x:v>10</x:v>
      </x:c>
      <x:c r="F62" s="14" t="s">
        <x:v>9</x:v>
      </x:c>
      <x:c r="G62" s="14" t="s">
        <x:v>6</x:v>
      </x:c>
      <x:c r="H62" s="16" t="s">
        <x:v>57</x:v>
      </x:c>
      <x:c r="I62" s="14" t="s">
        <x:v>2</x:v>
      </x:c>
      <x:c r="J62" s="14" t="s">
        <x:v>0</x:v>
      </x:c>
      <x:c r="K62" s="14" t="s">
        <x:v>10</x:v>
      </x:c>
      <x:c r="L62" s="15" t="s">
        <x:v>9</x:v>
      </x:c>
      <x:c r="M62" s="22" t="s">
        <x:v>13</x:v>
      </x:c>
    </x:row>
    <x:row r="63" spans="1:13" ht="24.949999999999999" customHeight="1">
      <x:c r="A63" s="12">
        <x:v>1</x:v>
      </x:c>
      <x:c r="B63" s="13" t="str">
        <x:f t="array" ref="B63:B63">INDEX($B$4:$M$28,MATCH($A63,$U$4:$U$28,0),COLUMN(A$1))</x:f>
        <x:v>김 규 희</x:v>
      </x:c>
      <x:c r="C63" s="62">
        <x:f t="array" ref="C63:C63">INDEX($B$4:$M$28,MATCH($A63,$U$4:$U$28,0),COLUMN(B$1))</x:f>
        <x:v>216</x:v>
      </x:c>
      <x:c r="D63" s="62">
        <x:f t="array" ref="D63:D63">INDEX($B$4:$M$28,MATCH($A63,$U$4:$U$28,0),COLUMN(C$1))</x:f>
        <x:v>277</x:v>
      </x:c>
      <x:c r="E63" s="62">
        <x:f t="array" ref="E63:E63">INDEX($B$4:$M$28,MATCH($A63,$U$4:$U$28,0),COLUMN(D$1))</x:f>
        <x:v>236</x:v>
      </x:c>
      <x:c r="F63" s="44">
        <x:f>SUM(C63:E63)</x:f>
        <x:v>729</x:v>
      </x:c>
      <x:c r="G63" s="45">
        <x:f>F63/3</x:f>
        <x:v>243</x:v>
      </x:c>
      <x:c r="H63" s="34">
        <x:f t="array" ref="H63:H63">IF(B63="","",IFERROR(INDEX('회원명단 및 기준에버'!D:G,MATCH(B63,'회원명단 및 기준에버'!$C:$C,0),CHOOSE(INT((MONTH($L$2)-1)/3)+1,1,2,3,4)),""))</x:f>
        <x:v>182</x:v>
      </x:c>
      <x:c r="I63" s="38">
        <x:v>0</x:v>
      </x:c>
      <x:c r="J63" s="38">
        <x:v>0</x:v>
      </x:c>
      <x:c r="K63" s="38">
        <x:v>0</x:v>
      </x:c>
      <x:c r="L63" s="63">
        <x:f>SUM(I63:K63)</x:f>
        <x:v>0</x:v>
      </x:c>
      <x:c r="M63" s="39">
        <x:v>0</x:v>
      </x:c>
    </x:row>
    <x:row r="64" spans="1:13" ht="24.949999999999999" customHeight="1">
      <x:c r="A64" s="12">
        <x:v>2</x:v>
      </x:c>
      <x:c r="B64" s="13" t="str">
        <x:f t="array" ref="B64:B64">INDEX($B$4:$M$28,MATCH($A64,$U$4:$U$28,0),COLUMN(A$1))</x:f>
        <x:v>임 연 진</x:v>
      </x:c>
      <x:c r="C64" s="62">
        <x:f t="array" ref="C64:C64">INDEX($B$4:$M$28,MATCH($A64,$U$4:$U$28,0),COLUMN(B$1))</x:f>
        <x:v>256</x:v>
      </x:c>
      <x:c r="D64" s="62">
        <x:f t="array" ref="D64:D64">INDEX($B$4:$M$28,MATCH($A64,$U$4:$U$28,0),COLUMN(C$1))</x:f>
        <x:v>214</x:v>
      </x:c>
      <x:c r="E64" s="62">
        <x:f t="array" ref="E64:E64">INDEX($B$4:$M$28,MATCH($A64,$U$4:$U$28,0),COLUMN(D$1))</x:f>
        <x:v>192</x:v>
      </x:c>
      <x:c r="F64" s="44">
        <x:f>SUM(C64:E64)</x:f>
        <x:v>662</x:v>
      </x:c>
      <x:c r="G64" s="45">
        <x:f>F64/3</x:f>
        <x:v>220.66666666666666</x:v>
      </x:c>
      <x:c r="H64" s="34">
        <x:f t="array" ref="H64:H64">IF(B64="","",IFERROR(INDEX('회원명단 및 기준에버'!D:G,MATCH(B64,'회원명단 및 기준에버'!$C:$C,0),CHOOSE(INT((MONTH($L$2)-1)/3)+1,1,2,3,4)),""))</x:f>
        <x:v>200</x:v>
      </x:c>
      <x:c r="I64" s="38">
        <x:f>IFERROR(C64+-H64,0)</x:f>
        <x:v>56</x:v>
      </x:c>
      <x:c r="J64" s="38">
        <x:f>IFERROR(D64+-H64,0)</x:f>
        <x:v>14</x:v>
      </x:c>
      <x:c r="K64" s="38">
        <x:f>IFERROR(E64+-H64,0)</x:f>
        <x:v>-8</x:v>
      </x:c>
      <x:c r="L64" s="63">
        <x:f>SUM(I64:K64)</x:f>
        <x:v>62</x:v>
      </x:c>
      <x:c r="M64" s="39">
        <x:f>IFERROR(G64+-H64,0)</x:f>
        <x:v>20.666666666666657</x:v>
      </x:c>
    </x:row>
    <x:row r="65" spans="1:13" ht="24.949999999999999" customHeight="1">
      <x:c r="A65" s="12">
        <x:v>3</x:v>
      </x:c>
      <x:c r="B65" s="13" t="str">
        <x:f t="array" ref="B65:B65">INDEX($B$4:$M$28,MATCH($A65,$U$4:$U$28,0),COLUMN(A$1))</x:f>
        <x:v>이 재 용</x:v>
      </x:c>
      <x:c r="C65" s="62">
        <x:f t="array" ref="C65:C65">INDEX($B$4:$M$28,MATCH($A65,$U$4:$U$28,0),COLUMN(B$1))</x:f>
        <x:v>246</x:v>
      </x:c>
      <x:c r="D65" s="62">
        <x:f t="array" ref="D65:D65">INDEX($B$4:$M$28,MATCH($A65,$U$4:$U$28,0),COLUMN(C$1))</x:f>
        <x:v>165</x:v>
      </x:c>
      <x:c r="E65" s="62">
        <x:f t="array" ref="E65:E65">INDEX($B$4:$M$28,MATCH($A65,$U$4:$U$28,0),COLUMN(D$1))</x:f>
        <x:v>221</x:v>
      </x:c>
      <x:c r="F65" s="44">
        <x:f>SUM(C65:E65)</x:f>
        <x:v>632</x:v>
      </x:c>
      <x:c r="G65" s="45">
        <x:f>F65/3</x:f>
        <x:v>210.66666666666666</x:v>
      </x:c>
      <x:c r="H65" s="34">
        <x:f t="array" ref="H65:H65">IF(B65="","",IFERROR(INDEX('회원명단 및 기준에버'!D:G,MATCH(B65,'회원명단 및 기준에버'!$C:$C,0),CHOOSE(INT((MONTH($L$2)-1)/3)+1,1,2,3,4)),""))</x:f>
        <x:v>196</x:v>
      </x:c>
      <x:c r="I65" s="38">
        <x:f t="shared" ref="I65:I87" si="10">IFERROR(C65+-H65,0)</x:f>
        <x:v>50</x:v>
      </x:c>
      <x:c r="J65" s="38">
        <x:f t="shared" ref="J65:J87" si="11">IFERROR(D65+-H65,0)</x:f>
        <x:v>-31</x:v>
      </x:c>
      <x:c r="K65" s="38">
        <x:f t="shared" ref="K65:K87" si="12">IFERROR(E65+-H65,0)</x:f>
        <x:v>25</x:v>
      </x:c>
      <x:c r="L65" s="63">
        <x:f t="shared" ref="L65:L87" si="13">SUM(I65:K65)</x:f>
        <x:v>44</x:v>
      </x:c>
      <x:c r="M65" s="39">
        <x:f t="shared" ref="M65:M87" si="14">IFERROR(G65+-H65,0)</x:f>
        <x:v>14.666666666666657</x:v>
      </x:c>
    </x:row>
    <x:row r="66" spans="1:13" ht="24.949999999999999" customHeight="1">
      <x:c r="A66" s="12">
        <x:v>4</x:v>
      </x:c>
      <x:c r="B66" s="13" t="str">
        <x:f t="array" ref="B66:B66">INDEX($B$4:$M$28,MATCH($A66,$U$4:$U$28,0),COLUMN(A$1))</x:f>
        <x:v>김 정 희</x:v>
      </x:c>
      <x:c r="C66" s="62">
        <x:f t="array" ref="C66:C66">INDEX($B$4:$M$28,MATCH($A66,$U$4:$U$28,0),COLUMN(B$1))</x:f>
        <x:v>180</x:v>
      </x:c>
      <x:c r="D66" s="62">
        <x:f t="array" ref="D66:D66">INDEX($B$4:$M$28,MATCH($A66,$U$4:$U$28,0),COLUMN(C$1))</x:f>
        <x:v>245</x:v>
      </x:c>
      <x:c r="E66" s="62">
        <x:f t="array" ref="E66:E66">INDEX($B$4:$M$28,MATCH($A66,$U$4:$U$28,0),COLUMN(D$1))</x:f>
        <x:v>217</x:v>
      </x:c>
      <x:c r="F66" s="44">
        <x:f>SUM(C66:E66)</x:f>
        <x:v>642</x:v>
      </x:c>
      <x:c r="G66" s="45">
        <x:f>F66/3</x:f>
        <x:v>214</x:v>
      </x:c>
      <x:c r="H66" s="34">
        <x:f t="array" ref="H66:H66">IF(B66="","",IFERROR(INDEX('회원명단 및 기준에버'!D:G,MATCH(B66,'회원명단 및 기준에버'!$C:$C,0),CHOOSE(INT((MONTH($L$2)-1)/3)+1,1,2,3,4)),""))</x:f>
        <x:v>200</x:v>
      </x:c>
      <x:c r="I66" s="38">
        <x:f t="shared" si="10"/>
        <x:v>-20</x:v>
      </x:c>
      <x:c r="J66" s="38">
        <x:f t="shared" si="11"/>
        <x:v>45</x:v>
      </x:c>
      <x:c r="K66" s="38">
        <x:f t="shared" si="12"/>
        <x:v>17</x:v>
      </x:c>
      <x:c r="L66" s="63">
        <x:f t="shared" si="13"/>
        <x:v>42</x:v>
      </x:c>
      <x:c r="M66" s="39">
        <x:f t="shared" si="14"/>
        <x:v>14</x:v>
      </x:c>
    </x:row>
    <x:row r="67" spans="1:13" ht="24.949999999999999" customHeight="1">
      <x:c r="A67" s="12">
        <x:v>5</x:v>
      </x:c>
      <x:c r="B67" s="13" t="str">
        <x:f t="array" ref="B67:B67">INDEX($B$4:$M$28,MATCH($A67,$U$4:$U$28,0),COLUMN(A$1))</x:f>
        <x:v>변 상 필</x:v>
      </x:c>
      <x:c r="C67" s="62">
        <x:f t="array" ref="C67:C67">INDEX($B$4:$M$28,MATCH($A67,$U$4:$U$28,0),COLUMN(B$1))</x:f>
        <x:v>229</x:v>
      </x:c>
      <x:c r="D67" s="62">
        <x:f t="array" ref="D67:D67">INDEX($B$4:$M$28,MATCH($A67,$U$4:$U$28,0),COLUMN(C$1))</x:f>
        <x:v>227</x:v>
      </x:c>
      <x:c r="E67" s="62">
        <x:f t="array" ref="E67:E67">INDEX($B$4:$M$28,MATCH($A67,$U$4:$U$28,0),COLUMN(D$1))</x:f>
        <x:v>170</x:v>
      </x:c>
      <x:c r="F67" s="44">
        <x:f t="shared" ref="F67:F87" si="15">SUM(C67:E67)</x:f>
        <x:v>626</x:v>
      </x:c>
      <x:c r="G67" s="45">
        <x:f t="shared" ref="G67:G87" si="16">F67/3</x:f>
        <x:v>208.66666666666666</x:v>
      </x:c>
      <x:c r="H67" s="34">
        <x:f t="array" ref="H67:H67">IF(B67="","",IFERROR(INDEX('회원명단 및 기준에버'!D:G,MATCH(B67,'회원명단 및 기준에버'!$C:$C,0),CHOOSE(INT((MONTH($L$2)-1)/3)+1,1,2,3,4)),""))</x:f>
        <x:v>200</x:v>
      </x:c>
      <x:c r="I67" s="38">
        <x:f t="shared" si="10"/>
        <x:v>29</x:v>
      </x:c>
      <x:c r="J67" s="38">
        <x:f t="shared" si="11"/>
        <x:v>27</x:v>
      </x:c>
      <x:c r="K67" s="38">
        <x:f t="shared" si="12"/>
        <x:v>-30</x:v>
      </x:c>
      <x:c r="L67" s="63">
        <x:f t="shared" si="13"/>
        <x:v>26</x:v>
      </x:c>
      <x:c r="M67" s="39">
        <x:f t="shared" si="14"/>
        <x:v>8.6666666666666572</x:v>
      </x:c>
    </x:row>
    <x:row r="68" spans="1:13" ht="24.949999999999999" customHeight="1">
      <x:c r="A68" s="12">
        <x:v>6</x:v>
      </x:c>
      <x:c r="B68" s="13" t="str">
        <x:f t="array" ref="B68:B68">INDEX($B$4:$M$28,MATCH($A68,$U$4:$U$28,0),COLUMN(A$1))</x:f>
        <x:v>김 태 환</x:v>
      </x:c>
      <x:c r="C68" s="62">
        <x:f t="array" ref="C68:C68">INDEX($B$4:$M$28,MATCH($A68,$U$4:$U$28,0),COLUMN(B$1))</x:f>
        <x:v>185</x:v>
      </x:c>
      <x:c r="D68" s="62">
        <x:f t="array" ref="D68:D68">INDEX($B$4:$M$28,MATCH($A68,$U$4:$U$28,0),COLUMN(C$1))</x:f>
        <x:v>193</x:v>
      </x:c>
      <x:c r="E68" s="62">
        <x:f t="array" ref="E68:E68">INDEX($B$4:$M$28,MATCH($A68,$U$4:$U$28,0),COLUMN(D$1))</x:f>
        <x:v>245</x:v>
      </x:c>
      <x:c r="F68" s="44">
        <x:f t="shared" si="15"/>
        <x:v>623</x:v>
      </x:c>
      <x:c r="G68" s="45">
        <x:f t="shared" si="16"/>
        <x:v>207.66666666666666</x:v>
      </x:c>
      <x:c r="H68" s="34">
        <x:f t="array" ref="H68:H68">IF(B68="","",IFERROR(INDEX('회원명단 및 기준에버'!D:G,MATCH(B68,'회원명단 및 기준에버'!$C:$C,0),CHOOSE(INT((MONTH($L$2)-1)/3)+1,1,2,3,4)),""))</x:f>
        <x:v>199</x:v>
      </x:c>
      <x:c r="I68" s="38">
        <x:f t="shared" si="10"/>
        <x:v>-14</x:v>
      </x:c>
      <x:c r="J68" s="38">
        <x:f t="shared" si="11"/>
        <x:v>-6</x:v>
      </x:c>
      <x:c r="K68" s="38">
        <x:f t="shared" si="12"/>
        <x:v>46</x:v>
      </x:c>
      <x:c r="L68" s="63">
        <x:f t="shared" si="13"/>
        <x:v>26</x:v>
      </x:c>
      <x:c r="M68" s="39">
        <x:f t="shared" si="14"/>
        <x:v>8.6666666666666572</x:v>
      </x:c>
    </x:row>
    <x:row r="69" spans="1:13" ht="24.949999999999999" customHeight="1">
      <x:c r="A69" s="12">
        <x:v>7</x:v>
      </x:c>
      <x:c r="B69" s="13" t="str">
        <x:f t="array" ref="B69:B69">INDEX($B$4:$M$28,MATCH($A69,$U$4:$U$28,0),COLUMN(A$1))</x:f>
        <x:v>김 선 미</x:v>
      </x:c>
      <x:c r="C69" s="62">
        <x:f t="array" ref="C69:C69">INDEX($B$4:$M$28,MATCH($A69,$U$4:$U$28,0),COLUMN(B$1))</x:f>
        <x:v>158</x:v>
      </x:c>
      <x:c r="D69" s="62">
        <x:f t="array" ref="D69:D69">INDEX($B$4:$M$28,MATCH($A69,$U$4:$U$28,0),COLUMN(C$1))</x:f>
        <x:v>166</x:v>
      </x:c>
      <x:c r="E69" s="62">
        <x:f t="array" ref="E69:E69">INDEX($B$4:$M$28,MATCH($A69,$U$4:$U$28,0),COLUMN(D$1))</x:f>
        <x:v>188</x:v>
      </x:c>
      <x:c r="F69" s="44">
        <x:f t="shared" si="15"/>
        <x:v>512</x:v>
      </x:c>
      <x:c r="G69" s="45">
        <x:f t="shared" si="16"/>
        <x:v>170.66666666666666</x:v>
      </x:c>
      <x:c r="H69" s="34">
        <x:f t="array" ref="H69:H69">IF(B69="","",IFERROR(INDEX('회원명단 및 기준에버'!D:G,MATCH(B69,'회원명단 및 기준에버'!$C:$C,0),CHOOSE(INT((MONTH($L$2)-1)/3)+1,1,2,3,4)),""))</x:f>
        <x:v>162</x:v>
      </x:c>
      <x:c r="I69" s="38">
        <x:f t="shared" si="10"/>
        <x:v>-4</x:v>
      </x:c>
      <x:c r="J69" s="38">
        <x:f t="shared" si="11"/>
        <x:v>4</x:v>
      </x:c>
      <x:c r="K69" s="38">
        <x:f t="shared" si="12"/>
        <x:v>26</x:v>
      </x:c>
      <x:c r="L69" s="63">
        <x:f t="shared" si="13"/>
        <x:v>26</x:v>
      </x:c>
      <x:c r="M69" s="39">
        <x:f t="shared" si="14"/>
        <x:v>8.6666666666666572</x:v>
      </x:c>
    </x:row>
    <x:row r="70" spans="1:13" ht="24.949999999999999" customHeight="1">
      <x:c r="A70" s="12">
        <x:v>8</x:v>
      </x:c>
      <x:c r="B70" s="13" t="str">
        <x:f t="array" ref="B70:B70">INDEX($B$4:$M$28,MATCH($A70,$U$4:$U$28,0),COLUMN(A$1))</x:f>
        <x:v>김 미 란</x:v>
      </x:c>
      <x:c r="C70" s="62">
        <x:f t="array" ref="C70:C70">INDEX($B$4:$M$28,MATCH($A70,$U$4:$U$28,0),COLUMN(B$1))</x:f>
        <x:v>187</x:v>
      </x:c>
      <x:c r="D70" s="62">
        <x:f t="array" ref="D70:D70">INDEX($B$4:$M$28,MATCH($A70,$U$4:$U$28,0),COLUMN(C$1))</x:f>
        <x:v>224</x:v>
      </x:c>
      <x:c r="E70" s="62">
        <x:f t="array" ref="E70:E70">INDEX($B$4:$M$28,MATCH($A70,$U$4:$U$28,0),COLUMN(D$1))</x:f>
        <x:v>153</x:v>
      </x:c>
      <x:c r="F70" s="44">
        <x:f t="shared" si="15"/>
        <x:v>564</x:v>
      </x:c>
      <x:c r="G70" s="45">
        <x:f t="shared" si="16"/>
        <x:v>188</x:v>
      </x:c>
      <x:c r="H70" s="34">
        <x:f t="array" ref="H70:H70">IF(B70="","",IFERROR(INDEX('회원명단 및 기준에버'!D:G,MATCH(B70,'회원명단 및 기준에버'!$C:$C,0),CHOOSE(INT((MONTH($L$2)-1)/3)+1,1,2,3,4)),""))</x:f>
        <x:v>183</x:v>
      </x:c>
      <x:c r="I70" s="38">
        <x:f t="shared" si="10"/>
        <x:v>4</x:v>
      </x:c>
      <x:c r="J70" s="38">
        <x:f t="shared" si="11"/>
        <x:v>41</x:v>
      </x:c>
      <x:c r="K70" s="38">
        <x:f t="shared" si="12"/>
        <x:v>-30</x:v>
      </x:c>
      <x:c r="L70" s="63">
        <x:f t="shared" si="13"/>
        <x:v>15</x:v>
      </x:c>
      <x:c r="M70" s="39">
        <x:f t="shared" si="14"/>
        <x:v>5</x:v>
      </x:c>
    </x:row>
    <x:row r="71" spans="1:13" ht="24.949999999999999" customHeight="1">
      <x:c r="A71" s="12">
        <x:v>9</x:v>
      </x:c>
      <x:c r="B71" s="13" t="str">
        <x:f t="array" ref="B71:B71">INDEX($B$4:$M$28,MATCH($A71,$U$4:$U$28,0),COLUMN(A$1))</x:f>
        <x:v>이 대 용</x:v>
      </x:c>
      <x:c r="C71" s="62">
        <x:f t="array" ref="C71:C71">INDEX($B$4:$M$28,MATCH($A71,$U$4:$U$28,0),COLUMN(B$1))</x:f>
        <x:v>234</x:v>
      </x:c>
      <x:c r="D71" s="62">
        <x:f t="array" ref="D71:D71">INDEX($B$4:$M$28,MATCH($A71,$U$4:$U$28,0),COLUMN(C$1))</x:f>
        <x:v>209</x:v>
      </x:c>
      <x:c r="E71" s="62">
        <x:f t="array" ref="E71:E71">INDEX($B$4:$M$28,MATCH($A71,$U$4:$U$28,0),COLUMN(D$1))</x:f>
        <x:v>169</x:v>
      </x:c>
      <x:c r="F71" s="44">
        <x:f t="shared" si="15"/>
        <x:v>612</x:v>
      </x:c>
      <x:c r="G71" s="45">
        <x:f t="shared" si="16"/>
        <x:v>204</x:v>
      </x:c>
      <x:c r="H71" s="34">
        <x:f t="array" ref="H71:H71">IF(B71="","",IFERROR(INDEX('회원명단 및 기준에버'!D:G,MATCH(B71,'회원명단 및 기준에버'!$C:$C,0),CHOOSE(INT((MONTH($L$2)-1)/3)+1,1,2,3,4)),""))</x:f>
        <x:v>200</x:v>
      </x:c>
      <x:c r="I71" s="38">
        <x:f t="shared" si="10"/>
        <x:v>34</x:v>
      </x:c>
      <x:c r="J71" s="38">
        <x:f t="shared" si="11"/>
        <x:v>9</x:v>
      </x:c>
      <x:c r="K71" s="38">
        <x:f t="shared" si="12"/>
        <x:v>-31</x:v>
      </x:c>
      <x:c r="L71" s="63">
        <x:f t="shared" si="13"/>
        <x:v>12</x:v>
      </x:c>
      <x:c r="M71" s="39">
        <x:f t="shared" si="14"/>
        <x:v>4</x:v>
      </x:c>
    </x:row>
    <x:row r="72" spans="1:13" ht="24.949999999999999" customHeight="1">
      <x:c r="A72" s="12">
        <x:v>10</x:v>
      </x:c>
      <x:c r="B72" s="13" t="str">
        <x:f t="array" ref="B72:B72">INDEX($B$4:$M$28,MATCH($A72,$U$4:$U$28,0),COLUMN(A$1))</x:f>
        <x:v>고 경 훈</x:v>
      </x:c>
      <x:c r="C72" s="62">
        <x:f t="array" ref="C72:C72">INDEX($B$4:$M$28,MATCH($A72,$U$4:$U$28,0),COLUMN(B$1))</x:f>
        <x:v>184</x:v>
      </x:c>
      <x:c r="D72" s="62">
        <x:f t="array" ref="D72:D72">INDEX($B$4:$M$28,MATCH($A72,$U$4:$U$28,0),COLUMN(C$1))</x:f>
        <x:v>228</x:v>
      </x:c>
      <x:c r="E72" s="62">
        <x:f t="array" ref="E72:E72">INDEX($B$4:$M$28,MATCH($A72,$U$4:$U$28,0),COLUMN(D$1))</x:f>
        <x:v>182</x:v>
      </x:c>
      <x:c r="F72" s="44">
        <x:f t="shared" si="15"/>
        <x:v>594</x:v>
      </x:c>
      <x:c r="G72" s="45">
        <x:f t="shared" si="16"/>
        <x:v>198</x:v>
      </x:c>
      <x:c r="H72" s="34">
        <x:f t="array" ref="H72:H72">IF(B72="","",IFERROR(INDEX('회원명단 및 기준에버'!D:G,MATCH(B72,'회원명단 및 기준에버'!$C:$C,0),CHOOSE(INT((MONTH($L$2)-1)/3)+1,1,2,3,4)),""))</x:f>
        <x:v>196</x:v>
      </x:c>
      <x:c r="I72" s="38">
        <x:f t="shared" si="10"/>
        <x:v>-12</x:v>
      </x:c>
      <x:c r="J72" s="38">
        <x:f t="shared" si="11"/>
        <x:v>32</x:v>
      </x:c>
      <x:c r="K72" s="38">
        <x:f t="shared" si="12"/>
        <x:v>-14</x:v>
      </x:c>
      <x:c r="L72" s="63">
        <x:f t="shared" si="13"/>
        <x:v>6</x:v>
      </x:c>
      <x:c r="M72" s="39">
        <x:f t="shared" si="14"/>
        <x:v>2</x:v>
      </x:c>
    </x:row>
    <x:row r="73" spans="1:13" ht="24.949999999999999" customHeight="1">
      <x:c r="A73" s="12">
        <x:v>11</x:v>
      </x:c>
      <x:c r="B73" s="13" t="str">
        <x:f t="array" ref="B73:B73">INDEX($B$4:$M$28,MATCH($A73,$U$4:$U$28,0),COLUMN(A$1))</x:f>
        <x:v>박 성 현</x:v>
      </x:c>
      <x:c r="C73" s="62">
        <x:f t="array" ref="C73:C73">INDEX($B$4:$M$28,MATCH($A73,$U$4:$U$28,0),COLUMN(B$1))</x:f>
        <x:v>208</x:v>
      </x:c>
      <x:c r="D73" s="62">
        <x:f t="array" ref="D73:D73">INDEX($B$4:$M$28,MATCH($A73,$U$4:$U$28,0),COLUMN(C$1))</x:f>
        <x:v>179</x:v>
      </x:c>
      <x:c r="E73" s="62">
        <x:f t="array" ref="E73:E73">INDEX($B$4:$M$28,MATCH($A73,$U$4:$U$28,0),COLUMN(D$1))</x:f>
        <x:v>191</x:v>
      </x:c>
      <x:c r="F73" s="44">
        <x:f t="shared" si="15"/>
        <x:v>578</x:v>
      </x:c>
      <x:c r="G73" s="45">
        <x:f t="shared" si="16"/>
        <x:v>192.66666666666666</x:v>
      </x:c>
      <x:c r="H73" s="34">
        <x:f t="array" ref="H73:H73">IF(B73="","",IFERROR(INDEX('회원명단 및 기준에버'!D:G,MATCH(B73,'회원명단 및 기준에버'!$C:$C,0),CHOOSE(INT((MONTH($L$2)-1)/3)+1,1,2,3,4)),""))</x:f>
        <x:v>191</x:v>
      </x:c>
      <x:c r="I73" s="38">
        <x:f t="shared" si="10"/>
        <x:v>17</x:v>
      </x:c>
      <x:c r="J73" s="38">
        <x:f t="shared" si="11"/>
        <x:v>-12</x:v>
      </x:c>
      <x:c r="K73" s="38">
        <x:f t="shared" si="12"/>
        <x:v>0</x:v>
      </x:c>
      <x:c r="L73" s="63">
        <x:f t="shared" si="13"/>
        <x:v>5</x:v>
      </x:c>
      <x:c r="M73" s="39">
        <x:f t="shared" si="14"/>
        <x:v>1.6666666666666572</x:v>
      </x:c>
    </x:row>
    <x:row r="74" spans="1:13" ht="24.949999999999999" customHeight="1">
      <x:c r="A74" s="12">
        <x:v>12</x:v>
      </x:c>
      <x:c r="B74" s="13" t="str">
        <x:f t="array" ref="B74:B74">INDEX($B$4:$M$28,MATCH($A74,$U$4:$U$28,0),COLUMN(A$1))</x:f>
        <x:v>채 윤 주</x:v>
      </x:c>
      <x:c r="C74" s="62">
        <x:f t="array" ref="C74:C74">INDEX($B$4:$M$28,MATCH($A74,$U$4:$U$28,0),COLUMN(B$1))</x:f>
        <x:v>187</x:v>
      </x:c>
      <x:c r="D74" s="62">
        <x:f t="array" ref="D74:D74">INDEX($B$4:$M$28,MATCH($A74,$U$4:$U$28,0),COLUMN(C$1))</x:f>
        <x:v>214</x:v>
      </x:c>
      <x:c r="E74" s="62">
        <x:f t="array" ref="E74:E74">INDEX($B$4:$M$28,MATCH($A74,$U$4:$U$28,0),COLUMN(D$1))</x:f>
        <x:v>181</x:v>
      </x:c>
      <x:c r="F74" s="44">
        <x:f t="shared" si="15"/>
        <x:v>582</x:v>
      </x:c>
      <x:c r="G74" s="45">
        <x:f t="shared" si="16"/>
        <x:v>194</x:v>
      </x:c>
      <x:c r="H74" s="34">
        <x:f t="array" ref="H74:H74">IF(B74="","",IFERROR(INDEX('회원명단 및 기준에버'!D:G,MATCH(B74,'회원명단 및 기준에버'!$C:$C,0),CHOOSE(INT((MONTH($L$2)-1)/3)+1,1,2,3,4)),""))</x:f>
        <x:v>0</x:v>
      </x:c>
      <x:c r="I74" s="38">
        <x:f t="shared" si="10"/>
        <x:v>187</x:v>
      </x:c>
      <x:c r="J74" s="38">
        <x:f t="shared" si="11"/>
        <x:v>214</x:v>
      </x:c>
      <x:c r="K74" s="38">
        <x:f t="shared" si="12"/>
        <x:v>181</x:v>
      </x:c>
      <x:c r="L74" s="63">
        <x:f t="shared" si="13"/>
        <x:v>582</x:v>
      </x:c>
      <x:c r="M74" s="39">
        <x:f t="shared" si="14"/>
        <x:v>194</x:v>
      </x:c>
    </x:row>
    <x:row r="75" spans="1:13" ht="24.949999999999999" customHeight="1">
      <x:c r="A75" s="12">
        <x:v>13</x:v>
      </x:c>
      <x:c r="B75" s="13" t="str">
        <x:f t="array" ref="B75:B75">INDEX($B$4:$M$28,MATCH($A75,$U$4:$U$28,0),COLUMN(A$1))</x:f>
        <x:v>최  진</x:v>
      </x:c>
      <x:c r="C75" s="62">
        <x:f t="array" ref="C75:C75">INDEX($B$4:$M$28,MATCH($A75,$U$4:$U$28,0),COLUMN(B$1))</x:f>
        <x:v>191</x:v>
      </x:c>
      <x:c r="D75" s="62">
        <x:f t="array" ref="D75:D75">INDEX($B$4:$M$28,MATCH($A75,$U$4:$U$28,0),COLUMN(C$1))</x:f>
        <x:v>174</x:v>
      </x:c>
      <x:c r="E75" s="62">
        <x:f t="array" ref="E75:E75">INDEX($B$4:$M$28,MATCH($A75,$U$4:$U$28,0),COLUMN(D$1))</x:f>
        <x:v>202</x:v>
      </x:c>
      <x:c r="F75" s="44">
        <x:f t="shared" si="15"/>
        <x:v>567</x:v>
      </x:c>
      <x:c r="G75" s="45">
        <x:f t="shared" si="16"/>
        <x:v>189</x:v>
      </x:c>
      <x:c r="H75" s="34" t="str">
        <x:f t="array" ref="H75:H75">IF(B75="","",IFERROR(INDEX('회원명단 및 기준에버'!D:G,MATCH(B75,'회원명단 및 기준에버'!$C:$C,0),CHOOSE(INT((MONTH($L$2)-1)/3)+1,1,2,3,4)),""))</x:f>
        <x:v/>
      </x:c>
      <x:c r="I75" s="38">
        <x:f t="shared" si="10"/>
        <x:v>0</x:v>
      </x:c>
      <x:c r="J75" s="38">
        <x:f t="shared" si="11"/>
        <x:v>0</x:v>
      </x:c>
      <x:c r="K75" s="38">
        <x:f t="shared" si="12"/>
        <x:v>0</x:v>
      </x:c>
      <x:c r="L75" s="63">
        <x:f t="shared" si="13"/>
        <x:v>0</x:v>
      </x:c>
      <x:c r="M75" s="39">
        <x:f t="shared" si="14"/>
        <x:v>0</x:v>
      </x:c>
    </x:row>
    <x:row r="76" spans="1:13" ht="24.949999999999999" customHeight="1">
      <x:c r="A76" s="12">
        <x:v>14</x:v>
      </x:c>
      <x:c r="B76" s="13" t="str">
        <x:f t="array" ref="B76:B76">INDEX($B$4:$M$28,MATCH($A76,$U$4:$U$28,0),COLUMN(A$1))</x:f>
        <x:v>지 옥 명</x:v>
      </x:c>
      <x:c r="C76" s="62">
        <x:f t="array" ref="C76:C76">INDEX($B$4:$M$28,MATCH($A76,$U$4:$U$28,0),COLUMN(B$1))</x:f>
        <x:v>173</x:v>
      </x:c>
      <x:c r="D76" s="62">
        <x:f t="array" ref="D76:D76">INDEX($B$4:$M$28,MATCH($A76,$U$4:$U$28,0),COLUMN(C$1))</x:f>
        <x:v>166</x:v>
      </x:c>
      <x:c r="E76" s="62">
        <x:f t="array" ref="E76:E76">INDEX($B$4:$M$28,MATCH($A76,$U$4:$U$28,0),COLUMN(D$1))</x:f>
        <x:v>191</x:v>
      </x:c>
      <x:c r="F76" s="44">
        <x:f t="shared" si="15"/>
        <x:v>530</x:v>
      </x:c>
      <x:c r="G76" s="45">
        <x:f t="shared" si="16"/>
        <x:v>176.66666666666666</x:v>
      </x:c>
      <x:c r="H76" s="34">
        <x:f t="array" ref="H76:H76">IF(B76="","",IFERROR(INDEX('회원명단 및 기준에버'!D:G,MATCH(B76,'회원명단 및 기준에버'!$C:$C,0),CHOOSE(INT((MONTH($L$2)-1)/3)+1,1,2,3,4)),""))</x:f>
        <x:v>177</x:v>
      </x:c>
      <x:c r="I76" s="38">
        <x:f t="shared" si="10"/>
        <x:v>-4</x:v>
      </x:c>
      <x:c r="J76" s="38">
        <x:f t="shared" si="11"/>
        <x:v>-11</x:v>
      </x:c>
      <x:c r="K76" s="38">
        <x:f t="shared" si="12"/>
        <x:v>14</x:v>
      </x:c>
      <x:c r="L76" s="63">
        <x:f t="shared" si="13"/>
        <x:v>-1</x:v>
      </x:c>
      <x:c r="M76" s="39">
        <x:f t="shared" si="14"/>
        <x:v>-0.33333333333334281</x:v>
      </x:c>
    </x:row>
    <x:row r="77" spans="1:13" ht="24.949999999999999" customHeight="1">
      <x:c r="A77" s="12">
        <x:v>15</x:v>
      </x:c>
      <x:c r="B77" s="13" t="str">
        <x:f t="array" ref="B77:B77">INDEX($B$4:$M$28,MATCH($A77,$U$4:$U$28,0),COLUMN(A$1))</x:f>
        <x:v>천 성 일</x:v>
      </x:c>
      <x:c r="C77" s="62">
        <x:f t="array" ref="C77:C77">INDEX($B$4:$M$28,MATCH($A77,$U$4:$U$28,0),COLUMN(B$1))</x:f>
        <x:v>176</x:v>
      </x:c>
      <x:c r="D77" s="62">
        <x:f t="array" ref="D77:D77">INDEX($B$4:$M$28,MATCH($A77,$U$4:$U$28,0),COLUMN(C$1))</x:f>
        <x:v>179</x:v>
      </x:c>
      <x:c r="E77" s="62">
        <x:f t="array" ref="E77:E77">INDEX($B$4:$M$28,MATCH($A77,$U$4:$U$28,0),COLUMN(D$1))</x:f>
        <x:v>214</x:v>
      </x:c>
      <x:c r="F77" s="44">
        <x:f t="shared" si="15"/>
        <x:v>569</x:v>
      </x:c>
      <x:c r="G77" s="45">
        <x:f t="shared" si="16"/>
        <x:v>189.66666666666666</x:v>
      </x:c>
      <x:c r="H77" s="34">
        <x:f t="array" ref="H77:H77">IF(B77="","",IFERROR(INDEX('회원명단 및 기준에버'!D:G,MATCH(B77,'회원명단 및 기준에버'!$C:$C,0),CHOOSE(INT((MONTH($L$2)-1)/3)+1,1,2,3,4)),""))</x:f>
        <x:v>191</x:v>
      </x:c>
      <x:c r="I77" s="38">
        <x:f t="shared" si="10"/>
        <x:v>-15</x:v>
      </x:c>
      <x:c r="J77" s="38">
        <x:f t="shared" si="11"/>
        <x:v>-12</x:v>
      </x:c>
      <x:c r="K77" s="38">
        <x:f t="shared" si="12"/>
        <x:v>23</x:v>
      </x:c>
      <x:c r="L77" s="63">
        <x:f t="shared" si="13"/>
        <x:v>-4</x:v>
      </x:c>
      <x:c r="M77" s="39">
        <x:f t="shared" si="14"/>
        <x:v>-1.3333333333333428</x:v>
      </x:c>
    </x:row>
    <x:row r="78" spans="1:13" ht="24.949999999999999" customHeight="1">
      <x:c r="A78" s="12">
        <x:v>16</x:v>
      </x:c>
      <x:c r="B78" s="13" t="str">
        <x:f t="array" ref="B78:B78">INDEX($B$4:$M$28,MATCH($A78,$U$4:$U$28,0),COLUMN(A$1))</x:f>
        <x:v>손 은 주</x:v>
      </x:c>
      <x:c r="C78" s="62">
        <x:f t="array" ref="C78:C78">INDEX($B$4:$M$28,MATCH($A78,$U$4:$U$28,0),COLUMN(B$1))</x:f>
        <x:v>119</x:v>
      </x:c>
      <x:c r="D78" s="62">
        <x:f t="array" ref="D78:D78">INDEX($B$4:$M$28,MATCH($A78,$U$4:$U$28,0),COLUMN(C$1))</x:f>
        <x:v>159</x:v>
      </x:c>
      <x:c r="E78" s="62">
        <x:f t="array" ref="E78:E78">INDEX($B$4:$M$28,MATCH($A78,$U$4:$U$28,0),COLUMN(D$1))</x:f>
        <x:v>141</x:v>
      </x:c>
      <x:c r="F78" s="44">
        <x:f t="shared" si="15"/>
        <x:v>419</x:v>
      </x:c>
      <x:c r="G78" s="45">
        <x:f t="shared" si="16"/>
        <x:v>139.66666666666666</x:v>
      </x:c>
      <x:c r="H78" s="34">
        <x:f t="array" ref="H78:H78">IF(B78="","",IFERROR(INDEX('회원명단 및 기준에버'!D:G,MATCH(B78,'회원명단 및 기준에버'!$C:$C,0),CHOOSE(INT((MONTH($L$2)-1)/3)+1,1,2,3,4)),""))</x:f>
        <x:v>144</x:v>
      </x:c>
      <x:c r="I78" s="38">
        <x:f t="shared" si="10"/>
        <x:v>-25</x:v>
      </x:c>
      <x:c r="J78" s="38">
        <x:f t="shared" si="11"/>
        <x:v>15</x:v>
      </x:c>
      <x:c r="K78" s="38">
        <x:f t="shared" si="12"/>
        <x:v>-3</x:v>
      </x:c>
      <x:c r="L78" s="63">
        <x:f t="shared" si="13"/>
        <x:v>-13</x:v>
      </x:c>
      <x:c r="M78" s="39">
        <x:f t="shared" si="14"/>
        <x:v>-4.3333333333333428</x:v>
      </x:c>
    </x:row>
    <x:row r="79" spans="1:13" ht="24.949999999999999" customHeight="1">
      <x:c r="A79" s="12">
        <x:v>17</x:v>
      </x:c>
      <x:c r="B79" s="13" t="str">
        <x:f t="array" ref="B79:B79">INDEX($B$4:$M$28,MATCH($A79,$U$4:$U$28,0),COLUMN(A$1))</x:f>
        <x:v>장 영 민</x:v>
      </x:c>
      <x:c r="C79" s="62">
        <x:f t="array" ref="C79:C79">INDEX($B$4:$M$28,MATCH($A79,$U$4:$U$28,0),COLUMN(B$1))</x:f>
        <x:v>204</x:v>
      </x:c>
      <x:c r="D79" s="62">
        <x:f t="array" ref="D79:D79">INDEX($B$4:$M$28,MATCH($A79,$U$4:$U$28,0),COLUMN(C$1))</x:f>
        <x:v>222</x:v>
      </x:c>
      <x:c r="E79" s="62">
        <x:f t="array" ref="E79:E79">INDEX($B$4:$M$28,MATCH($A79,$U$4:$U$28,0),COLUMN(D$1))</x:f>
        <x:v>156</x:v>
      </x:c>
      <x:c r="F79" s="44">
        <x:f t="shared" si="15"/>
        <x:v>582</x:v>
      </x:c>
      <x:c r="G79" s="45">
        <x:f t="shared" si="16"/>
        <x:v>194</x:v>
      </x:c>
      <x:c r="H79" s="34">
        <x:f t="array" ref="H79:H79">IF(B79="","",IFERROR(INDEX('회원명단 및 기준에버'!D:G,MATCH(B79,'회원명단 및 기준에버'!$C:$C,0),CHOOSE(INT((MONTH($L$2)-1)/3)+1,1,2,3,4)),""))</x:f>
        <x:v>200</x:v>
      </x:c>
      <x:c r="I79" s="38">
        <x:f t="shared" si="10"/>
        <x:v>4</x:v>
      </x:c>
      <x:c r="J79" s="38">
        <x:f t="shared" si="11"/>
        <x:v>22</x:v>
      </x:c>
      <x:c r="K79" s="38">
        <x:f t="shared" si="12"/>
        <x:v>-44</x:v>
      </x:c>
      <x:c r="L79" s="63">
        <x:f t="shared" si="13"/>
        <x:v>-18</x:v>
      </x:c>
      <x:c r="M79" s="39">
        <x:f t="shared" si="14"/>
        <x:v>-6</x:v>
      </x:c>
    </x:row>
    <x:row r="80" spans="1:13" ht="24.949999999999999" customHeight="1">
      <x:c r="A80" s="12">
        <x:v>18</x:v>
      </x:c>
      <x:c r="B80" s="13" t="str">
        <x:f t="array" ref="B80:B80">INDEX($B$4:$M$28,MATCH($A80,$U$4:$U$28,0),COLUMN(A$1))</x:f>
        <x:v>이 우 석</x:v>
      </x:c>
      <x:c r="C80" s="62">
        <x:f t="array" ref="C80:C80">INDEX($B$4:$M$28,MATCH($A80,$U$4:$U$28,0),COLUMN(B$1))</x:f>
        <x:v>192</x:v>
      </x:c>
      <x:c r="D80" s="62">
        <x:f t="array" ref="D80:D80">INDEX($B$4:$M$28,MATCH($A80,$U$4:$U$28,0),COLUMN(C$1))</x:f>
        <x:v>192</x:v>
      </x:c>
      <x:c r="E80" s="62">
        <x:f t="array" ref="E80:E80">INDEX($B$4:$M$28,MATCH($A80,$U$4:$U$28,0),COLUMN(D$1))</x:f>
        <x:v>194</x:v>
      </x:c>
      <x:c r="F80" s="44">
        <x:f t="shared" si="15"/>
        <x:v>578</x:v>
      </x:c>
      <x:c r="G80" s="45">
        <x:f t="shared" si="16"/>
        <x:v>192.66666666666666</x:v>
      </x:c>
      <x:c r="H80" s="34">
        <x:f t="array" ref="H80:H80">IF(B80="","",IFERROR(INDEX('회원명단 및 기준에버'!D:G,MATCH(B80,'회원명단 및 기준에버'!$C:$C,0),CHOOSE(INT((MONTH($L$2)-1)/3)+1,1,2,3,4)),""))</x:f>
        <x:v>199</x:v>
      </x:c>
      <x:c r="I80" s="38">
        <x:f t="shared" si="10"/>
        <x:v>-7</x:v>
      </x:c>
      <x:c r="J80" s="38">
        <x:f t="shared" si="11"/>
        <x:v>-7</x:v>
      </x:c>
      <x:c r="K80" s="38">
        <x:f t="shared" si="12"/>
        <x:v>-5</x:v>
      </x:c>
      <x:c r="L80" s="63">
        <x:f t="shared" si="13"/>
        <x:v>-19</x:v>
      </x:c>
      <x:c r="M80" s="39">
        <x:f t="shared" si="14"/>
        <x:v>-6.3333333333333428</x:v>
      </x:c>
    </x:row>
    <x:row r="81" spans="1:13" ht="24.949999999999999" customHeight="1">
      <x:c r="A81" s="12">
        <x:v>19</x:v>
      </x:c>
      <x:c r="B81" s="13" t="str">
        <x:f t="array" ref="B81:B81">INDEX($B$4:$M$28,MATCH($A81,$U$4:$U$28,0),COLUMN(A$1))</x:f>
        <x:v>나 경 주</x:v>
      </x:c>
      <x:c r="C81" s="62">
        <x:f t="array" ref="C81:C81">INDEX($B$4:$M$28,MATCH($A81,$U$4:$U$28,0),COLUMN(B$1))</x:f>
        <x:v>190</x:v>
      </x:c>
      <x:c r="D81" s="62">
        <x:f t="array" ref="D81:D81">INDEX($B$4:$M$28,MATCH($A81,$U$4:$U$28,0),COLUMN(C$1))</x:f>
        <x:v>201</x:v>
      </x:c>
      <x:c r="E81" s="62">
        <x:f t="array" ref="E81:E81">INDEX($B$4:$M$28,MATCH($A81,$U$4:$U$28,0),COLUMN(D$1))</x:f>
        <x:v>172</x:v>
      </x:c>
      <x:c r="F81" s="44">
        <x:f t="shared" si="15"/>
        <x:v>563</x:v>
      </x:c>
      <x:c r="G81" s="45">
        <x:f t="shared" si="16"/>
        <x:v>187.66666666666666</x:v>
      </x:c>
      <x:c r="H81" s="34">
        <x:f t="array" ref="H81:H81">IF(B81="","",IFERROR(INDEX('회원명단 및 기준에버'!D:G,MATCH(B81,'회원명단 및 기준에버'!$C:$C,0),CHOOSE(INT((MONTH($L$2)-1)/3)+1,1,2,3,4)),""))</x:f>
        <x:v>195</x:v>
      </x:c>
      <x:c r="I81" s="38">
        <x:f t="shared" si="10"/>
        <x:v>-5</x:v>
      </x:c>
      <x:c r="J81" s="38">
        <x:f t="shared" si="11"/>
        <x:v>6</x:v>
      </x:c>
      <x:c r="K81" s="38">
        <x:f t="shared" si="12"/>
        <x:v>-23</x:v>
      </x:c>
      <x:c r="L81" s="63">
        <x:f t="shared" si="13"/>
        <x:v>-22</x:v>
      </x:c>
      <x:c r="M81" s="39">
        <x:f t="shared" si="14"/>
        <x:v>-7.3333333333333428</x:v>
      </x:c>
    </x:row>
    <x:row r="82" spans="1:13" ht="24.949999999999999" customHeight="1">
      <x:c r="A82" s="12">
        <x:v>20</x:v>
      </x:c>
      <x:c r="B82" s="13" t="str">
        <x:f t="array" ref="B82:B82">INDEX($B$4:$M$28,MATCH($A82,$U$4:$U$28,0),COLUMN(A$1))</x:f>
        <x:v>임 승 기</x:v>
      </x:c>
      <x:c r="C82" s="62">
        <x:f t="array" ref="C82:C82">INDEX($B$4:$M$28,MATCH($A82,$U$4:$U$28,0),COLUMN(B$1))</x:f>
        <x:v>182</x:v>
      </x:c>
      <x:c r="D82" s="62">
        <x:f t="array" ref="D82:D82">INDEX($B$4:$M$28,MATCH($A82,$U$4:$U$28,0),COLUMN(C$1))</x:f>
        <x:v>203</x:v>
      </x:c>
      <x:c r="E82" s="62">
        <x:f t="array" ref="E82:E82">INDEX($B$4:$M$28,MATCH($A82,$U$4:$U$28,0),COLUMN(D$1))</x:f>
        <x:v>193</x:v>
      </x:c>
      <x:c r="F82" s="44">
        <x:f t="shared" si="15"/>
        <x:v>578</x:v>
      </x:c>
      <x:c r="G82" s="45">
        <x:f t="shared" si="16"/>
        <x:v>192.66666666666666</x:v>
      </x:c>
      <x:c r="H82" s="34">
        <x:f t="array" ref="H82:H82">IF(B82="","",IFERROR(INDEX('회원명단 및 기준에버'!D:G,MATCH(B82,'회원명단 및 기준에버'!$C:$C,0),CHOOSE(INT((MONTH($L$2)-1)/3)+1,1,2,3,4)),""))</x:f>
        <x:v>200</x:v>
      </x:c>
      <x:c r="I82" s="38">
        <x:f t="shared" si="10"/>
        <x:v>-18</x:v>
      </x:c>
      <x:c r="J82" s="38">
        <x:f t="shared" si="11"/>
        <x:v>3</x:v>
      </x:c>
      <x:c r="K82" s="38">
        <x:f t="shared" si="12"/>
        <x:v>-7</x:v>
      </x:c>
      <x:c r="L82" s="63">
        <x:f t="shared" si="13"/>
        <x:v>-22</x:v>
      </x:c>
      <x:c r="M82" s="39">
        <x:f t="shared" si="14"/>
        <x:v>-7.3333333333333428</x:v>
      </x:c>
    </x:row>
    <x:row r="83" spans="1:13" ht="24.949999999999999" customHeight="1">
      <x:c r="A83" s="12">
        <x:v>21</x:v>
      </x:c>
      <x:c r="B83" s="13" t="str">
        <x:f t="array" ref="B83:B83">INDEX($B$4:$M$28,MATCH($A83,$U$4:$U$28,0),COLUMN(A$1))</x:f>
        <x:v>이 상 현</x:v>
      </x:c>
      <x:c r="C83" s="62">
        <x:f t="array" ref="C83:C83">INDEX($B$4:$M$28,MATCH($A83,$U$4:$U$28,0),COLUMN(B$1))</x:f>
        <x:v>180</x:v>
      </x:c>
      <x:c r="D83" s="62">
        <x:f t="array" ref="D83:D83">INDEX($B$4:$M$28,MATCH($A83,$U$4:$U$28,0),COLUMN(C$1))</x:f>
        <x:v>194</x:v>
      </x:c>
      <x:c r="E83" s="62">
        <x:f t="array" ref="E83:E83">INDEX($B$4:$M$28,MATCH($A83,$U$4:$U$28,0),COLUMN(D$1))</x:f>
        <x:v>182</x:v>
      </x:c>
      <x:c r="F83" s="44">
        <x:f t="shared" si="15"/>
        <x:v>556</x:v>
      </x:c>
      <x:c r="G83" s="45">
        <x:f t="shared" si="16"/>
        <x:v>185.33333333333334</x:v>
      </x:c>
      <x:c r="H83" s="34">
        <x:f t="array" ref="H83:H83">IF(B83="","",IFERROR(INDEX('회원명단 및 기준에버'!D:G,MATCH(B83,'회원명단 및 기준에버'!$C:$C,0),CHOOSE(INT((MONTH($L$2)-1)/3)+1,1,2,3,4)),""))</x:f>
        <x:v>195</x:v>
      </x:c>
      <x:c r="I83" s="38">
        <x:f t="shared" si="10"/>
        <x:v>-15</x:v>
      </x:c>
      <x:c r="J83" s="38">
        <x:f t="shared" si="11"/>
        <x:v>-1</x:v>
      </x:c>
      <x:c r="K83" s="38">
        <x:f t="shared" si="12"/>
        <x:v>-13</x:v>
      </x:c>
      <x:c r="L83" s="63">
        <x:f t="shared" si="13"/>
        <x:v>-29</x:v>
      </x:c>
      <x:c r="M83" s="39">
        <x:f t="shared" si="14"/>
        <x:v>-9.6666666666666572</x:v>
      </x:c>
    </x:row>
    <x:row r="84" spans="1:13" ht="24.949999999999999" customHeight="1">
      <x:c r="A84" s="12">
        <x:v>22</x:v>
      </x:c>
      <x:c r="B84" s="13" t="str">
        <x:f t="array" ref="B84:B84">INDEX($B$4:$M$28,MATCH($A84,$U$4:$U$28,0),COLUMN(A$1))</x:f>
        <x:v>진 명 옥</x:v>
      </x:c>
      <x:c r="C84" s="62">
        <x:f t="array" ref="C84:C84">INDEX($B$4:$M$28,MATCH($A84,$U$4:$U$28,0),COLUMN(B$1))</x:f>
        <x:v>146</x:v>
      </x:c>
      <x:c r="D84" s="62">
        <x:f t="array" ref="D84:D84">INDEX($B$4:$M$28,MATCH($A84,$U$4:$U$28,0),COLUMN(C$1))</x:f>
        <x:v>173</x:v>
      </x:c>
      <x:c r="E84" s="62">
        <x:f t="array" ref="E84:E84">INDEX($B$4:$M$28,MATCH($A84,$U$4:$U$28,0),COLUMN(D$1))</x:f>
        <x:v>187</x:v>
      </x:c>
      <x:c r="F84" s="44">
        <x:f t="shared" si="15"/>
        <x:v>506</x:v>
      </x:c>
      <x:c r="G84" s="45">
        <x:f t="shared" si="16"/>
        <x:v>168.66666666666666</x:v>
      </x:c>
      <x:c r="H84" s="34">
        <x:f t="array" ref="H84:H84">IF(B84="","",IFERROR(INDEX('회원명단 및 기준에버'!D:G,MATCH(B84,'회원명단 및 기준에버'!$C:$C,0),CHOOSE(INT((MONTH($L$2)-1)/3)+1,1,2,3,4)),""))</x:f>
        <x:v>179</x:v>
      </x:c>
      <x:c r="I84" s="38">
        <x:f t="shared" si="10"/>
        <x:v>-33</x:v>
      </x:c>
      <x:c r="J84" s="38">
        <x:f t="shared" si="11"/>
        <x:v>-6</x:v>
      </x:c>
      <x:c r="K84" s="38">
        <x:f t="shared" si="12"/>
        <x:v>8</x:v>
      </x:c>
      <x:c r="L84" s="63">
        <x:f t="shared" si="13"/>
        <x:v>-31</x:v>
      </x:c>
      <x:c r="M84" s="39">
        <x:f t="shared" si="14"/>
        <x:v>-10.333333333333343</x:v>
      </x:c>
    </x:row>
    <x:row r="85" spans="1:13" ht="24.949999999999999" customHeight="1">
      <x:c r="A85" s="12">
        <x:v>23</x:v>
      </x:c>
      <x:c r="B85" s="13" t="str">
        <x:f t="array" ref="B85:B85">INDEX($B$4:$M$28,MATCH($A85,$U$4:$U$28,0),COLUMN(A$1))</x:f>
        <x:v>이 정 석</x:v>
      </x:c>
      <x:c r="C85" s="62">
        <x:f t="array" ref="C85:C85">INDEX($B$4:$M$28,MATCH($A85,$U$4:$U$28,0),COLUMN(B$1))</x:f>
        <x:v>165</x:v>
      </x:c>
      <x:c r="D85" s="62">
        <x:f t="array" ref="D85:D85">INDEX($B$4:$M$28,MATCH($A85,$U$4:$U$28,0),COLUMN(C$1))</x:f>
        <x:v>213</x:v>
      </x:c>
      <x:c r="E85" s="62">
        <x:f t="array" ref="E85:E85">INDEX($B$4:$M$28,MATCH($A85,$U$4:$U$28,0),COLUMN(D$1))</x:f>
        <x:v>183</x:v>
      </x:c>
      <x:c r="F85" s="44">
        <x:f t="shared" si="15"/>
        <x:v>561</x:v>
      </x:c>
      <x:c r="G85" s="45">
        <x:f t="shared" si="16"/>
        <x:v>187</x:v>
      </x:c>
      <x:c r="H85" s="34">
        <x:f t="array" ref="H85:H85">IF(B85="","",IFERROR(INDEX('회원명단 및 기준에버'!D:G,MATCH(B85,'회원명단 및 기준에버'!$C:$C,0),CHOOSE(INT((MONTH($L$2)-1)/3)+1,1,2,3,4)),""))</x:f>
        <x:v>200</x:v>
      </x:c>
      <x:c r="I85" s="38">
        <x:f t="shared" si="10"/>
        <x:v>-35</x:v>
      </x:c>
      <x:c r="J85" s="38">
        <x:f t="shared" si="11"/>
        <x:v>13</x:v>
      </x:c>
      <x:c r="K85" s="38">
        <x:f t="shared" si="12"/>
        <x:v>-17</x:v>
      </x:c>
      <x:c r="L85" s="63">
        <x:f t="shared" si="13"/>
        <x:v>-39</x:v>
      </x:c>
      <x:c r="M85" s="39">
        <x:f t="shared" si="14"/>
        <x:v>-13</x:v>
      </x:c>
    </x:row>
    <x:row r="86" spans="1:13" ht="24.949999999999999" customHeight="1">
      <x:c r="A86" s="12">
        <x:v>24</x:v>
      </x:c>
      <x:c r="B86" s="13" t="str">
        <x:f t="array" ref="B86:B86">INDEX($B$4:$M$28,MATCH($A86,$U$4:$U$28,0),COLUMN(A$1))</x:f>
        <x:v>강 완 규</x:v>
      </x:c>
      <x:c r="C86" s="62">
        <x:f t="array" ref="C86:C86">INDEX($B$4:$M$28,MATCH($A86,$U$4:$U$28,0),COLUMN(B$1))</x:f>
        <x:v>197</x:v>
      </x:c>
      <x:c r="D86" s="62">
        <x:f t="array" ref="D86:D86">INDEX($B$4:$M$28,MATCH($A86,$U$4:$U$28,0),COLUMN(C$1))</x:f>
        <x:v>168</x:v>
      </x:c>
      <x:c r="E86" s="62">
        <x:f t="array" ref="E86:E86">INDEX($B$4:$M$28,MATCH($A86,$U$4:$U$28,0),COLUMN(D$1))</x:f>
        <x:v>173</x:v>
      </x:c>
      <x:c r="F86" s="44">
        <x:f t="shared" si="15"/>
        <x:v>538</x:v>
      </x:c>
      <x:c r="G86" s="45">
        <x:f t="shared" si="16"/>
        <x:v>179.33333333333334</x:v>
      </x:c>
      <x:c r="H86" s="34">
        <x:f t="array" ref="H86:H86">IF(B86="","",IFERROR(INDEX('회원명단 및 기준에버'!D:G,MATCH(B86,'회원명단 및 기준에버'!$C:$C,0),CHOOSE(INT((MONTH($L$2)-1)/3)+1,1,2,3,4)),""))</x:f>
        <x:v>198</x:v>
      </x:c>
      <x:c r="I86" s="38">
        <x:f t="shared" si="10"/>
        <x:v>-1</x:v>
      </x:c>
      <x:c r="J86" s="38">
        <x:f t="shared" si="11"/>
        <x:v>-30</x:v>
      </x:c>
      <x:c r="K86" s="38">
        <x:f t="shared" si="12"/>
        <x:v>-25</x:v>
      </x:c>
      <x:c r="L86" s="63">
        <x:f t="shared" si="13"/>
        <x:v>-56</x:v>
      </x:c>
      <x:c r="M86" s="39">
        <x:f t="shared" si="14"/>
        <x:v>-18.666666666666657</x:v>
      </x:c>
    </x:row>
    <x:row r="87" spans="1:13" ht="24.949999999999999" customHeight="1">
      <x:c r="A87" s="12">
        <x:v>25</x:v>
      </x:c>
      <x:c r="B87" s="13" t="str">
        <x:f t="array" ref="B87:B87">INDEX($B$4:$M$28,MATCH($A87,$U$4:$U$28,0),COLUMN(A$1))</x:f>
        <x:v>김 종 훈</x:v>
      </x:c>
      <x:c r="C87" s="62">
        <x:f t="array" ref="C87:C87">INDEX($B$4:$M$28,MATCH($A87,$U$4:$U$28,0),COLUMN(B$1))</x:f>
        <x:v>150</x:v>
      </x:c>
      <x:c r="D87" s="62">
        <x:f t="array" ref="D87:D87">INDEX($B$4:$M$28,MATCH($A87,$U$4:$U$28,0),COLUMN(C$1))</x:f>
        <x:v>134</x:v>
      </x:c>
      <x:c r="E87" s="62">
        <x:f t="array" ref="E87:E87">INDEX($B$4:$M$28,MATCH($A87,$U$4:$U$28,0),COLUMN(D$1))</x:f>
        <x:v>160</x:v>
      </x:c>
      <x:c r="F87" s="44">
        <x:f t="shared" si="15"/>
        <x:v>444</x:v>
      </x:c>
      <x:c r="G87" s="45">
        <x:f t="shared" si="16"/>
        <x:v>148</x:v>
      </x:c>
      <x:c r="H87" s="34">
        <x:f t="array" ref="H87:H87">IF(B87="","",IFERROR(INDEX('회원명단 및 기준에버'!D:G,MATCH(B87,'회원명단 및 기준에버'!$C:$C,0),CHOOSE(INT((MONTH($L$2)-1)/3)+1,1,2,3,4)),""))</x:f>
        <x:v>190</x:v>
      </x:c>
      <x:c r="I87" s="38">
        <x:f t="shared" si="10"/>
        <x:v>-40</x:v>
      </x:c>
      <x:c r="J87" s="38">
        <x:f t="shared" si="11"/>
        <x:v>-56</x:v>
      </x:c>
      <x:c r="K87" s="38">
        <x:f t="shared" si="12"/>
        <x:v>-30</x:v>
      </x:c>
      <x:c r="L87" s="63">
        <x:f t="shared" si="13"/>
        <x:v>-126</x:v>
      </x:c>
      <x:c r="M87" s="39">
        <x:f t="shared" si="14"/>
        <x:v>-42</x:v>
      </x:c>
    </x:row>
    <x:row r="88" spans="2:13" ht="24.949999999999999" customHeight="1">
      <x:c r="B88" s="168" t="s">
        <x:v>63</x:v>
      </x:c>
      <x:c r="C88" s="169"/>
      <x:c r="D88" s="169"/>
      <x:c r="E88" s="169"/>
      <x:c r="F88" s="169"/>
      <x:c r="G88" s="169"/>
      <x:c r="H88" s="169"/>
      <x:c r="I88" s="169"/>
      <x:c r="J88" s="169"/>
      <x:c r="K88" s="169"/>
      <x:c r="L88" s="169"/>
      <x:c r="M88" s="170"/>
    </x:row>
    <x:row r="89" spans="2:13" ht="24.949999999999999" customHeight="1">
      <x:c r="B89" s="171" t="s">
        <x:v>68</x:v>
      </x:c>
      <x:c r="C89" s="172"/>
      <x:c r="D89" s="172"/>
      <x:c r="E89" s="173"/>
      <x:c r="F89" s="174" t="s">
        <x:v>28</x:v>
      </x:c>
      <x:c r="G89" s="176" t="s">
        <x:v>14</x:v>
      </x:c>
      <x:c r="H89" s="177"/>
      <x:c r="I89" s="178"/>
      <x:c r="J89" s="179" t="s">
        <x:v>55</x:v>
      </x:c>
      <x:c r="K89" s="180"/>
      <x:c r="L89" s="180"/>
      <x:c r="M89" s="181"/>
    </x:row>
    <x:row r="90" spans="2:13" ht="24.949999999999999" customHeight="1">
      <x:c r="B90" s="54" t="s">
        <x:v>24</x:v>
      </x:c>
      <x:c r="C90" s="24">
        <x:v>61</x:v>
      </x:c>
      <x:c r="D90" s="24" t="str">
        <x:f>IF(D31="","",D31)</x:f>
        <x:v/>
      </x:c>
      <x:c r="E90" s="25" t="str">
        <x:f>IF(E31="","",E31)</x:f>
        <x:v/>
      </x:c>
      <x:c r="F90" s="175"/>
      <x:c r="G90" s="182" t="s">
        <x:v>62</x:v>
      </x:c>
      <x:c r="H90" s="183"/>
      <x:c r="I90" s="184"/>
      <x:c r="J90" s="26" t="str">
        <x:f>IF(J31="","",J31)</x:f>
        <x:v>김 미 란</x:v>
      </x:c>
      <x:c r="K90" s="27" t="str">
        <x:f>IF(K31="","",K31)</x:f>
        <x:v/>
      </x:c>
      <x:c r="L90" s="27" t="str">
        <x:f>IF(L31="","",L31)</x:f>
        <x:v/>
      </x:c>
      <x:c r="M90" s="28" t="str">
        <x:f>IF(M31="","",M31)</x:f>
        <x:v/>
      </x:c>
    </x:row>
    <x:row r="91" spans="2:13" ht="24.949999999999999" customHeight="1">
      <x:c r="B91" s="155" t="s">
        <x:v>29</x:v>
      </x:c>
      <x:c r="C91" s="156"/>
      <x:c r="D91" s="156"/>
      <x:c r="E91" s="156"/>
      <x:c r="F91" s="156"/>
      <x:c r="G91" s="156"/>
      <x:c r="H91" s="157"/>
      <x:c r="I91" s="158" t="s">
        <x:v>66</x:v>
      </x:c>
      <x:c r="J91" s="159"/>
      <x:c r="K91" s="160" t="s">
        <x:v>67</x:v>
      </x:c>
      <x:c r="L91" s="161"/>
      <x:c r="M91" s="162"/>
    </x:row>
    <x:row r="92" spans="2:13" ht="24.949999999999999" customHeight="1">
      <x:c r="B92" s="21" t="s">
        <x:v>58</x:v>
      </x:c>
      <x:c r="C92" s="64">
        <x:v>245</x:v>
      </x:c>
      <x:c r="D92" s="32" t="str">
        <x:f t="shared" ref="D92:G94" si="17">IF(D33="","",D33)</x:f>
        <x:v/>
      </x:c>
      <x:c r="E92" s="67" t="str">
        <x:f t="shared" si="17"/>
        <x:v/>
      </x:c>
      <x:c r="F92" s="30" t="str">
        <x:f t="shared" si="17"/>
        <x:v/>
      </x:c>
      <x:c r="G92" s="70" t="str">
        <x:f t="shared" si="17"/>
        <x:v/>
      </x:c>
      <x:c r="H92" s="157"/>
      <x:c r="I92" s="23" t="str">
        <x:f>IF(I33="","",I33)</x:f>
        <x:v/>
      </x:c>
      <x:c r="J92" s="50" t="str">
        <x:f>IF(J33="","",J33)</x:f>
        <x:v/>
      </x:c>
      <x:c r="K92" s="57" t="str">
        <x:f>IF(K33="","",K33)</x:f>
        <x:v>진 명 옥</x:v>
      </x:c>
      <x:c r="L92" s="58" t="str">
        <x:f t="shared" ref="L92:M92" si="18">IF(L33="","",L33)</x:f>
        <x:v/>
      </x:c>
      <x:c r="M92" s="59" t="str">
        <x:f t="shared" si="18"/>
        <x:v/>
      </x:c>
    </x:row>
    <x:row r="93" spans="2:13" ht="24.949999999999999" customHeight="1">
      <x:c r="B93" s="46" t="s">
        <x:v>50</x:v>
      </x:c>
      <x:c r="C93" s="65">
        <x:v>228</x:v>
      </x:c>
      <x:c r="D93" s="47" t="str">
        <x:f t="shared" si="17"/>
        <x:v/>
      </x:c>
      <x:c r="E93" s="68" t="str">
        <x:f t="shared" si="17"/>
        <x:v/>
      </x:c>
      <x:c r="F93" s="48" t="str">
        <x:f t="shared" si="17"/>
        <x:v/>
      </x:c>
      <x:c r="G93" s="71" t="str">
        <x:f t="shared" si="17"/>
        <x:v/>
      </x:c>
      <x:c r="H93" s="157"/>
      <x:c r="I93" s="49" t="str">
        <x:f>IF(I34="","",I34)</x:f>
        <x:v/>
      </x:c>
      <x:c r="J93" s="51" t="str">
        <x:f>IF(J34="","",J34)</x:f>
        <x:v/>
      </x:c>
      <x:c r="K93" s="57" t="str">
        <x:f t="shared" ref="K93:M94" si="19">IF(K34="","",K34)</x:f>
        <x:v/>
      </x:c>
      <x:c r="L93" s="58" t="str">
        <x:f t="shared" si="19"/>
        <x:v/>
      </x:c>
      <x:c r="M93" s="59" t="str">
        <x:f t="shared" si="19"/>
        <x:v/>
      </x:c>
    </x:row>
    <x:row r="94" spans="2:13" ht="24.949999999999999" customHeight="1">
      <x:c r="B94" s="29" t="s">
        <x:v>21</x:v>
      </x:c>
      <x:c r="C94" s="66">
        <x:v>214</x:v>
      </x:c>
      <x:c r="D94" s="33" t="str">
        <x:f t="shared" si="17"/>
        <x:v/>
      </x:c>
      <x:c r="E94" s="69" t="str">
        <x:f t="shared" si="17"/>
        <x:v/>
      </x:c>
      <x:c r="F94" s="31" t="str">
        <x:f t="shared" si="17"/>
        <x:v/>
      </x:c>
      <x:c r="G94" s="72" t="str">
        <x:f t="shared" si="17"/>
        <x:v/>
      </x:c>
      <x:c r="H94" s="157"/>
      <x:c r="I94" s="24" t="str">
        <x:f>IF(I35="","",I35)</x:f>
        <x:v/>
      </x:c>
      <x:c r="J94" s="52" t="str">
        <x:f>IF(J35="","",J35)</x:f>
        <x:v/>
      </x:c>
      <x:c r="K94" s="60" t="str">
        <x:f t="shared" si="19"/>
        <x:v/>
      </x:c>
      <x:c r="L94" s="53" t="str">
        <x:f t="shared" si="19"/>
        <x:v/>
      </x:c>
      <x:c r="M94" s="61" t="str">
        <x:f t="shared" si="19"/>
        <x:v/>
      </x:c>
    </x:row>
    <x:row r="95" spans="2:13" ht="24.949999999999999" customHeight="1">
      <x:c r="B95" s="163" t="s">
        <x:v>51</x:v>
      </x:c>
      <x:c r="C95" s="164"/>
      <x:c r="D95" s="164"/>
      <x:c r="E95" s="164"/>
      <x:c r="F95" s="164"/>
      <x:c r="G95" s="164"/>
      <x:c r="H95" s="164"/>
      <x:c r="I95" s="164"/>
      <x:c r="J95" s="164"/>
      <x:c r="K95" s="164"/>
      <x:c r="L95" s="164"/>
      <x:c r="M95" s="165"/>
    </x:row>
    <x:row r="96" spans="2:13" ht="24.949999999999999" customHeight="1">
      <x:c r="B96" s="35" t="str">
        <x:f t="shared" ref="B96:F100" si="20">IF(B37="","",B37)</x:f>
        <x:v>채 윤 주</x:v>
      </x:c>
      <x:c r="C96" s="40">
        <x:f t="shared" si="20"/>
        <x:v>0</x:v>
      </x:c>
      <x:c r="D96" s="40">
        <x:f t="shared" si="20"/>
        <x:v>0</x:v>
      </x:c>
      <x:c r="E96" s="40">
        <x:f t="shared" si="20"/>
        <x:v>0</x:v>
      </x:c>
      <x:c r="F96" s="141">
        <x:f t="shared" si="20"/>
        <x:v>-161</x:v>
      </x:c>
      <x:c r="G96" s="144"/>
      <x:c r="H96" s="79" t="str">
        <x:f t="shared" ref="H96:L100" si="21">IF(H37="","",H37)</x:f>
        <x:v>김 선 미</x:v>
      </x:c>
      <x:c r="I96" s="40">
        <x:f t="shared" si="21"/>
        <x:v>-4</x:v>
      </x:c>
      <x:c r="J96" s="40">
        <x:f t="shared" si="21"/>
        <x:v>4</x:v>
      </x:c>
      <x:c r="K96" s="40">
        <x:f t="shared" si="21"/>
        <x:v>26</x:v>
      </x:c>
      <x:c r="L96" s="149">
        <x:f t="shared" si="21"/>
        <x:v>26</x:v>
      </x:c>
      <x:c r="M96" s="152"/>
    </x:row>
    <x:row r="97" spans="2:13" ht="24.949999999999999" customHeight="1">
      <x:c r="B97" s="36" t="str">
        <x:f t="shared" si="20"/>
        <x:v>이 정 석</x:v>
      </x:c>
      <x:c r="C97" s="41">
        <x:f t="shared" si="20"/>
        <x:v>-35</x:v>
      </x:c>
      <x:c r="D97" s="41">
        <x:f t="shared" si="20"/>
        <x:v>13</x:v>
      </x:c>
      <x:c r="E97" s="41">
        <x:f t="shared" si="20"/>
        <x:v>-17</x:v>
      </x:c>
      <x:c r="F97" s="142" t="str">
        <x:f t="shared" si="20"/>
        <x:v/>
      </x:c>
      <x:c r="G97" s="145"/>
      <x:c r="H97" s="36" t="str">
        <x:f t="shared" si="21"/>
        <x:v>김 정 희</x:v>
      </x:c>
      <x:c r="I97" s="41">
        <x:f t="shared" si="21"/>
        <x:v>-20</x:v>
      </x:c>
      <x:c r="J97" s="41">
        <x:f t="shared" si="21"/>
        <x:v>45</x:v>
      </x:c>
      <x:c r="K97" s="41">
        <x:f t="shared" si="21"/>
        <x:v>17</x:v>
      </x:c>
      <x:c r="L97" s="150" t="str">
        <x:f t="shared" si="21"/>
        <x:v/>
      </x:c>
      <x:c r="M97" s="153"/>
    </x:row>
    <x:row r="98" spans="2:13" ht="24.949999999999999" customHeight="1">
      <x:c r="B98" s="36" t="str">
        <x:f t="shared" si="20"/>
        <x:v>임 승 기</x:v>
      </x:c>
      <x:c r="C98" s="41">
        <x:f t="shared" si="20"/>
        <x:v>-18</x:v>
      </x:c>
      <x:c r="D98" s="41">
        <x:f t="shared" si="20"/>
        <x:v>3</x:v>
      </x:c>
      <x:c r="E98" s="41">
        <x:f t="shared" si="20"/>
        <x:v>-7</x:v>
      </x:c>
      <x:c r="F98" s="142" t="str">
        <x:f t="shared" si="20"/>
        <x:v/>
      </x:c>
      <x:c r="G98" s="145"/>
      <x:c r="H98" s="36" t="str">
        <x:f t="shared" si="21"/>
        <x:v>장 영 민</x:v>
      </x:c>
      <x:c r="I98" s="41">
        <x:f t="shared" si="21"/>
        <x:v>4</x:v>
      </x:c>
      <x:c r="J98" s="41">
        <x:f t="shared" si="21"/>
        <x:v>22</x:v>
      </x:c>
      <x:c r="K98" s="41">
        <x:f t="shared" si="21"/>
        <x:v>-44</x:v>
      </x:c>
      <x:c r="L98" s="150" t="str">
        <x:f t="shared" si="21"/>
        <x:v/>
      </x:c>
      <x:c r="M98" s="153"/>
    </x:row>
    <x:row r="99" spans="2:13" ht="24.949999999999999" customHeight="1">
      <x:c r="B99" s="36" t="str">
        <x:f t="shared" si="20"/>
        <x:v>김 태 환</x:v>
      </x:c>
      <x:c r="C99" s="41">
        <x:f t="shared" si="20"/>
        <x:v>-14</x:v>
      </x:c>
      <x:c r="D99" s="41">
        <x:f t="shared" si="20"/>
        <x:v>-6</x:v>
      </x:c>
      <x:c r="E99" s="41">
        <x:f t="shared" si="20"/>
        <x:v>46</x:v>
      </x:c>
      <x:c r="F99" s="142" t="str">
        <x:f t="shared" si="20"/>
        <x:v/>
      </x:c>
      <x:c r="G99" s="145"/>
      <x:c r="H99" s="36" t="str">
        <x:f t="shared" si="21"/>
        <x:v>이 상 현</x:v>
      </x:c>
      <x:c r="I99" s="41">
        <x:f t="shared" si="21"/>
        <x:v>-15</x:v>
      </x:c>
      <x:c r="J99" s="41">
        <x:f t="shared" si="21"/>
        <x:v>-1</x:v>
      </x:c>
      <x:c r="K99" s="41">
        <x:f t="shared" si="21"/>
        <x:v>-13</x:v>
      </x:c>
      <x:c r="L99" s="150" t="str">
        <x:f t="shared" si="21"/>
        <x:v/>
      </x:c>
      <x:c r="M99" s="153"/>
    </x:row>
    <x:row r="100" spans="2:13" ht="24.949999999999999" customHeight="1">
      <x:c r="B100" s="36" t="str">
        <x:f t="shared" si="20"/>
        <x:v>김 종 훈</x:v>
      </x:c>
      <x:c r="C100" s="41">
        <x:f t="shared" si="20"/>
        <x:v>-40</x:v>
      </x:c>
      <x:c r="D100" s="41">
        <x:f t="shared" si="20"/>
        <x:v>-56</x:v>
      </x:c>
      <x:c r="E100" s="41">
        <x:f t="shared" si="20"/>
        <x:v>-30</x:v>
      </x:c>
      <x:c r="F100" s="142" t="str">
        <x:f t="shared" si="20"/>
        <x:v/>
      </x:c>
      <x:c r="G100" s="145"/>
      <x:c r="H100" s="36" t="str">
        <x:f t="shared" si="21"/>
        <x:v>박 성 현</x:v>
      </x:c>
      <x:c r="I100" s="41">
        <x:f t="shared" si="21"/>
        <x:v>17</x:v>
      </x:c>
      <x:c r="J100" s="41">
        <x:f t="shared" si="21"/>
        <x:v>-12</x:v>
      </x:c>
      <x:c r="K100" s="41">
        <x:f t="shared" si="21"/>
        <x:v>0</x:v>
      </x:c>
      <x:c r="L100" s="150" t="str">
        <x:f t="shared" si="21"/>
        <x:v/>
      </x:c>
      <x:c r="M100" s="153"/>
    </x:row>
    <x:row r="101" spans="2:13" ht="24.949999999999999" customHeight="1">
      <x:c r="B101" s="37" t="str">
        <x:f t="shared" ref="B101:F101" si="22">IF(B42="","",B42)</x:f>
        <x:v/>
      </x:c>
      <x:c r="C101" s="42">
        <x:f t="shared" si="22"/>
        <x:v>-107</x:v>
      </x:c>
      <x:c r="D101" s="42">
        <x:f t="shared" si="22"/>
        <x:v>-46</x:v>
      </x:c>
      <x:c r="E101" s="42">
        <x:f t="shared" si="22"/>
        <x:v>-8</x:v>
      </x:c>
      <x:c r="F101" s="143" t="str">
        <x:f t="shared" si="22"/>
        <x:v/>
      </x:c>
      <x:c r="G101" s="146"/>
      <x:c r="H101" s="37" t="str">
        <x:f t="shared" ref="H101:L101" si="23">IF(H42="","",H42)</x:f>
        <x:v/>
      </x:c>
      <x:c r="I101" s="42">
        <x:f t="shared" si="23"/>
        <x:v>-18</x:v>
      </x:c>
      <x:c r="J101" s="42">
        <x:f t="shared" si="23"/>
        <x:v>58</x:v>
      </x:c>
      <x:c r="K101" s="42">
        <x:f t="shared" si="23"/>
        <x:v>-14</x:v>
      </x:c>
      <x:c r="L101" s="151" t="str">
        <x:f t="shared" si="23"/>
        <x:v/>
      </x:c>
      <x:c r="M101" s="154"/>
    </x:row>
    <x:row r="102" spans="2:13" ht="24.949999999999999" customHeight="1"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</x:row>
    <x:row r="103" spans="2:13" ht="24.949999999999999" customHeight="1">
      <x:c r="B103" s="35" t="str">
        <x:f t="shared" ref="B103:M107" si="24">IF(B44="","",B44)</x:f>
        <x:v>지 옥 명</x:v>
      </x:c>
      <x:c r="C103" s="40">
        <x:f t="shared" si="24"/>
        <x:v>-4</x:v>
      </x:c>
      <x:c r="D103" s="40">
        <x:f t="shared" si="24"/>
        <x:v>-11</x:v>
      </x:c>
      <x:c r="E103" s="40">
        <x:f t="shared" si="24"/>
        <x:v>14</x:v>
      </x:c>
      <x:c r="F103" s="149">
        <x:f t="shared" si="24"/>
        <x:v>103</x:v>
      </x:c>
      <x:c r="G103" s="152" t="str">
        <x:f t="shared" si="24"/>
        <x:v/>
      </x:c>
      <x:c r="H103" s="79" t="str">
        <x:f t="shared" si="24"/>
        <x:v>진 명 옥</x:v>
      </x:c>
      <x:c r="I103" s="40">
        <x:f t="shared" si="24"/>
        <x:v>-33</x:v>
      </x:c>
      <x:c r="J103" s="40">
        <x:f t="shared" si="24"/>
        <x:v>-6</x:v>
      </x:c>
      <x:c r="K103" s="40">
        <x:f t="shared" si="24"/>
        <x:v>8</x:v>
      </x:c>
      <x:c r="L103" s="149">
        <x:f t="shared" si="24"/>
        <x:v>16</x:v>
      </x:c>
      <x:c r="M103" s="152" t="str">
        <x:f t="shared" si="24"/>
        <x:v/>
      </x:c>
    </x:row>
    <x:row r="104" spans="2:13" ht="24.949999999999999" customHeight="1">
      <x:c r="B104" s="36" t="str">
        <x:f t="shared" si="24"/>
        <x:v>천 성 일</x:v>
      </x:c>
      <x:c r="C104" s="41">
        <x:f t="shared" si="24"/>
        <x:v>-15</x:v>
      </x:c>
      <x:c r="D104" s="41">
        <x:f t="shared" si="24"/>
        <x:v>-12</x:v>
      </x:c>
      <x:c r="E104" s="41">
        <x:f t="shared" si="24"/>
        <x:v>23</x:v>
      </x:c>
      <x:c r="F104" s="150" t="str">
        <x:f t="shared" si="24"/>
        <x:v/>
      </x:c>
      <x:c r="G104" s="153" t="str">
        <x:f t="shared" si="24"/>
        <x:v/>
      </x:c>
      <x:c r="H104" s="36" t="str">
        <x:f t="shared" si="24"/>
        <x:v>김 미 란</x:v>
      </x:c>
      <x:c r="I104" s="41">
        <x:f t="shared" si="24"/>
        <x:v>4</x:v>
      </x:c>
      <x:c r="J104" s="41">
        <x:f t="shared" si="24"/>
        <x:v>41</x:v>
      </x:c>
      <x:c r="K104" s="41">
        <x:f t="shared" si="24"/>
        <x:v>-30</x:v>
      </x:c>
      <x:c r="L104" s="150" t="str">
        <x:f t="shared" si="24"/>
        <x:v/>
      </x:c>
      <x:c r="M104" s="153" t="str">
        <x:f t="shared" si="24"/>
        <x:v/>
      </x:c>
    </x:row>
    <x:row r="105" spans="2:13" ht="24.949999999999999" customHeight="1">
      <x:c r="B105" s="36" t="str">
        <x:f t="shared" si="24"/>
        <x:v>이 우 석</x:v>
      </x:c>
      <x:c r="C105" s="41">
        <x:f t="shared" si="24"/>
        <x:v>-7</x:v>
      </x:c>
      <x:c r="D105" s="41">
        <x:f t="shared" si="24"/>
        <x:v>-7</x:v>
      </x:c>
      <x:c r="E105" s="41">
        <x:f t="shared" si="24"/>
        <x:v>-5</x:v>
      </x:c>
      <x:c r="F105" s="150" t="str">
        <x:f t="shared" si="24"/>
        <x:v/>
      </x:c>
      <x:c r="G105" s="153" t="str">
        <x:f t="shared" si="24"/>
        <x:v/>
      </x:c>
      <x:c r="H105" s="36" t="str">
        <x:f t="shared" si="24"/>
        <x:v>변 상 필</x:v>
      </x:c>
      <x:c r="I105" s="41">
        <x:f t="shared" si="24"/>
        <x:v>29</x:v>
      </x:c>
      <x:c r="J105" s="41">
        <x:f t="shared" si="24"/>
        <x:v>27</x:v>
      </x:c>
      <x:c r="K105" s="41">
        <x:f t="shared" si="24"/>
        <x:v>-30</x:v>
      </x:c>
      <x:c r="L105" s="150" t="str">
        <x:f t="shared" si="24"/>
        <x:v/>
      </x:c>
      <x:c r="M105" s="153" t="str">
        <x:f t="shared" si="24"/>
        <x:v/>
      </x:c>
    </x:row>
    <x:row r="106" spans="2:13" ht="24.949999999999999" customHeight="1">
      <x:c r="B106" s="36" t="str">
        <x:f t="shared" si="24"/>
        <x:v>강 완 규</x:v>
      </x:c>
      <x:c r="C106" s="41">
        <x:f t="shared" si="24"/>
        <x:v>-1</x:v>
      </x:c>
      <x:c r="D106" s="41">
        <x:f t="shared" si="24"/>
        <x:v>-30</x:v>
      </x:c>
      <x:c r="E106" s="41">
        <x:f t="shared" si="24"/>
        <x:v>-25</x:v>
      </x:c>
      <x:c r="F106" s="150" t="str">
        <x:f t="shared" si="24"/>
        <x:v/>
      </x:c>
      <x:c r="G106" s="153" t="str">
        <x:f t="shared" si="24"/>
        <x:v/>
      </x:c>
      <x:c r="H106" s="36" t="str">
        <x:f t="shared" si="24"/>
        <x:v>고 경 훈</x:v>
      </x:c>
      <x:c r="I106" s="41">
        <x:f t="shared" si="24"/>
        <x:v>-12</x:v>
      </x:c>
      <x:c r="J106" s="41">
        <x:f t="shared" si="24"/>
        <x:v>32</x:v>
      </x:c>
      <x:c r="K106" s="41">
        <x:f t="shared" si="24"/>
        <x:v>-14</x:v>
      </x:c>
      <x:c r="L106" s="150" t="str">
        <x:f t="shared" si="24"/>
        <x:v/>
      </x:c>
      <x:c r="M106" s="153" t="str">
        <x:f t="shared" si="24"/>
        <x:v/>
      </x:c>
    </x:row>
    <x:row r="107" spans="2:13" ht="24.949999999999999" customHeight="1">
      <x:c r="B107" s="36" t="str">
        <x:f t="shared" si="24"/>
        <x:v>김 규 희</x:v>
      </x:c>
      <x:c r="C107" s="41">
        <x:f t="shared" si="24"/>
        <x:v>34</x:v>
      </x:c>
      <x:c r="D107" s="41">
        <x:f t="shared" si="24"/>
        <x:v>95</x:v>
      </x:c>
      <x:c r="E107" s="41">
        <x:f t="shared" si="24"/>
        <x:v>54</x:v>
      </x:c>
      <x:c r="F107" s="150" t="str">
        <x:f t="shared" si="24"/>
        <x:v/>
      </x:c>
      <x:c r="G107" s="153" t="str">
        <x:f t="shared" si="24"/>
        <x:v/>
      </x:c>
      <x:c r="H107" s="36" t="str">
        <x:f t="shared" si="24"/>
        <x:v>최  진</x:v>
      </x:c>
      <x:c r="I107" s="41">
        <x:f t="shared" si="24"/>
        <x:v>0</x:v>
      </x:c>
      <x:c r="J107" s="41">
        <x:f t="shared" si="24"/>
        <x:v>0</x:v>
      </x:c>
      <x:c r="K107" s="41">
        <x:f t="shared" si="24"/>
        <x:v>0</x:v>
      </x:c>
      <x:c r="L107" s="150" t="str">
        <x:f t="shared" si="24"/>
        <x:v/>
      </x:c>
      <x:c r="M107" s="153" t="str">
        <x:f t="shared" si="24"/>
        <x:v/>
      </x:c>
    </x:row>
    <x:row r="108" spans="2:13" ht="24.949999999999999" customHeight="1">
      <x:c r="B108" s="37" t="str">
        <x:f t="shared" ref="B108:M108" si="25">IF(B49="","",B49)</x:f>
        <x:v/>
      </x:c>
      <x:c r="C108" s="42">
        <x:f t="shared" si="25"/>
        <x:v>7</x:v>
      </x:c>
      <x:c r="D108" s="42">
        <x:f t="shared" si="25"/>
        <x:v>35</x:v>
      </x:c>
      <x:c r="E108" s="42">
        <x:f t="shared" si="25"/>
        <x:v>61</x:v>
      </x:c>
      <x:c r="F108" s="151" t="str">
        <x:f t="shared" si="25"/>
        <x:v/>
      </x:c>
      <x:c r="G108" s="154" t="str">
        <x:f t="shared" si="25"/>
        <x:v/>
      </x:c>
      <x:c r="H108" s="37" t="str">
        <x:f t="shared" si="25"/>
        <x:v/>
      </x:c>
      <x:c r="I108" s="42">
        <x:f t="shared" si="25"/>
        <x:v>-12</x:v>
      </x:c>
      <x:c r="J108" s="42">
        <x:f t="shared" si="25"/>
        <x:v>94</x:v>
      </x:c>
      <x:c r="K108" s="42">
        <x:f t="shared" si="25"/>
        <x:v>-66</x:v>
      </x:c>
      <x:c r="L108" s="151" t="str">
        <x:f t="shared" si="25"/>
        <x:v/>
      </x:c>
      <x:c r="M108" s="154" t="str">
        <x:f t="shared" si="25"/>
        <x:v/>
      </x:c>
    </x:row>
    <x:row r="109" ht="24.949999999999999" customHeight="1"/>
    <x:row r="110" spans="2:13" ht="24.949999999999999" customHeight="1">
      <x:c r="B110" s="35" t="str">
        <x:f t="shared" ref="B110:G114" si="26">IF(B51="","",B51)</x:f>
        <x:v>손 은 주</x:v>
      </x:c>
      <x:c r="C110" s="40">
        <x:f t="shared" si="26"/>
        <x:v>-25</x:v>
      </x:c>
      <x:c r="D110" s="40">
        <x:f t="shared" si="26"/>
        <x:v>15</x:v>
      </x:c>
      <x:c r="E110" s="40">
        <x:f t="shared" si="26"/>
        <x:v>-3</x:v>
      </x:c>
      <x:c r="F110" s="141">
        <x:f t="shared" si="26"/>
        <x:v>83</x:v>
      </x:c>
      <x:c r="G110" s="144" t="str">
        <x:f t="shared" si="26"/>
        <x:v/>
      </x:c>
      <x:c r="H110" s="18"/>
      <x:c r="I110" s="80"/>
      <x:c r="J110" s="80"/>
      <x:c r="K110" s="80"/>
      <x:c r="L110" s="147"/>
      <x:c r="M110" s="148"/>
    </x:row>
    <x:row r="111" spans="2:13" ht="24.949999999999999" customHeight="1">
      <x:c r="B111" s="36" t="str">
        <x:f t="shared" si="26"/>
        <x:v>임 연 진</x:v>
      </x:c>
      <x:c r="C111" s="41">
        <x:f t="shared" si="26"/>
        <x:v>56</x:v>
      </x:c>
      <x:c r="D111" s="41">
        <x:f t="shared" si="26"/>
        <x:v>14</x:v>
      </x:c>
      <x:c r="E111" s="41">
        <x:f t="shared" si="26"/>
        <x:v>-8</x:v>
      </x:c>
      <x:c r="F111" s="142" t="str">
        <x:f t="shared" si="26"/>
        <x:v/>
      </x:c>
      <x:c r="G111" s="145" t="str">
        <x:f t="shared" si="26"/>
        <x:v/>
      </x:c>
      <x:c r="H111" s="18"/>
      <x:c r="I111" s="80"/>
      <x:c r="J111" s="80"/>
      <x:c r="K111" s="80"/>
      <x:c r="L111" s="147"/>
      <x:c r="M111" s="148"/>
    </x:row>
    <x:row r="112" spans="2:13" ht="24.949999999999999" customHeight="1">
      <x:c r="B112" s="36" t="str">
        <x:f t="shared" si="26"/>
        <x:v>이 대 용</x:v>
      </x:c>
      <x:c r="C112" s="41">
        <x:f t="shared" si="26"/>
        <x:v>34</x:v>
      </x:c>
      <x:c r="D112" s="41">
        <x:f t="shared" si="26"/>
        <x:v>9</x:v>
      </x:c>
      <x:c r="E112" s="41">
        <x:f t="shared" si="26"/>
        <x:v>-31</x:v>
      </x:c>
      <x:c r="F112" s="142" t="str">
        <x:f t="shared" si="26"/>
        <x:v/>
      </x:c>
      <x:c r="G112" s="145" t="str">
        <x:f t="shared" si="26"/>
        <x:v/>
      </x:c>
      <x:c r="H112" s="18"/>
      <x:c r="I112" s="80"/>
      <x:c r="J112" s="80"/>
      <x:c r="K112" s="80"/>
      <x:c r="L112" s="147"/>
      <x:c r="M112" s="148"/>
    </x:row>
    <x:row r="113" spans="2:13" ht="24.949999999999999" customHeight="1">
      <x:c r="B113" s="36" t="str">
        <x:f t="shared" si="26"/>
        <x:v>나 경 주</x:v>
      </x:c>
      <x:c r="C113" s="41">
        <x:f t="shared" si="26"/>
        <x:v>-5</x:v>
      </x:c>
      <x:c r="D113" s="41">
        <x:f t="shared" si="26"/>
        <x:v>6</x:v>
      </x:c>
      <x:c r="E113" s="41">
        <x:f t="shared" si="26"/>
        <x:v>-23</x:v>
      </x:c>
      <x:c r="F113" s="142" t="str">
        <x:f t="shared" si="26"/>
        <x:v/>
      </x:c>
      <x:c r="G113" s="145" t="str">
        <x:f t="shared" si="26"/>
        <x:v/>
      </x:c>
      <x:c r="H113" s="18"/>
      <x:c r="I113" s="80"/>
      <x:c r="J113" s="80"/>
      <x:c r="K113" s="80"/>
      <x:c r="L113" s="147"/>
      <x:c r="M113" s="148"/>
    </x:row>
    <x:row r="114" spans="2:13" ht="24.949999999999999" customHeight="1">
      <x:c r="B114" s="36" t="str">
        <x:f t="shared" si="26"/>
        <x:v>이 재 용</x:v>
      </x:c>
      <x:c r="C114" s="41">
        <x:f t="shared" si="26"/>
        <x:v>50</x:v>
      </x:c>
      <x:c r="D114" s="41">
        <x:f t="shared" si="26"/>
        <x:v>-31</x:v>
      </x:c>
      <x:c r="E114" s="41">
        <x:f t="shared" si="26"/>
        <x:v>25</x:v>
      </x:c>
      <x:c r="F114" s="142" t="str">
        <x:f t="shared" si="26"/>
        <x:v/>
      </x:c>
      <x:c r="G114" s="145" t="str">
        <x:f t="shared" si="26"/>
        <x:v/>
      </x:c>
      <x:c r="H114" s="18"/>
      <x:c r="I114" s="80"/>
      <x:c r="J114" s="80"/>
      <x:c r="K114" s="80"/>
      <x:c r="L114" s="147"/>
      <x:c r="M114" s="148"/>
    </x:row>
    <x:row r="115" spans="2:13" ht="24.949999999999999" customHeight="1">
      <x:c r="B115" s="37" t="str">
        <x:f t="shared" ref="B115:G115" si="27">IF(B56="","",B56)</x:f>
        <x:v/>
      </x:c>
      <x:c r="C115" s="42">
        <x:f t="shared" si="27"/>
        <x:v>110</x:v>
      </x:c>
      <x:c r="D115" s="42">
        <x:f t="shared" si="27"/>
        <x:v>13</x:v>
      </x:c>
      <x:c r="E115" s="42">
        <x:f t="shared" si="27"/>
        <x:v>-40</x:v>
      </x:c>
      <x:c r="F115" s="143" t="str">
        <x:f t="shared" si="27"/>
        <x:v/>
      </x:c>
      <x:c r="G115" s="146" t="str">
        <x:f t="shared" si="27"/>
        <x:v/>
      </x:c>
      <x:c r="H115" s="18"/>
      <x:c r="I115" s="81"/>
      <x:c r="J115" s="81"/>
      <x:c r="K115" s="81"/>
      <x:c r="L115" s="147"/>
      <x:c r="M115" s="148"/>
    </x:row>
  </x:sheetData>
  <x:mergeCells count="48">
    <x:mergeCell ref="F110:F115"/>
    <x:mergeCell ref="G110:G115"/>
    <x:mergeCell ref="L110:L115"/>
    <x:mergeCell ref="M110:M115"/>
    <x:mergeCell ref="F96:F101"/>
    <x:mergeCell ref="G96:G101"/>
    <x:mergeCell ref="L96:L101"/>
    <x:mergeCell ref="M96:M101"/>
    <x:mergeCell ref="F103:F108"/>
    <x:mergeCell ref="G103:G108"/>
    <x:mergeCell ref="L103:L108"/>
    <x:mergeCell ref="M103:M108"/>
    <x:mergeCell ref="B91:G91"/>
    <x:mergeCell ref="H91:H94"/>
    <x:mergeCell ref="I91:J91"/>
    <x:mergeCell ref="K91:M91"/>
    <x:mergeCell ref="B95:M95"/>
    <x:mergeCell ref="L61:M61"/>
    <x:mergeCell ref="B88:M88"/>
    <x:mergeCell ref="B89:E89"/>
    <x:mergeCell ref="F89:F90"/>
    <x:mergeCell ref="G89:I89"/>
    <x:mergeCell ref="J89:M89"/>
    <x:mergeCell ref="G90:I90"/>
    <x:mergeCell ref="F51:F56"/>
    <x:mergeCell ref="G51:G56"/>
    <x:mergeCell ref="A60:M60"/>
    <x:mergeCell ref="F37:F42"/>
    <x:mergeCell ref="G37:G42"/>
    <x:mergeCell ref="L37:L42"/>
    <x:mergeCell ref="M37:M42"/>
    <x:mergeCell ref="F44:F49"/>
    <x:mergeCell ref="G44:G49"/>
    <x:mergeCell ref="L44:L49"/>
    <x:mergeCell ref="M44:M49"/>
    <x:mergeCell ref="B32:G32"/>
    <x:mergeCell ref="H32:H35"/>
    <x:mergeCell ref="I32:J32"/>
    <x:mergeCell ref="K32:M32"/>
    <x:mergeCell ref="B36:M36"/>
    <x:mergeCell ref="A1:M1"/>
    <x:mergeCell ref="L2:M2"/>
    <x:mergeCell ref="B29:M29"/>
    <x:mergeCell ref="B30:E30"/>
    <x:mergeCell ref="F30:F31"/>
    <x:mergeCell ref="G30:I30"/>
    <x:mergeCell ref="J30:M30"/>
    <x:mergeCell ref="G31:I31"/>
  </x:mergeCells>
  <x:conditionalFormatting sqref="C33:C35">
    <x:cfRule type="cellIs" dxfId="134" priority="19" operator="greaterThan">
      <x:formula>199</x:formula>
    </x:cfRule>
  </x:conditionalFormatting>
  <x:conditionalFormatting sqref="C92:C94">
    <x:cfRule type="cellIs" dxfId="133" priority="3" operator="greaterThan">
      <x:formula>199</x:formula>
    </x:cfRule>
  </x:conditionalFormatting>
  <x:conditionalFormatting sqref="C4:E28">
    <x:cfRule type="cellIs" dxfId="132" priority="14" operator="between">
      <x:formula>200</x:formula>
      <x:formula>200</x:formula>
    </x:cfRule>
    <x:cfRule type="cellIs" dxfId="131" priority="13" operator="between">
      <x:formula>200</x:formula>
      <x:formula>300</x:formula>
    </x:cfRule>
  </x:conditionalFormatting>
  <x:conditionalFormatting sqref="C63:E87">
    <x:cfRule type="cellIs" dxfId="130" priority="7" operator="between">
      <x:formula>200</x:formula>
      <x:formula>200</x:formula>
    </x:cfRule>
    <x:cfRule type="cellIs" dxfId="129" priority="6" operator="between">
      <x:formula>200</x:formula>
      <x:formula>300</x:formula>
    </x:cfRule>
  </x:conditionalFormatting>
  <x:conditionalFormatting sqref="E33:E35">
    <x:cfRule type="cellIs" dxfId="128" priority="18" operator="greaterThan">
      <x:formula>199</x:formula>
    </x:cfRule>
  </x:conditionalFormatting>
  <x:conditionalFormatting sqref="E92:E94">
    <x:cfRule type="cellIs" dxfId="127" priority="2" operator="greaterThan">
      <x:formula>199</x:formula>
    </x:cfRule>
  </x:conditionalFormatting>
  <x:conditionalFormatting sqref="F4:F28">
    <x:cfRule type="cellIs" dxfId="126" priority="22" operator="greaterThan">
      <x:formula>599</x:formula>
    </x:cfRule>
    <x:cfRule type="cellIs" dxfId="125" priority="12" operator="between">
      <x:formula>600</x:formula>
      <x:formula>900</x:formula>
    </x:cfRule>
  </x:conditionalFormatting>
  <x:conditionalFormatting sqref="F63:F87">
    <x:cfRule type="cellIs" dxfId="124" priority="10" operator="greaterThan">
      <x:formula>599</x:formula>
    </x:cfRule>
    <x:cfRule type="cellIs" dxfId="123" priority="5" operator="between">
      <x:formula>600</x:formula>
      <x:formula>900</x:formula>
    </x:cfRule>
  </x:conditionalFormatting>
  <x:conditionalFormatting sqref="G4:G28">
    <x:cfRule type="cellIs" dxfId="122" priority="20" operator="greaterThan">
      <x:formula>199.9</x:formula>
    </x:cfRule>
  </x:conditionalFormatting>
  <x:conditionalFormatting sqref="G33:G35">
    <x:cfRule type="cellIs" dxfId="121" priority="17" operator="greaterThan">
      <x:formula>199</x:formula>
    </x:cfRule>
  </x:conditionalFormatting>
  <x:conditionalFormatting sqref="G63:G87">
    <x:cfRule type="cellIs" dxfId="120" priority="8" operator="greaterThan">
      <x:formula>199.9</x:formula>
    </x:cfRule>
  </x:conditionalFormatting>
  <x:conditionalFormatting sqref="G92:G94">
    <x:cfRule type="cellIs" dxfId="119" priority="1" operator="greaterThan">
      <x:formula>199</x:formula>
    </x:cfRule>
  </x:conditionalFormatting>
  <x:conditionalFormatting sqref="G4:H28">
    <x:cfRule type="cellIs" dxfId="118" priority="11" operator="between">
      <x:formula>200</x:formula>
      <x:formula>300</x:formula>
    </x:cfRule>
  </x:conditionalFormatting>
  <x:conditionalFormatting sqref="G63:H87">
    <x:cfRule type="cellIs" dxfId="117" priority="4" operator="between">
      <x:formula>200</x:formula>
      <x:formula>300</x:formula>
    </x:cfRule>
  </x:conditionalFormatting>
  <x:conditionalFormatting sqref="H4:H28">
    <x:cfRule type="cellIs" dxfId="116" priority="21" operator="greaterThan">
      <x:formula>199</x:formula>
    </x:cfRule>
  </x:conditionalFormatting>
  <x:conditionalFormatting sqref="H63:H87">
    <x:cfRule type="cellIs" dxfId="115" priority="9" operator="greaterThan">
      <x:formula>199</x:formula>
    </x:cfRule>
  </x:conditionalFormatting>
  <x:conditionalFormatting sqref="O32:O32">
    <x:cfRule type="cellIs" dxfId="114" priority="16" operator="greaterThan">
      <x:formula>200</x:formula>
    </x:cfRule>
  </x:conditionalFormatting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  <x:legacyDrawing r:id="rId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V113"/>
  <x:sheetViews>
    <x:sheetView topLeftCell="A1" zoomScale="85" zoomScaleNormal="85" zoomScaleSheetLayoutView="85" workbookViewId="0">
      <x:selection activeCell="Q38" activeCellId="0" sqref="Q38:Q38"/>
    </x:sheetView>
  </x:sheetViews>
  <x:sheetFormatPr defaultColWidth="9" defaultRowHeight="16.399999999999999"/>
  <x:cols>
    <x:col min="1" max="1" width="4.625" style="11" customWidth="1"/>
    <x:col min="2" max="2" width="10.625" style="11" customWidth="1"/>
    <x:col min="3" max="11" width="9.625" style="11" customWidth="1"/>
    <x:col min="12" max="12" width="9" style="11" customWidth="1"/>
    <x:col min="13" max="13" width="9" style="11" bestFit="1" customWidth="1"/>
    <x:col min="14" max="14" width="9.875" style="11" bestFit="1" customWidth="1"/>
    <x:col min="15" max="15" width="9.375" style="11" customWidth="1"/>
    <x:col min="17" max="17" width="10.625" style="11" customWidth="1"/>
    <x:col min="19" max="19" width="13.125" style="11" customWidth="1"/>
    <x:col min="20" max="20" width="9" style="4" bestFit="1" customWidth="1"/>
    <x:col min="21" max="21" width="15" style="11" customWidth="1"/>
    <x:col min="22" max="22" width="9" style="4" bestFit="1" customWidth="1"/>
  </x:cols>
  <x:sheetData>
    <x:row r="1" spans="1:13" ht="60" customHeight="1">
      <x:c r="A1" s="185" t="s">
        <x:v>73</x:v>
      </x:c>
      <x:c r="B1" s="185"/>
      <x:c r="C1" s="185"/>
      <x:c r="D1" s="185"/>
      <x:c r="E1" s="185"/>
      <x:c r="F1" s="185"/>
      <x:c r="G1" s="185"/>
      <x:c r="H1" s="185"/>
      <x:c r="I1" s="185"/>
      <x:c r="J1" s="185"/>
      <x:c r="K1" s="185"/>
      <x:c r="L1" s="185"/>
      <x:c r="M1" s="185"/>
    </x:row>
    <x:row r="2" spans="1:22" ht="22.5" customHeight="1">
      <x:c r="A2" s="77"/>
      <x:c r="B2" s="77"/>
      <x:c r="C2" s="77"/>
      <x:c r="D2" s="77"/>
      <x:c r="E2" s="77"/>
      <x:c r="F2" s="77"/>
      <x:c r="G2" s="77"/>
      <x:c r="H2" s="77"/>
      <x:c r="I2" s="77"/>
      <x:c r="J2" s="77"/>
      <x:c r="K2" s="78" t="s">
        <x:v>8</x:v>
      </x:c>
      <x:c r="L2" s="166">
        <x:v>46100</x:v>
      </x:c>
      <x:c r="M2" s="167"/>
      <x:c r="S2" s="89" t="s">
        <x:v>44</x:v>
      </x:c>
      <x:c r="T2" s="90">
        <x:v>1</x:v>
      </x:c>
      <x:c r="U2" s="89" t="s">
        <x:v>61</x:v>
      </x:c>
      <x:c r="V2" s="90">
        <x:v>1</x:v>
      </x:c>
    </x:row>
    <x:row r="3" spans="1:22" ht="24.949999999999999" customHeight="1">
      <x:c r="A3" s="20"/>
      <x:c r="B3" s="14" t="s">
        <x:v>53</x:v>
      </x:c>
      <x:c r="C3" s="14" t="s">
        <x:v>2</x:v>
      </x:c>
      <x:c r="D3" s="14" t="s">
        <x:v>0</x:v>
      </x:c>
      <x:c r="E3" s="14" t="s">
        <x:v>10</x:v>
      </x:c>
      <x:c r="F3" s="14" t="s">
        <x:v>9</x:v>
      </x:c>
      <x:c r="G3" s="14" t="s">
        <x:v>6</x:v>
      </x:c>
      <x:c r="H3" s="16" t="s">
        <x:v>57</x:v>
      </x:c>
      <x:c r="I3" s="14" t="s">
        <x:v>2</x:v>
      </x:c>
      <x:c r="J3" s="14" t="s">
        <x:v>0</x:v>
      </x:c>
      <x:c r="K3" s="14" t="s">
        <x:v>10</x:v>
      </x:c>
      <x:c r="L3" s="15" t="s">
        <x:v>9</x:v>
      </x:c>
      <x:c r="M3" s="22" t="s">
        <x:v>13</x:v>
      </x:c>
      <x:c r="S3" s="92" t="s">
        <x:v>65</x:v>
      </x:c>
      <x:c r="T3" s="93"/>
      <x:c r="U3" s="93"/>
      <x:c r="V3" s="93"/>
    </x:row>
    <x:row r="4" spans="1:22" ht="24.949999999999999" customHeight="1">
      <x:c r="A4" s="12">
        <x:v>1</x:v>
      </x:c>
      <x:c r="B4" s="13" t="s">
        <x:v>39</x:v>
      </x:c>
      <x:c r="C4" s="62">
        <x:v>212</x:v>
      </x:c>
      <x:c r="D4" s="62">
        <x:v>191</x:v>
      </x:c>
      <x:c r="E4" s="62">
        <x:v>218</x:v>
      </x:c>
      <x:c r="F4" s="44">
        <x:f>SUM(C4:E4)</x:f>
        <x:v>621</x:v>
      </x:c>
      <x:c r="G4" s="45">
        <x:f>F4/3</x:f>
        <x:v>207</x:v>
      </x:c>
      <x:c r="H4" s="34">
        <x:f t="array" ref="H4:H4">IF(B4="","",IFERROR(INDEX('회원명단 및 기준에버'!D:G,MATCH(B4,'회원명단 및 기준에버'!$C:$C,0),CHOOSE(INT((MONTH($L$2)-1)/3)+1,1,2,3,4)),""))</x:f>
        <x:v>200</x:v>
      </x:c>
      <x:c r="I4" s="38">
        <x:f>IFERROR(C4+-H4,0)</x:f>
        <x:v>12</x:v>
      </x:c>
      <x:c r="J4" s="38">
        <x:f>IFERROR(D4+-H4,0)</x:f>
        <x:v>-9</x:v>
      </x:c>
      <x:c r="K4" s="38">
        <x:f>IFERROR(E4+-H4,0)</x:f>
        <x:v>18</x:v>
      </x:c>
      <x:c r="L4" s="63">
        <x:f>SUM(I4:K4)</x:f>
        <x:v>21</x:v>
      </x:c>
      <x:c r="M4" s="39">
        <x:f>IFERROR(G4+-H4,0)</x:f>
        <x:v>7</x:v>
      </x:c>
      <x:c r="N4" s="19"/>
      <x:c r="S4" s="104">
        <x:f t="shared" ref="S4:S28" si="0">MAX(C4:E4)-MIN(C4:E4)</x:f>
        <x:v>27</x:v>
      </x:c>
      <x:c r="T4" s="99">
        <x:f>IF($B4="",-999999999+A4,IF($V$2=0,(F4*10000+S4*1000+A4),(M4*10000+S4*10+A4)))</x:f>
        <x:v>70271</x:v>
      </x:c>
      <x:c r="U4" s="105">
        <x:f t="shared" ref="U4:U28" si="1">_xlfn.RANK.EQ(T4,$T$4:$T$28,0)</x:f>
        <x:v>8</x:v>
      </x:c>
      <x:c r="V4" s="106"/>
    </x:row>
    <x:row r="5" spans="1:22" ht="24.949999999999999" customHeight="1">
      <x:c r="A5" s="12">
        <x:v>2</x:v>
      </x:c>
      <x:c r="B5" s="13" t="s">
        <x:v>58</x:v>
      </x:c>
      <x:c r="C5" s="62">
        <x:v>182</x:v>
      </x:c>
      <x:c r="D5" s="62">
        <x:v>167</x:v>
      </x:c>
      <x:c r="E5" s="62">
        <x:v>223</x:v>
      </x:c>
      <x:c r="F5" s="44">
        <x:f>SUM(C5:E5)</x:f>
        <x:v>572</x:v>
      </x:c>
      <x:c r="G5" s="45">
        <x:f>F5/3</x:f>
        <x:v>190.66666666666666</x:v>
      </x:c>
      <x:c r="H5" s="34">
        <x:f t="array" ref="H5:H5">IF(B5="","",IFERROR(INDEX('회원명단 및 기준에버'!D:G,MATCH(B5,'회원명단 및 기준에버'!$C:$C,0),CHOOSE(INT((MONTH($L$2)-1)/3)+1,1,2,3,4)),""))</x:f>
        <x:v>200</x:v>
      </x:c>
      <x:c r="I5" s="38">
        <x:f>IFERROR(C5+-H5,0)</x:f>
        <x:v>-18</x:v>
      </x:c>
      <x:c r="J5" s="38">
        <x:f>IFERROR(D5+-H5,0)</x:f>
        <x:v>-33</x:v>
      </x:c>
      <x:c r="K5" s="38">
        <x:f>IFERROR(E5+-H5,0)</x:f>
        <x:v>23</x:v>
      </x:c>
      <x:c r="L5" s="63">
        <x:f>SUM(I5:K5)</x:f>
        <x:v>-28</x:v>
      </x:c>
      <x:c r="M5" s="39">
        <x:f>IFERROR(G5+-H5,0)</x:f>
        <x:v>-9.3333333333333428</x:v>
      </x:c>
      <x:c r="N5" s="19"/>
      <x:c r="S5" s="107">
        <x:f t="shared" si="0"/>
        <x:v>56</x:v>
      </x:c>
      <x:c r="T5" s="97">
        <x:f t="shared" ref="T5:T28" si="2">IF($B5="",-999999999+A5,IF($V$2=0,(F5*10000+S5*1000+A5),(M5*10000+S5*10+A5)))</x:f>
        <x:v>-92771.33333333343</x:v>
      </x:c>
      <x:c r="U5" s="91">
        <x:f t="shared" si="1"/>
        <x:v>18</x:v>
      </x:c>
      <x:c r="V5" s="108"/>
    </x:row>
    <x:row r="6" spans="1:22" ht="24.949999999999999" customHeight="1">
      <x:c r="A6" s="12">
        <x:v>3</x:v>
      </x:c>
      <x:c r="B6" s="13" t="s">
        <x:v>20</x:v>
      </x:c>
      <x:c r="C6" s="62">
        <x:v>182</x:v>
      </x:c>
      <x:c r="D6" s="62">
        <x:v>201</x:v>
      </x:c>
      <x:c r="E6" s="62">
        <x:v>192</x:v>
      </x:c>
      <x:c r="F6" s="44">
        <x:f>SUM(C6:E6)</x:f>
        <x:v>575</x:v>
      </x:c>
      <x:c r="G6" s="45">
        <x:f>F6/3</x:f>
        <x:v>191.66666666666666</x:v>
      </x:c>
      <x:c r="H6" s="34">
        <x:f t="array" ref="H6:H6">IF(B6="","",IFERROR(INDEX('회원명단 및 기준에버'!D:G,MATCH(B6,'회원명단 및 기준에버'!$C:$C,0),CHOOSE(INT((MONTH($L$2)-1)/3)+1,1,2,3,4)),""))</x:f>
        <x:v>196</x:v>
      </x:c>
      <x:c r="I6" s="38">
        <x:f t="shared" ref="I6:I27" si="3">IFERROR(C6+-H6,0)</x:f>
        <x:v>-14</x:v>
      </x:c>
      <x:c r="J6" s="38">
        <x:f t="shared" ref="J6:J27" si="4">IFERROR(D6+-H6,0)</x:f>
        <x:v>5</x:v>
      </x:c>
      <x:c r="K6" s="38">
        <x:f t="shared" ref="K6:K27" si="5">IFERROR(E6+-H6,0)</x:f>
        <x:v>-4</x:v>
      </x:c>
      <x:c r="L6" s="63">
        <x:f t="shared" ref="L6:L27" si="6">SUM(I6:K6)</x:f>
        <x:v>-13</x:v>
      </x:c>
      <x:c r="M6" s="39">
        <x:f t="shared" ref="M6:M27" si="7">IFERROR(G6+-H6,0)</x:f>
        <x:v>-4.3333333333333428</x:v>
      </x:c>
      <x:c r="S6" s="107">
        <x:f t="shared" si="0"/>
        <x:v>19</x:v>
      </x:c>
      <x:c r="T6" s="97">
        <x:f t="shared" si="2"/>
        <x:v>-43140.33333333343</x:v>
      </x:c>
      <x:c r="U6" s="91">
        <x:f t="shared" si="1"/>
        <x:v>15</x:v>
      </x:c>
      <x:c r="V6" s="108"/>
    </x:row>
    <x:row r="7" spans="1:22" ht="24.949999999999999" customHeight="1">
      <x:c r="A7" s="12">
        <x:v>4</x:v>
      </x:c>
      <x:c r="B7" s="13" t="s">
        <x:v>42</x:v>
      </x:c>
      <x:c r="C7" s="62">
        <x:v>183</x:v>
      </x:c>
      <x:c r="D7" s="62">
        <x:v>213</x:v>
      </x:c>
      <x:c r="E7" s="62">
        <x:v>178</x:v>
      </x:c>
      <x:c r="F7" s="44">
        <x:f>SUM(C7:E7)</x:f>
        <x:v>574</x:v>
      </x:c>
      <x:c r="G7" s="45">
        <x:f>F7/3</x:f>
        <x:v>191.33333333333334</x:v>
      </x:c>
      <x:c r="H7" s="34">
        <x:f t="array" ref="H7:H7">IF(B7="","",IFERROR(INDEX('회원명단 및 기준에버'!D:G,MATCH(B7,'회원명단 및 기준에버'!$C:$C,0),CHOOSE(INT((MONTH($L$2)-1)/3)+1,1,2,3,4)),""))</x:f>
        <x:v>184</x:v>
      </x:c>
      <x:c r="I7" s="38">
        <x:f t="shared" si="3"/>
        <x:v>-1</x:v>
      </x:c>
      <x:c r="J7" s="38">
        <x:f t="shared" si="4"/>
        <x:v>29</x:v>
      </x:c>
      <x:c r="K7" s="38">
        <x:f t="shared" si="5"/>
        <x:v>-6</x:v>
      </x:c>
      <x:c r="L7" s="63">
        <x:f t="shared" si="6"/>
        <x:v>22</x:v>
      </x:c>
      <x:c r="M7" s="39">
        <x:f t="shared" si="7"/>
        <x:v>7.3333333333333428</x:v>
      </x:c>
      <x:c r="S7" s="107">
        <x:f t="shared" si="0"/>
        <x:v>35</x:v>
      </x:c>
      <x:c r="T7" s="97">
        <x:f t="shared" si="2"/>
        <x:v>73687.33333333343</x:v>
      </x:c>
      <x:c r="U7" s="91">
        <x:f t="shared" si="1"/>
        <x:v>7</x:v>
      </x:c>
      <x:c r="V7" s="108"/>
    </x:row>
    <x:row r="8" spans="1:22" ht="24.949999999999999" customHeight="1">
      <x:c r="A8" s="12">
        <x:v>5</x:v>
      </x:c>
      <x:c r="B8" s="13" t="s">
        <x:v>31</x:v>
      </x:c>
      <x:c r="C8" s="62">
        <x:v>155</x:v>
      </x:c>
      <x:c r="D8" s="62">
        <x:v>159</x:v>
      </x:c>
      <x:c r="E8" s="62">
        <x:v>147</x:v>
      </x:c>
      <x:c r="F8" s="44">
        <x:f t="shared" ref="F8:F27" si="8">SUM(C8:E8)</x:f>
        <x:v>461</x:v>
      </x:c>
      <x:c r="G8" s="45">
        <x:f t="shared" ref="G8:G27" si="9">F8/3</x:f>
        <x:v>153.66666666666666</x:v>
      </x:c>
      <x:c r="H8" s="34">
        <x:f t="array" ref="H8:H8">IF(B8="","",IFERROR(INDEX('회원명단 및 기준에버'!D:G,MATCH(B8,'회원명단 및 기준에버'!$C:$C,0),CHOOSE(INT((MONTH($L$2)-1)/3)+1,1,2,3,4)),""))</x:f>
        <x:v>151</x:v>
      </x:c>
      <x:c r="I8" s="38">
        <x:f t="shared" si="3"/>
        <x:v>4</x:v>
      </x:c>
      <x:c r="J8" s="38">
        <x:f t="shared" si="4"/>
        <x:v>8</x:v>
      </x:c>
      <x:c r="K8" s="38">
        <x:f t="shared" si="5"/>
        <x:v>-4</x:v>
      </x:c>
      <x:c r="L8" s="63">
        <x:f t="shared" si="6"/>
        <x:v>8</x:v>
      </x:c>
      <x:c r="M8" s="39">
        <x:f t="shared" si="7"/>
        <x:v>2.6666666666666572</x:v>
      </x:c>
      <x:c r="S8" s="107">
        <x:f t="shared" si="0"/>
        <x:v>12</x:v>
      </x:c>
      <x:c r="T8" s="97">
        <x:f t="shared" si="2"/>
        <x:v>26791.666666666573</x:v>
      </x:c>
      <x:c r="U8" s="91">
        <x:f t="shared" si="1"/>
        <x:v>9</x:v>
      </x:c>
      <x:c r="V8" s="108"/>
    </x:row>
    <x:row r="9" spans="1:22" ht="24.949999999999999" customHeight="1">
      <x:c r="A9" s="12">
        <x:v>6</x:v>
      </x:c>
      <x:c r="B9" s="13" t="s">
        <x:v>47</x:v>
      </x:c>
      <x:c r="C9" s="62">
        <x:v>202</x:v>
      </x:c>
      <x:c r="D9" s="62">
        <x:v>265</x:v>
      </x:c>
      <x:c r="E9" s="62">
        <x:v>162</x:v>
      </x:c>
      <x:c r="F9" s="44">
        <x:f t="shared" si="8"/>
        <x:v>629</x:v>
      </x:c>
      <x:c r="G9" s="45">
        <x:f t="shared" si="9"/>
        <x:v>209.66666666666666</x:v>
      </x:c>
      <x:c r="H9" s="34">
        <x:f t="array" ref="H9:H9">IF(B9="","",IFERROR(INDEX('회원명단 및 기준에버'!D:G,MATCH(B9,'회원명단 및 기준에버'!$C:$C,0),CHOOSE(INT((MONTH($L$2)-1)/3)+1,1,2,3,4)),""))</x:f>
        <x:v>200</x:v>
      </x:c>
      <x:c r="I9" s="38">
        <x:f t="shared" si="3"/>
        <x:v>2</x:v>
      </x:c>
      <x:c r="J9" s="38">
        <x:f t="shared" si="4"/>
        <x:v>65</x:v>
      </x:c>
      <x:c r="K9" s="38">
        <x:f t="shared" si="5"/>
        <x:v>-38</x:v>
      </x:c>
      <x:c r="L9" s="63">
        <x:f t="shared" si="6"/>
        <x:v>29</x:v>
      </x:c>
      <x:c r="M9" s="39">
        <x:f t="shared" si="7"/>
        <x:v>9.6666666666666572</x:v>
      </x:c>
      <x:c r="S9" s="107">
        <x:f t="shared" si="0"/>
        <x:v>103</x:v>
      </x:c>
      <x:c r="T9" s="97">
        <x:f t="shared" si="2"/>
        <x:v>97702.66666666657</x:v>
      </x:c>
      <x:c r="U9" s="91">
        <x:f t="shared" si="1"/>
        <x:v>5</x:v>
      </x:c>
      <x:c r="V9" s="108"/>
    </x:row>
    <x:row r="10" spans="1:22" ht="24.949999999999999" customHeight="1">
      <x:c r="A10" s="12">
        <x:v>7</x:v>
      </x:c>
      <x:c r="B10" s="13" t="s">
        <x:v>32</x:v>
      </x:c>
      <x:c r="C10" s="62">
        <x:v>202</x:v>
      </x:c>
      <x:c r="D10" s="62">
        <x:v>163</x:v>
      </x:c>
      <x:c r="E10" s="62">
        <x:v>216</x:v>
      </x:c>
      <x:c r="F10" s="44">
        <x:f t="shared" si="8"/>
        <x:v>581</x:v>
      </x:c>
      <x:c r="G10" s="45">
        <x:f t="shared" si="9"/>
        <x:v>193.66666666666666</x:v>
      </x:c>
      <x:c r="H10" s="34">
        <x:f t="array" ref="H10:H10">IF(B10="","",IFERROR(INDEX('회원명단 및 기준에버'!D:G,MATCH(B10,'회원명단 및 기준에버'!$C:$C,0),CHOOSE(INT((MONTH($L$2)-1)/3)+1,1,2,3,4)),""))</x:f>
        <x:v>198</x:v>
      </x:c>
      <x:c r="I10" s="38">
        <x:f t="shared" si="3"/>
        <x:v>4</x:v>
      </x:c>
      <x:c r="J10" s="38">
        <x:f t="shared" si="4"/>
        <x:v>-35</x:v>
      </x:c>
      <x:c r="K10" s="38">
        <x:f t="shared" si="5"/>
        <x:v>18</x:v>
      </x:c>
      <x:c r="L10" s="63">
        <x:f t="shared" si="6"/>
        <x:v>-13</x:v>
      </x:c>
      <x:c r="M10" s="39">
        <x:f t="shared" si="7"/>
        <x:v>-4.3333333333333428</x:v>
      </x:c>
      <x:c r="S10" s="107">
        <x:f t="shared" si="0"/>
        <x:v>53</x:v>
      </x:c>
      <x:c r="T10" s="97">
        <x:f t="shared" si="2"/>
        <x:v>-42796.33333333343</x:v>
      </x:c>
      <x:c r="U10" s="91">
        <x:f t="shared" si="1"/>
        <x:v>14</x:v>
      </x:c>
      <x:c r="V10" s="108"/>
    </x:row>
    <x:row r="11" spans="1:22" ht="24.949999999999999" customHeight="1">
      <x:c r="A11" s="12">
        <x:v>8</x:v>
      </x:c>
      <x:c r="B11" s="13" t="s">
        <x:v>48</x:v>
      </x:c>
      <x:c r="C11" s="62">
        <x:v>175</x:v>
      </x:c>
      <x:c r="D11" s="62">
        <x:v>179</x:v>
      </x:c>
      <x:c r="E11" s="62">
        <x:v>127</x:v>
      </x:c>
      <x:c r="F11" s="44">
        <x:f t="shared" si="8"/>
        <x:v>481</x:v>
      </x:c>
      <x:c r="G11" s="45">
        <x:f t="shared" si="9"/>
        <x:v>160.33333333333334</x:v>
      </x:c>
      <x:c r="H11" s="34">
        <x:f t="array" ref="H11:H11">IF(B11="","",IFERROR(INDEX('회원명단 및 기준에버'!D:G,MATCH(B11,'회원명단 및 기준에버'!$C:$C,0),CHOOSE(INT((MONTH($L$2)-1)/3)+1,1,2,3,4)),""))</x:f>
        <x:v>191</x:v>
      </x:c>
      <x:c r="I11" s="38">
        <x:f t="shared" si="3"/>
        <x:v>-16</x:v>
      </x:c>
      <x:c r="J11" s="38">
        <x:f t="shared" si="4"/>
        <x:v>-12</x:v>
      </x:c>
      <x:c r="K11" s="38">
        <x:f t="shared" si="5"/>
        <x:v>-64</x:v>
      </x:c>
      <x:c r="L11" s="63">
        <x:f t="shared" si="6"/>
        <x:v>-92</x:v>
      </x:c>
      <x:c r="M11" s="39">
        <x:f t="shared" si="7"/>
        <x:v>-30.666666666666657</x:v>
      </x:c>
      <x:c r="S11" s="107">
        <x:f t="shared" si="0"/>
        <x:v>52</x:v>
      </x:c>
      <x:c r="T11" s="97">
        <x:f t="shared" si="2"/>
        <x:v>-306138.66666666657</x:v>
      </x:c>
      <x:c r="U11" s="91">
        <x:f t="shared" si="1"/>
        <x:v>22</x:v>
      </x:c>
      <x:c r="V11" s="108"/>
    </x:row>
    <x:row r="12" spans="1:22" ht="24.949999999999999" customHeight="1">
      <x:c r="A12" s="12">
        <x:v>9</x:v>
      </x:c>
      <x:c r="B12" s="13" t="s">
        <x:v>27</x:v>
      </x:c>
      <x:c r="C12" s="62">
        <x:v>149</x:v>
      </x:c>
      <x:c r="D12" s="62">
        <x:v>169</x:v>
      </x:c>
      <x:c r="E12" s="62">
        <x:v>163</x:v>
      </x:c>
      <x:c r="F12" s="44">
        <x:f t="shared" si="8"/>
        <x:v>481</x:v>
      </x:c>
      <x:c r="G12" s="45">
        <x:f t="shared" si="9"/>
        <x:v>160.33333333333334</x:v>
      </x:c>
      <x:c r="H12" s="34">
        <x:f t="array" ref="H12:H12">IF(B12="","",IFERROR(INDEX('회원명단 및 기준에버'!D:G,MATCH(B12,'회원명단 및 기준에버'!$C:$C,0),CHOOSE(INT((MONTH($L$2)-1)/3)+1,1,2,3,4)),""))</x:f>
        <x:v>171</x:v>
      </x:c>
      <x:c r="I12" s="38">
        <x:f t="shared" si="3"/>
        <x:v>-22</x:v>
      </x:c>
      <x:c r="J12" s="38">
        <x:f t="shared" si="4"/>
        <x:v>-2</x:v>
      </x:c>
      <x:c r="K12" s="38">
        <x:f t="shared" si="5"/>
        <x:v>-8</x:v>
      </x:c>
      <x:c r="L12" s="63">
        <x:f t="shared" si="6"/>
        <x:v>-32</x:v>
      </x:c>
      <x:c r="M12" s="39">
        <x:f t="shared" si="7"/>
        <x:v>-10.666666666666657</x:v>
      </x:c>
      <x:c r="S12" s="107">
        <x:f t="shared" si="0"/>
        <x:v>20</x:v>
      </x:c>
      <x:c r="T12" s="97">
        <x:f t="shared" si="2"/>
        <x:v>-106457.66666666657</x:v>
      </x:c>
      <x:c r="U12" s="91">
        <x:f t="shared" si="1"/>
        <x:v>19</x:v>
      </x:c>
      <x:c r="V12" s="108"/>
    </x:row>
    <x:row r="13" spans="1:22" ht="24.949999999999999" customHeight="1">
      <x:c r="A13" s="12">
        <x:v>10</x:v>
      </x:c>
      <x:c r="B13" s="13"/>
      <x:c r="C13" s="62"/>
      <x:c r="D13" s="62"/>
      <x:c r="E13" s="62"/>
      <x:c r="F13" s="44">
        <x:f t="shared" si="8"/>
        <x:v>0</x:v>
      </x:c>
      <x:c r="G13" s="45">
        <x:f t="shared" si="9"/>
        <x:v>0</x:v>
      </x:c>
      <x:c r="H13" s="34" t="str">
        <x:f t="array" ref="H13:H13">IF(B13="","",IFERROR(INDEX('회원명단 및 기준에버'!D:G,MATCH(B13,'회원명단 및 기준에버'!$C:$C,0),CHOOSE(INT((MONTH($L$2)-1)/3)+1,1,2,3,4)),""))</x:f>
        <x:v/>
      </x:c>
      <x:c r="I13" s="38">
        <x:f t="shared" si="3"/>
        <x:v>0</x:v>
      </x:c>
      <x:c r="J13" s="38">
        <x:f t="shared" si="4"/>
        <x:v>0</x:v>
      </x:c>
      <x:c r="K13" s="38">
        <x:f t="shared" si="5"/>
        <x:v>0</x:v>
      </x:c>
      <x:c r="L13" s="63">
        <x:f t="shared" si="6"/>
        <x:v>0</x:v>
      </x:c>
      <x:c r="M13" s="39">
        <x:f t="shared" si="7"/>
        <x:v>0</x:v>
      </x:c>
      <x:c r="S13" s="107">
        <x:f t="shared" si="0"/>
        <x:v>0</x:v>
      </x:c>
      <x:c r="T13" s="97">
        <x:f t="shared" si="2"/>
        <x:v>-999999989</x:v>
      </x:c>
      <x:c r="U13" s="91">
        <x:f t="shared" si="1"/>
        <x:v>25</x:v>
      </x:c>
      <x:c r="V13" s="108"/>
    </x:row>
    <x:row r="14" spans="1:22" ht="24.949999999999999" customHeight="1">
      <x:c r="A14" s="12">
        <x:v>11</x:v>
      </x:c>
      <x:c r="B14" s="13" t="s">
        <x:v>37</x:v>
      </x:c>
      <x:c r="C14" s="62">
        <x:v>201</x:v>
      </x:c>
      <x:c r="D14" s="62">
        <x:v>192</x:v>
      </x:c>
      <x:c r="E14" s="62">
        <x:v>196</x:v>
      </x:c>
      <x:c r="F14" s="44">
        <x:f t="shared" si="8"/>
        <x:v>589</x:v>
      </x:c>
      <x:c r="G14" s="45">
        <x:f t="shared" si="9"/>
        <x:v>196.33333333333334</x:v>
      </x:c>
      <x:c r="H14" s="34">
        <x:f t="array" ref="H14:H14">IF(B14="","",IFERROR(INDEX('회원명단 및 기준에버'!D:G,MATCH(B14,'회원명단 및 기준에버'!$C:$C,0),CHOOSE(INT((MONTH($L$2)-1)/3)+1,1,2,3,4)),""))</x:f>
        <x:v>200</x:v>
      </x:c>
      <x:c r="I14" s="38">
        <x:f t="shared" si="3"/>
        <x:v>1</x:v>
      </x:c>
      <x:c r="J14" s="38">
        <x:f t="shared" si="4"/>
        <x:v>-8</x:v>
      </x:c>
      <x:c r="K14" s="38">
        <x:f t="shared" si="5"/>
        <x:v>-4</x:v>
      </x:c>
      <x:c r="L14" s="63">
        <x:f t="shared" si="6"/>
        <x:v>-11</x:v>
      </x:c>
      <x:c r="M14" s="39">
        <x:f t="shared" si="7"/>
        <x:v>-3.6666666666666572</x:v>
      </x:c>
      <x:c r="S14" s="107">
        <x:f t="shared" si="0"/>
        <x:v>9</x:v>
      </x:c>
      <x:c r="T14" s="97">
        <x:f t="shared" si="2"/>
        <x:v>-36565.66666666657</x:v>
      </x:c>
      <x:c r="U14" s="91">
        <x:f t="shared" si="1"/>
        <x:v>13</x:v>
      </x:c>
      <x:c r="V14" s="108"/>
    </x:row>
    <x:row r="15" spans="1:22" ht="24.949999999999999" customHeight="1">
      <x:c r="A15" s="12">
        <x:v>12</x:v>
      </x:c>
      <x:c r="B15" s="13" t="s">
        <x:v>45</x:v>
      </x:c>
      <x:c r="C15" s="62">
        <x:v>223</x:v>
      </x:c>
      <x:c r="D15" s="62">
        <x:v>174</x:v>
      </x:c>
      <x:c r="E15" s="62">
        <x:v>191</x:v>
      </x:c>
      <x:c r="F15" s="44">
        <x:f t="shared" si="8"/>
        <x:v>588</x:v>
      </x:c>
      <x:c r="G15" s="45">
        <x:f t="shared" si="9"/>
        <x:v>196</x:v>
      </x:c>
      <x:c r="H15" s="34">
        <x:f t="array" ref="H15:H15">IF(B15="","",IFERROR(INDEX('회원명단 및 기준에버'!D:G,MATCH(B15,'회원명단 및 기준에버'!$C:$C,0),CHOOSE(INT((MONTH($L$2)-1)/3)+1,1,2,3,4)),""))</x:f>
        <x:v>182</x:v>
      </x:c>
      <x:c r="I15" s="38">
        <x:f t="shared" si="3"/>
        <x:v>41</x:v>
      </x:c>
      <x:c r="J15" s="38">
        <x:f t="shared" si="4"/>
        <x:v>-8</x:v>
      </x:c>
      <x:c r="K15" s="38">
        <x:f t="shared" si="5"/>
        <x:v>9</x:v>
      </x:c>
      <x:c r="L15" s="63">
        <x:f t="shared" si="6"/>
        <x:v>42</x:v>
      </x:c>
      <x:c r="M15" s="39">
        <x:f t="shared" si="7"/>
        <x:v>14</x:v>
      </x:c>
      <x:c r="S15" s="107">
        <x:f t="shared" si="0"/>
        <x:v>49</x:v>
      </x:c>
      <x:c r="T15" s="97">
        <x:f t="shared" si="2"/>
        <x:v>140502</x:v>
      </x:c>
      <x:c r="U15" s="91">
        <x:f t="shared" si="1"/>
        <x:v>4</x:v>
      </x:c>
      <x:c r="V15" s="108"/>
    </x:row>
    <x:row r="16" spans="1:22" ht="24.949999999999999" customHeight="1">
      <x:c r="A16" s="12">
        <x:v>13</x:v>
      </x:c>
      <x:c r="B16" s="13" t="s">
        <x:v>35</x:v>
      </x:c>
      <x:c r="C16" s="62">
        <x:v>188</x:v>
      </x:c>
      <x:c r="D16" s="62">
        <x:v>157</x:v>
      </x:c>
      <x:c r="E16" s="62">
        <x:v>132</x:v>
      </x:c>
      <x:c r="F16" s="44">
        <x:f t="shared" si="8"/>
        <x:v>477</x:v>
      </x:c>
      <x:c r="G16" s="45">
        <x:f t="shared" si="9"/>
        <x:v>159</x:v>
      </x:c>
      <x:c r="H16" s="34">
        <x:f t="array" ref="H16:H16">IF(B16="","",IFERROR(INDEX('회원명단 및 기준에버'!D:G,MATCH(B16,'회원명단 및 기준에버'!$C:$C,0),CHOOSE(INT((MONTH($L$2)-1)/3)+1,1,2,3,4)),""))</x:f>
        <x:v>165</x:v>
      </x:c>
      <x:c r="I16" s="38">
        <x:f t="shared" si="3"/>
        <x:v>23</x:v>
      </x:c>
      <x:c r="J16" s="38">
        <x:f t="shared" si="4"/>
        <x:v>-8</x:v>
      </x:c>
      <x:c r="K16" s="38">
        <x:f t="shared" si="5"/>
        <x:v>-33</x:v>
      </x:c>
      <x:c r="L16" s="63">
        <x:f t="shared" si="6"/>
        <x:v>-18</x:v>
      </x:c>
      <x:c r="M16" s="39">
        <x:f t="shared" si="7"/>
        <x:v>-6</x:v>
      </x:c>
      <x:c r="S16" s="107">
        <x:f t="shared" si="0"/>
        <x:v>56</x:v>
      </x:c>
      <x:c r="T16" s="97">
        <x:f t="shared" si="2"/>
        <x:v>-59427</x:v>
      </x:c>
      <x:c r="U16" s="91">
        <x:f t="shared" si="1"/>
        <x:v>16</x:v>
      </x:c>
      <x:c r="V16" s="108"/>
    </x:row>
    <x:row r="17" spans="1:22" ht="24.949999999999999" customHeight="1">
      <x:c r="A17" s="12">
        <x:v>14</x:v>
      </x:c>
      <x:c r="B17" s="13" t="s">
        <x:v>18</x:v>
      </x:c>
      <x:c r="C17" s="62">
        <x:v>167</x:v>
      </x:c>
      <x:c r="D17" s="62">
        <x:v>147</x:v>
      </x:c>
      <x:c r="E17" s="62">
        <x:v>185</x:v>
      </x:c>
      <x:c r="F17" s="44">
        <x:f t="shared" si="8"/>
        <x:v>499</x:v>
      </x:c>
      <x:c r="G17" s="45">
        <x:f t="shared" si="9"/>
        <x:v>166.33333333333334</x:v>
      </x:c>
      <x:c r="H17" s="34">
        <x:f t="array" ref="H17:H17">IF(B17="","",IFERROR(INDEX('회원명단 및 기준에버'!D:G,MATCH(B17,'회원명단 및 기준에버'!$C:$C,0),CHOOSE(INT((MONTH($L$2)-1)/3)+1,1,2,3,4)),""))</x:f>
        <x:v>192</x:v>
      </x:c>
      <x:c r="I17" s="38">
        <x:f t="shared" si="3"/>
        <x:v>-25</x:v>
      </x:c>
      <x:c r="J17" s="38">
        <x:f t="shared" si="4"/>
        <x:v>-45</x:v>
      </x:c>
      <x:c r="K17" s="38">
        <x:f t="shared" si="5"/>
        <x:v>-7</x:v>
      </x:c>
      <x:c r="L17" s="63">
        <x:f t="shared" si="6"/>
        <x:v>-77</x:v>
      </x:c>
      <x:c r="M17" s="39">
        <x:f t="shared" si="7"/>
        <x:v>-25.666666666666657</x:v>
      </x:c>
      <x:c r="S17" s="107">
        <x:f t="shared" si="0"/>
        <x:v>38</x:v>
      </x:c>
      <x:c r="T17" s="97">
        <x:f t="shared" si="2"/>
        <x:v>-256272.66666666657</x:v>
      </x:c>
      <x:c r="U17" s="91">
        <x:f t="shared" si="1"/>
        <x:v>21</x:v>
      </x:c>
      <x:c r="V17" s="108"/>
    </x:row>
    <x:row r="18" spans="1:22" ht="24.949999999999999" customHeight="1">
      <x:c r="A18" s="12">
        <x:v>15</x:v>
      </x:c>
      <x:c r="B18" s="13" t="s">
        <x:v>38</x:v>
      </x:c>
      <x:c r="C18" s="62">
        <x:v>145</x:v>
      </x:c>
      <x:c r="D18" s="62">
        <x:v>269</x:v>
      </x:c>
      <x:c r="E18" s="62">
        <x:v>201</x:v>
      </x:c>
      <x:c r="F18" s="44">
        <x:f t="shared" si="8"/>
        <x:v>615</x:v>
      </x:c>
      <x:c r="G18" s="45">
        <x:f t="shared" si="9"/>
        <x:v>205</x:v>
      </x:c>
      <x:c r="H18" s="34">
        <x:f t="array" ref="H18:H18">IF(B18="","",IFERROR(INDEX('회원명단 및 기준에버'!D:G,MATCH(B18,'회원명단 및 기준에버'!$C:$C,0),CHOOSE(INT((MONTH($L$2)-1)/3)+1,1,2,3,4)),""))</x:f>
        <x:v>190</x:v>
      </x:c>
      <x:c r="I18" s="38">
        <x:f t="shared" si="3"/>
        <x:v>-45</x:v>
      </x:c>
      <x:c r="J18" s="38">
        <x:f t="shared" si="4"/>
        <x:v>79</x:v>
      </x:c>
      <x:c r="K18" s="38">
        <x:f t="shared" si="5"/>
        <x:v>11</x:v>
      </x:c>
      <x:c r="L18" s="63">
        <x:f t="shared" si="6"/>
        <x:v>45</x:v>
      </x:c>
      <x:c r="M18" s="39">
        <x:f t="shared" si="7"/>
        <x:v>15</x:v>
      </x:c>
      <x:c r="S18" s="107">
        <x:f t="shared" si="0"/>
        <x:v>124</x:v>
      </x:c>
      <x:c r="T18" s="97">
        <x:f t="shared" si="2"/>
        <x:v>151255</x:v>
      </x:c>
      <x:c r="U18" s="91">
        <x:f t="shared" si="1"/>
        <x:v>3</x:v>
      </x:c>
      <x:c r="V18" s="108"/>
    </x:row>
    <x:row r="19" spans="1:22" ht="24.949999999999999" customHeight="1">
      <x:c r="A19" s="12">
        <x:v>16</x:v>
      </x:c>
      <x:c r="B19" s="13" t="s">
        <x:v>26</x:v>
      </x:c>
      <x:c r="C19" s="62">
        <x:v>193</x:v>
      </x:c>
      <x:c r="D19" s="62">
        <x:v>236</x:v>
      </x:c>
      <x:c r="E19" s="62">
        <x:v>222</x:v>
      </x:c>
      <x:c r="F19" s="44">
        <x:f t="shared" si="8"/>
        <x:v>651</x:v>
      </x:c>
      <x:c r="G19" s="45">
        <x:f t="shared" si="9"/>
        <x:v>217</x:v>
      </x:c>
      <x:c r="H19" s="34">
        <x:f t="array" ref="H19:H19">IF(B19="","",IFERROR(INDEX('회원명단 및 기준에버'!D:G,MATCH(B19,'회원명단 및 기준에버'!$C:$C,0),CHOOSE(INT((MONTH($L$2)-1)/3)+1,1,2,3,4)),""))</x:f>
        <x:v>200</x:v>
      </x:c>
      <x:c r="I19" s="38">
        <x:f t="shared" si="3"/>
        <x:v>-7</x:v>
      </x:c>
      <x:c r="J19" s="38">
        <x:f t="shared" si="4"/>
        <x:v>36</x:v>
      </x:c>
      <x:c r="K19" s="38">
        <x:f t="shared" si="5"/>
        <x:v>22</x:v>
      </x:c>
      <x:c r="L19" s="63">
        <x:f t="shared" si="6"/>
        <x:v>51</x:v>
      </x:c>
      <x:c r="M19" s="39">
        <x:f t="shared" si="7"/>
        <x:v>17</x:v>
      </x:c>
      <x:c r="S19" s="107">
        <x:f t="shared" si="0"/>
        <x:v>43</x:v>
      </x:c>
      <x:c r="T19" s="97">
        <x:f t="shared" si="2"/>
        <x:v>170446</x:v>
      </x:c>
      <x:c r="U19" s="91">
        <x:f t="shared" si="1"/>
        <x:v>2</x:v>
      </x:c>
      <x:c r="V19" s="108"/>
    </x:row>
    <x:row r="20" spans="1:22" ht="24.949999999999999" customHeight="1">
      <x:c r="A20" s="12">
        <x:v>17</x:v>
      </x:c>
      <x:c r="B20" s="13" t="s">
        <x:v>21</x:v>
      </x:c>
      <x:c r="C20" s="62">
        <x:v>193</x:v>
      </x:c>
      <x:c r="D20" s="62">
        <x:v>176</x:v>
      </x:c>
      <x:c r="E20" s="62">
        <x:v>175</x:v>
      </x:c>
      <x:c r="F20" s="44">
        <x:f t="shared" si="8"/>
        <x:v>544</x:v>
      </x:c>
      <x:c r="G20" s="45">
        <x:f t="shared" si="9"/>
        <x:v>181.33333333333334</x:v>
      </x:c>
      <x:c r="H20" s="34">
        <x:f t="array" ref="H20:H20">IF(B20="","",IFERROR(INDEX('회원명단 및 기준에버'!D:G,MATCH(B20,'회원명단 및 기준에버'!$C:$C,0),CHOOSE(INT((MONTH($L$2)-1)/3)+1,1,2,3,4)),""))</x:f>
        <x:v>194</x:v>
      </x:c>
      <x:c r="I20" s="38">
        <x:f t="shared" si="3"/>
        <x:v>-1</x:v>
      </x:c>
      <x:c r="J20" s="38">
        <x:f t="shared" si="4"/>
        <x:v>-18</x:v>
      </x:c>
      <x:c r="K20" s="38">
        <x:f t="shared" si="5"/>
        <x:v>-19</x:v>
      </x:c>
      <x:c r="L20" s="63">
        <x:f t="shared" si="6"/>
        <x:v>-38</x:v>
      </x:c>
      <x:c r="M20" s="39">
        <x:f t="shared" si="7"/>
        <x:v>-12.666666666666657</x:v>
      </x:c>
      <x:c r="S20" s="107">
        <x:f t="shared" si="0"/>
        <x:v>18</x:v>
      </x:c>
      <x:c r="T20" s="97">
        <x:f t="shared" si="2"/>
        <x:v>-126469.66666666657</x:v>
      </x:c>
      <x:c r="U20" s="91">
        <x:f t="shared" si="1"/>
        <x:v>20</x:v>
      </x:c>
      <x:c r="V20" s="108"/>
    </x:row>
    <x:row r="21" spans="1:22" ht="24.949999999999999" customHeight="1">
      <x:c r="A21" s="12">
        <x:v>18</x:v>
      </x:c>
      <x:c r="B21" s="13" t="s">
        <x:v>50</x:v>
      </x:c>
      <x:c r="C21" s="62">
        <x:v>133</x:v>
      </x:c>
      <x:c r="D21" s="62">
        <x:v>230</x:v>
      </x:c>
      <x:c r="E21" s="62">
        <x:v>194</x:v>
      </x:c>
      <x:c r="F21" s="44">
        <x:f t="shared" si="8"/>
        <x:v>557</x:v>
      </x:c>
      <x:c r="G21" s="45">
        <x:f t="shared" si="9"/>
        <x:v>185.66666666666666</x:v>
      </x:c>
      <x:c r="H21" s="34">
        <x:f t="array" ref="H21:H21">IF(B21="","",IFERROR(INDEX('회원명단 및 기준에버'!D:G,MATCH(B21,'회원명단 및 기준에버'!$C:$C,0),CHOOSE(INT((MONTH($L$2)-1)/3)+1,1,2,3,4)),""))</x:f>
        <x:v>195</x:v>
      </x:c>
      <x:c r="I21" s="38">
        <x:f t="shared" si="3"/>
        <x:v>-62</x:v>
      </x:c>
      <x:c r="J21" s="38">
        <x:f t="shared" si="4"/>
        <x:v>35</x:v>
      </x:c>
      <x:c r="K21" s="38">
        <x:f t="shared" si="5"/>
        <x:v>-1</x:v>
      </x:c>
      <x:c r="L21" s="63">
        <x:f t="shared" si="6"/>
        <x:v>-28</x:v>
      </x:c>
      <x:c r="M21" s="39">
        <x:f t="shared" si="7"/>
        <x:v>-9.3333333333333428</x:v>
      </x:c>
      <x:c r="S21" s="107">
        <x:f t="shared" si="0"/>
        <x:v>97</x:v>
      </x:c>
      <x:c r="T21" s="97">
        <x:f t="shared" si="2"/>
        <x:v>-92345.33333333343</x:v>
      </x:c>
      <x:c r="U21" s="91">
        <x:f t="shared" si="1"/>
        <x:v>17</x:v>
      </x:c>
      <x:c r="V21" s="108"/>
    </x:row>
    <x:row r="22" spans="1:22" ht="24.949999999999999" customHeight="1">
      <x:c r="A22" s="12">
        <x:v>19</x:v>
      </x:c>
      <x:c r="B22" s="13" t="s">
        <x:v>56</x:v>
      </x:c>
      <x:c r="C22" s="62">
        <x:v>169</x:v>
      </x:c>
      <x:c r="D22" s="62">
        <x:v>159</x:v>
      </x:c>
      <x:c r="E22" s="62">
        <x:v>167</x:v>
      </x:c>
      <x:c r="F22" s="44">
        <x:f t="shared" si="8"/>
        <x:v>495</x:v>
      </x:c>
      <x:c r="G22" s="45">
        <x:f t="shared" si="9"/>
        <x:v>165</x:v>
      </x:c>
      <x:c r="H22" s="34">
        <x:f t="array" ref="H22:H22">IF(B22="","",IFERROR(INDEX('회원명단 및 기준에버'!D:G,MATCH(B22,'회원명단 및 기준에버'!$C:$C,0),CHOOSE(INT((MONTH($L$2)-1)/3)+1,1,2,3,4)),""))</x:f>
        <x:v>198</x:v>
      </x:c>
      <x:c r="I22" s="38">
        <x:f t="shared" si="3"/>
        <x:v>-29</x:v>
      </x:c>
      <x:c r="J22" s="38">
        <x:f t="shared" si="4"/>
        <x:v>-39</x:v>
      </x:c>
      <x:c r="K22" s="38">
        <x:f t="shared" si="5"/>
        <x:v>-31</x:v>
      </x:c>
      <x:c r="L22" s="63">
        <x:f t="shared" si="6"/>
        <x:v>-99</x:v>
      </x:c>
      <x:c r="M22" s="39">
        <x:f t="shared" si="7"/>
        <x:v>-33</x:v>
      </x:c>
      <x:c r="S22" s="107">
        <x:f t="shared" si="0"/>
        <x:v>10</x:v>
      </x:c>
      <x:c r="T22" s="97">
        <x:f t="shared" si="2"/>
        <x:v>-329881</x:v>
      </x:c>
      <x:c r="U22" s="91">
        <x:f t="shared" si="1"/>
        <x:v>23</x:v>
      </x:c>
      <x:c r="V22" s="108"/>
    </x:row>
    <x:row r="23" spans="1:22" ht="24.949999999999999" customHeight="1">
      <x:c r="A23" s="12">
        <x:v>20</x:v>
      </x:c>
      <x:c r="B23" s="13"/>
      <x:c r="C23" s="62"/>
      <x:c r="D23" s="62"/>
      <x:c r="E23" s="62"/>
      <x:c r="F23" s="44">
        <x:f t="shared" si="8"/>
        <x:v>0</x:v>
      </x:c>
      <x:c r="G23" s="45">
        <x:f t="shared" si="9"/>
        <x:v>0</x:v>
      </x:c>
      <x:c r="H23" s="34" t="str">
        <x:f t="array" ref="H23:H23">IF(B23="","",IFERROR(INDEX('회원명단 및 기준에버'!D:G,MATCH(B23,'회원명단 및 기준에버'!$C:$C,0),CHOOSE(INT((MONTH($L$2)-1)/3)+1,1,2,3,4)),""))</x:f>
        <x:v/>
      </x:c>
      <x:c r="I23" s="38">
        <x:f t="shared" si="3"/>
        <x:v>0</x:v>
      </x:c>
      <x:c r="J23" s="38">
        <x:f t="shared" si="4"/>
        <x:v>0</x:v>
      </x:c>
      <x:c r="K23" s="38">
        <x:f t="shared" si="5"/>
        <x:v>0</x:v>
      </x:c>
      <x:c r="L23" s="63">
        <x:f t="shared" si="6"/>
        <x:v>0</x:v>
      </x:c>
      <x:c r="M23" s="39">
        <x:f t="shared" si="7"/>
        <x:v>0</x:v>
      </x:c>
      <x:c r="S23" s="107">
        <x:f t="shared" si="0"/>
        <x:v>0</x:v>
      </x:c>
      <x:c r="T23" s="97">
        <x:f t="shared" si="2"/>
        <x:v>-999999979</x:v>
      </x:c>
      <x:c r="U23" s="91">
        <x:f t="shared" si="1"/>
        <x:v>24</x:v>
      </x:c>
      <x:c r="V23" s="108"/>
    </x:row>
    <x:row r="24" spans="1:22" ht="24.949999999999999" customHeight="1">
      <x:c r="A24" s="12">
        <x:v>21</x:v>
      </x:c>
      <x:c r="B24" s="13" t="s">
        <x:v>36</x:v>
      </x:c>
      <x:c r="C24" s="62">
        <x:v>242</x:v>
      </x:c>
      <x:c r="D24" s="62">
        <x:v>161</x:v>
      </x:c>
      <x:c r="E24" s="62">
        <x:v>202</x:v>
      </x:c>
      <x:c r="F24" s="44">
        <x:f t="shared" si="8"/>
        <x:v>605</x:v>
      </x:c>
      <x:c r="G24" s="45">
        <x:f t="shared" si="9"/>
        <x:v>201.66666666666666</x:v>
      </x:c>
      <x:c r="H24" s="34">
        <x:f t="array" ref="H24:H24">IF(B24="","",IFERROR(INDEX('회원명단 및 기준에버'!D:G,MATCH(B24,'회원명단 및 기준에버'!$C:$C,0),CHOOSE(INT((MONTH($L$2)-1)/3)+1,1,2,3,4)),""))</x:f>
        <x:v>200</x:v>
      </x:c>
      <x:c r="I24" s="38">
        <x:f t="shared" si="3"/>
        <x:v>42</x:v>
      </x:c>
      <x:c r="J24" s="38">
        <x:f t="shared" si="4"/>
        <x:v>-39</x:v>
      </x:c>
      <x:c r="K24" s="38">
        <x:f t="shared" si="5"/>
        <x:v>2</x:v>
      </x:c>
      <x:c r="L24" s="63">
        <x:f t="shared" si="6"/>
        <x:v>5</x:v>
      </x:c>
      <x:c r="M24" s="39">
        <x:f t="shared" si="7"/>
        <x:v>1.6666666666666572</x:v>
      </x:c>
      <x:c r="S24" s="107">
        <x:f t="shared" si="0"/>
        <x:v>81</x:v>
      </x:c>
      <x:c r="T24" s="97">
        <x:f t="shared" si="2"/>
        <x:v>17497.666666666573</x:v>
      </x:c>
      <x:c r="U24" s="91">
        <x:f t="shared" si="1"/>
        <x:v>10</x:v>
      </x:c>
      <x:c r="V24" s="108"/>
    </x:row>
    <x:row r="25" spans="1:22" ht="24.949999999999999" customHeight="1">
      <x:c r="A25" s="12">
        <x:v>22</x:v>
      </x:c>
      <x:c r="B25" s="13" t="s">
        <x:v>34</x:v>
      </x:c>
      <x:c r="C25" s="62">
        <x:v>230</x:v>
      </x:c>
      <x:c r="D25" s="62">
        <x:v>152</x:v>
      </x:c>
      <x:c r="E25" s="62">
        <x:v>192</x:v>
      </x:c>
      <x:c r="F25" s="44">
        <x:f t="shared" si="8"/>
        <x:v>574</x:v>
      </x:c>
      <x:c r="G25" s="45">
        <x:f t="shared" si="9"/>
        <x:v>191.33333333333334</x:v>
      </x:c>
      <x:c r="H25" s="34">
        <x:f t="array" ref="H25:H25">IF(B25="","",IFERROR(INDEX('회원명단 및 기준에버'!D:G,MATCH(B25,'회원명단 및 기준에버'!$C:$C,0),CHOOSE(INT((MONTH($L$2)-1)/3)+1,1,2,3,4)),""))</x:f>
        <x:v>183</x:v>
      </x:c>
      <x:c r="I25" s="38">
        <x:f t="shared" si="3"/>
        <x:v>47</x:v>
      </x:c>
      <x:c r="J25" s="38">
        <x:f t="shared" si="4"/>
        <x:v>-31</x:v>
      </x:c>
      <x:c r="K25" s="38">
        <x:f t="shared" si="5"/>
        <x:v>9</x:v>
      </x:c>
      <x:c r="L25" s="63">
        <x:f t="shared" si="6"/>
        <x:v>25</x:v>
      </x:c>
      <x:c r="M25" s="39">
        <x:f t="shared" si="7"/>
        <x:v>8.3333333333333428</x:v>
      </x:c>
      <x:c r="S25" s="107">
        <x:f t="shared" si="0"/>
        <x:v>78</x:v>
      </x:c>
      <x:c r="T25" s="97">
        <x:f t="shared" si="2"/>
        <x:v>84135.33333333343</x:v>
      </x:c>
      <x:c r="U25" s="91">
        <x:f t="shared" si="1"/>
        <x:v>6</x:v>
      </x:c>
      <x:c r="V25" s="108"/>
    </x:row>
    <x:row r="26" spans="1:22" ht="24.949999999999999" customHeight="1">
      <x:c r="A26" s="12">
        <x:v>23</x:v>
      </x:c>
      <x:c r="B26" s="13" t="s">
        <x:v>43</x:v>
      </x:c>
      <x:c r="C26" s="62">
        <x:v>199</x:v>
      </x:c>
      <x:c r="D26" s="62">
        <x:v>242</x:v>
      </x:c>
      <x:c r="E26" s="62">
        <x:v>208</x:v>
      </x:c>
      <x:c r="F26" s="44">
        <x:f t="shared" si="8"/>
        <x:v>649</x:v>
      </x:c>
      <x:c r="G26" s="45">
        <x:f t="shared" si="9"/>
        <x:v>216.33333333333334</x:v>
      </x:c>
      <x:c r="H26" s="34">
        <x:f t="array" ref="H26:H26">IF(B26="","",IFERROR(INDEX('회원명단 및 기준에버'!D:G,MATCH(B26,'회원명단 및 기준에버'!$C:$C,0),CHOOSE(INT((MONTH($L$2)-1)/3)+1,1,2,3,4)),""))</x:f>
        <x:v>188</x:v>
      </x:c>
      <x:c r="I26" s="38">
        <x:f t="shared" si="3"/>
        <x:v>11</x:v>
      </x:c>
      <x:c r="J26" s="38">
        <x:f t="shared" si="4"/>
        <x:v>54</x:v>
      </x:c>
      <x:c r="K26" s="38">
        <x:f t="shared" si="5"/>
        <x:v>20</x:v>
      </x:c>
      <x:c r="L26" s="63">
        <x:f t="shared" si="6"/>
        <x:v>85</x:v>
      </x:c>
      <x:c r="M26" s="39">
        <x:f t="shared" si="7"/>
        <x:v>28.333333333333343</x:v>
      </x:c>
      <x:c r="S26" s="107">
        <x:f t="shared" si="0"/>
        <x:v>43</x:v>
      </x:c>
      <x:c r="T26" s="97">
        <x:f t="shared" si="2"/>
        <x:v>283786.33333333343</x:v>
      </x:c>
      <x:c r="U26" s="91">
        <x:f t="shared" si="1"/>
        <x:v>1</x:v>
      </x:c>
      <x:c r="V26" s="108"/>
    </x:row>
    <x:row r="27" spans="1:22" ht="24.949999999999999" customHeight="1">
      <x:c r="A27" s="12">
        <x:v>24</x:v>
      </x:c>
      <x:c r="B27" s="13" t="s">
        <x:v>59</x:v>
      </x:c>
      <x:c r="C27" s="62">
        <x:v>187</x:v>
      </x:c>
      <x:c r="D27" s="62">
        <x:v>188</x:v>
      </x:c>
      <x:c r="E27" s="62">
        <x:v>168</x:v>
      </x:c>
      <x:c r="F27" s="44">
        <x:f t="shared" si="8"/>
        <x:v>543</x:v>
      </x:c>
      <x:c r="G27" s="45">
        <x:f t="shared" si="9"/>
        <x:v>181</x:v>
      </x:c>
      <x:c r="H27" s="34" t="str">
        <x:f t="array" ref="H27:H27">IF(B27="","",IFERROR(INDEX('회원명단 및 기준에버'!D:G,MATCH(B27,'회원명단 및 기준에버'!$C:$C,0),CHOOSE(INT((MONTH($L$2)-1)/3)+1,1,2,3,4)),""))</x:f>
        <x:v/>
      </x:c>
      <x:c r="I27" s="38">
        <x:f t="shared" si="3"/>
        <x:v>0</x:v>
      </x:c>
      <x:c r="J27" s="38">
        <x:f t="shared" si="4"/>
        <x:v>0</x:v>
      </x:c>
      <x:c r="K27" s="38">
        <x:f t="shared" si="5"/>
        <x:v>0</x:v>
      </x:c>
      <x:c r="L27" s="63">
        <x:f t="shared" si="6"/>
        <x:v>0</x:v>
      </x:c>
      <x:c r="M27" s="39">
        <x:f t="shared" si="7"/>
        <x:v>0</x:v>
      </x:c>
      <x:c r="S27" s="107">
        <x:f t="shared" si="0"/>
        <x:v>20</x:v>
      </x:c>
      <x:c r="T27" s="97">
        <x:f t="shared" si="2"/>
        <x:v>224</x:v>
      </x:c>
      <x:c r="U27" s="91">
        <x:f t="shared" si="1"/>
        <x:v>12</x:v>
      </x:c>
      <x:c r="V27" s="108"/>
    </x:row>
    <x:row r="28" spans="1:22" ht="24.949999999999999" customHeight="1">
      <x:c r="A28" s="12">
        <x:v>25</x:v>
      </x:c>
      <x:c r="B28" s="13" t="s">
        <x:v>41</x:v>
      </x:c>
      <x:c r="C28" s="62">
        <x:v>167</x:v>
      </x:c>
      <x:c r="D28" s="62">
        <x:v>147</x:v>
      </x:c>
      <x:c r="E28" s="62">
        <x:v>171</x:v>
      </x:c>
      <x:c r="F28" s="44">
        <x:f>SUM(C28:E28)</x:f>
        <x:v>485</x:v>
      </x:c>
      <x:c r="G28" s="45">
        <x:f>F28/3</x:f>
        <x:v>161.66666666666666</x:v>
      </x:c>
      <x:c r="H28" s="34">
        <x:f t="array" ref="H28:H28">IF(B28="","",IFERROR(INDEX('회원명단 및 기준에버'!D:G,MATCH(B28,'회원명단 및 기준에버'!$C:$C,0),CHOOSE(INT((MONTH($L$2)-1)/3)+1,1,2,3,4)),""))</x:f>
        <x:v>161</x:v>
      </x:c>
      <x:c r="I28" s="38">
        <x:f>IFERROR(C28+-H28,0)</x:f>
        <x:v>6</x:v>
      </x:c>
      <x:c r="J28" s="38">
        <x:f>IFERROR(D28+-H28,0)</x:f>
        <x:v>-14</x:v>
      </x:c>
      <x:c r="K28" s="38">
        <x:f>IFERROR(E28+-H28,0)</x:f>
        <x:v>10</x:v>
      </x:c>
      <x:c r="L28" s="63">
        <x:f>SUM(I28:K28)</x:f>
        <x:v>2</x:v>
      </x:c>
      <x:c r="M28" s="39">
        <x:f>IFERROR(G28+-H28,0)</x:f>
        <x:v>0.66666666666665719</x:v>
      </x:c>
      <x:c r="S28" s="107">
        <x:f t="shared" si="0"/>
        <x:v>24</x:v>
      </x:c>
      <x:c r="T28" s="97">
        <x:f t="shared" si="2"/>
        <x:v>6931.6666666665715</x:v>
      </x:c>
      <x:c r="U28" s="91">
        <x:f t="shared" si="1"/>
        <x:v>11</x:v>
      </x:c>
      <x:c r="V28" s="108"/>
    </x:row>
    <x:row r="29" spans="2:13" s="18" customFormat="1" ht="24.949999999999999" customHeight="1">
      <x:c r="B29" s="168" t="s">
        <x:v>63</x:v>
      </x:c>
      <x:c r="C29" s="169"/>
      <x:c r="D29" s="169"/>
      <x:c r="E29" s="169"/>
      <x:c r="F29" s="169"/>
      <x:c r="G29" s="169"/>
      <x:c r="H29" s="169"/>
      <x:c r="I29" s="169"/>
      <x:c r="J29" s="169"/>
      <x:c r="K29" s="169"/>
      <x:c r="L29" s="169"/>
      <x:c r="M29" s="170"/>
    </x:row>
    <x:row r="30" spans="2:13" s="18" customFormat="1" ht="24.949999999999999" customHeight="1">
      <x:c r="B30" s="171" t="s">
        <x:v>68</x:v>
      </x:c>
      <x:c r="C30" s="172"/>
      <x:c r="D30" s="172"/>
      <x:c r="E30" s="173"/>
      <x:c r="F30" s="174" t="s">
        <x:v>28</x:v>
      </x:c>
      <x:c r="G30" s="176" t="s">
        <x:v>14</x:v>
      </x:c>
      <x:c r="H30" s="177"/>
      <x:c r="I30" s="178"/>
      <x:c r="J30" s="179" t="s">
        <x:v>55</x:v>
      </x:c>
      <x:c r="K30" s="180"/>
      <x:c r="L30" s="180"/>
      <x:c r="M30" s="181"/>
    </x:row>
    <x:row r="31" spans="2:13" s="18" customFormat="1" ht="24.949999999999999" customHeight="1">
      <x:c r="B31" s="54" t="s">
        <x:v>43</x:v>
      </x:c>
      <x:c r="C31" s="24">
        <x:v>28.300000000000001</x:v>
      </x:c>
      <x:c r="D31" s="55" t="s">
        <x:v>45</x:v>
      </x:c>
      <x:c r="E31" s="56">
        <x:v>14</x:v>
      </x:c>
      <x:c r="F31" s="175"/>
      <x:c r="G31" s="182" t="s">
        <x:v>62</x:v>
      </x:c>
      <x:c r="H31" s="183"/>
      <x:c r="I31" s="184"/>
      <x:c r="J31" s="26" t="s">
        <x:v>42</x:v>
      </x:c>
      <x:c r="K31" s="27"/>
      <x:c r="L31" s="27"/>
      <x:c r="M31" s="28"/>
    </x:row>
    <x:row r="32" spans="2:13" s="18" customFormat="1" ht="24.949999999999999" customHeight="1">
      <x:c r="B32" s="155" t="s">
        <x:v>29</x:v>
      </x:c>
      <x:c r="C32" s="156"/>
      <x:c r="D32" s="156"/>
      <x:c r="E32" s="156"/>
      <x:c r="F32" s="156"/>
      <x:c r="G32" s="156"/>
      <x:c r="H32" s="157"/>
      <x:c r="I32" s="158" t="s">
        <x:v>66</x:v>
      </x:c>
      <x:c r="J32" s="159"/>
      <x:c r="K32" s="160" t="s">
        <x:v>67</x:v>
      </x:c>
      <x:c r="L32" s="161"/>
      <x:c r="M32" s="162"/>
    </x:row>
    <x:row r="33" spans="2:13" s="18" customFormat="1" ht="24.949999999999999" customHeight="1">
      <x:c r="B33" s="21"/>
      <x:c r="C33" s="64"/>
      <x:c r="D33" s="32"/>
      <x:c r="E33" s="67"/>
      <x:c r="F33" s="30"/>
      <x:c r="G33" s="70"/>
      <x:c r="H33" s="157"/>
      <x:c r="I33" s="23"/>
      <x:c r="J33" s="50"/>
      <x:c r="K33" s="57"/>
      <x:c r="L33" s="58"/>
      <x:c r="M33" s="59"/>
    </x:row>
    <x:row r="34" spans="2:13" s="18" customFormat="1" ht="24.949999999999999" customHeight="1">
      <x:c r="B34" s="46"/>
      <x:c r="C34" s="65"/>
      <x:c r="D34" s="47"/>
      <x:c r="E34" s="68"/>
      <x:c r="F34" s="48"/>
      <x:c r="G34" s="71"/>
      <x:c r="H34" s="157"/>
      <x:c r="I34" s="49"/>
      <x:c r="J34" s="51"/>
      <x:c r="K34" s="57"/>
      <x:c r="L34" s="58"/>
      <x:c r="M34" s="59"/>
    </x:row>
    <x:row r="35" spans="2:13" s="18" customFormat="1" ht="24.949999999999999" customHeight="1">
      <x:c r="B35" s="29"/>
      <x:c r="C35" s="66"/>
      <x:c r="D35" s="33"/>
      <x:c r="E35" s="69"/>
      <x:c r="F35" s="31"/>
      <x:c r="G35" s="72"/>
      <x:c r="H35" s="157"/>
      <x:c r="I35" s="24"/>
      <x:c r="J35" s="52"/>
      <x:c r="K35" s="60"/>
      <x:c r="L35" s="53"/>
      <x:c r="M35" s="61"/>
    </x:row>
    <x:row r="36" spans="1:13" s="18" customFormat="1" ht="24.949999999999999" customHeight="1">
      <x:c r="A36" s="17"/>
      <x:c r="B36" s="163" t="s">
        <x:v>51</x:v>
      </x:c>
      <x:c r="C36" s="164"/>
      <x:c r="D36" s="164"/>
      <x:c r="E36" s="164"/>
      <x:c r="F36" s="164"/>
      <x:c r="G36" s="164"/>
      <x:c r="H36" s="164"/>
      <x:c r="I36" s="164"/>
      <x:c r="J36" s="164"/>
      <x:c r="K36" s="164"/>
      <x:c r="L36" s="164"/>
      <x:c r="M36" s="165"/>
    </x:row>
    <x:row r="37" spans="2:13" s="18" customFormat="1" ht="24.949999999999999" customHeight="1">
      <x:c r="B37" s="35" t="str">
        <x:f>$B4</x:f>
        <x:v>이 우 석</x:v>
      </x:c>
      <x:c r="C37" s="135">
        <x:f>IF($T$2=0,$C4,$I4)</x:f>
        <x:v>12</x:v>
      </x:c>
      <x:c r="D37" s="40">
        <x:f>IF($T$2=0,$D4,$J4)</x:f>
        <x:v>-9</x:v>
      </x:c>
      <x:c r="E37" s="40">
        <x:f>IF($T$2=0,$E4,$K4)</x:f>
        <x:v>18</x:v>
      </x:c>
      <x:c r="F37" s="141">
        <x:f>E40</x:f>
        <x:v>-6</x:v>
      </x:c>
      <x:c r="G37" s="144">
        <x:v>4</x:v>
      </x:c>
      <x:c r="H37" s="79" t="str">
        <x:f>$B9</x:f>
        <x:v>장 영 민</x:v>
      </x:c>
      <x:c r="I37" s="135">
        <x:f>IF($T$2=0,$C9,$I9)</x:f>
        <x:v>2</x:v>
      </x:c>
      <x:c r="J37" s="135">
        <x:f>IF($T$2=0,$D9,$J9)</x:f>
        <x:v>65</x:v>
      </x:c>
      <x:c r="K37" s="135">
        <x:f>IF($T$2=0,$E9,$K9)</x:f>
        <x:v>-38</x:v>
      </x:c>
      <x:c r="L37" s="149">
        <x:f>K37</x:f>
        <x:v>-38</x:v>
      </x:c>
      <x:c r="M37" s="152">
        <x:v>5</x:v>
      </x:c>
    </x:row>
    <x:row r="38" spans="2:13" s="18" customFormat="1" ht="24.949999999999999" customHeight="1">
      <x:c r="B38" s="36" t="str">
        <x:f>$B5</x:f>
        <x:v>김 정 희</x:v>
      </x:c>
      <x:c r="C38" s="41">
        <x:f>IF($T$2=0,$C5,$I5)</x:f>
        <x:v>-18</x:v>
      </x:c>
      <x:c r="D38" s="41">
        <x:f>IF($T$2=0,$D5,$J5)</x:f>
        <x:v>-33</x:v>
      </x:c>
      <x:c r="E38" s="41">
        <x:f>IF($T$2=0,$E5,$K5)</x:f>
        <x:v>23</x:v>
      </x:c>
      <x:c r="F38" s="142"/>
      <x:c r="G38" s="145"/>
      <x:c r="H38" s="36" t="str">
        <x:f>$B10</x:f>
        <x:v>김 태 환</x:v>
      </x:c>
      <x:c r="I38" s="134">
        <x:f>IF($T$2=0,$C10,$I10)</x:f>
        <x:v>4</x:v>
      </x:c>
      <x:c r="J38" s="41">
        <x:f>IF($T$2=0,$D10,$J10)</x:f>
        <x:v>-35</x:v>
      </x:c>
      <x:c r="K38" s="41">
        <x:f>IF($T$2=0,$E10,$K10)</x:f>
        <x:v>18</x:v>
      </x:c>
      <x:c r="L38" s="150"/>
      <x:c r="M38" s="153"/>
    </x:row>
    <x:row r="39" spans="2:13" s="18" customFormat="1" ht="24.949999999999999" customHeight="1">
      <x:c r="B39" s="36" t="str">
        <x:f>$B6</x:f>
        <x:v>이 정 석</x:v>
      </x:c>
      <x:c r="C39" s="41">
        <x:f>IF($T$2=0,$C6,$I6)</x:f>
        <x:v>-14</x:v>
      </x:c>
      <x:c r="D39" s="41">
        <x:f>IF($T$2=0,$D6,$J6)</x:f>
        <x:v>5</x:v>
      </x:c>
      <x:c r="E39" s="41">
        <x:f>IF($T$2=0,$E6,$K6)</x:f>
        <x:v>-4</x:v>
      </x:c>
      <x:c r="F39" s="142"/>
      <x:c r="G39" s="145"/>
      <x:c r="H39" s="36" t="str">
        <x:f>$B11</x:f>
        <x:v>천 성 일</x:v>
      </x:c>
      <x:c r="I39" s="134">
        <x:f>IF($T$2=0,$C11,$I11)</x:f>
        <x:v>-16</x:v>
      </x:c>
      <x:c r="J39" s="41">
        <x:f>IF($T$2=0,$D11,$J11)</x:f>
        <x:v>-12</x:v>
      </x:c>
      <x:c r="K39" s="41">
        <x:f>IF($T$2=0,$E11,$K11)</x:f>
        <x:v>-64</x:v>
      </x:c>
      <x:c r="L39" s="150"/>
      <x:c r="M39" s="153"/>
    </x:row>
    <x:row r="40" spans="2:13" s="18" customFormat="1" ht="24.949999999999999" customHeight="1">
      <x:c r="B40" s="36" t="str">
        <x:f>$B7</x:f>
        <x:v>황 인 교</x:v>
      </x:c>
      <x:c r="C40" s="134">
        <x:f>IF($T$2=0,$C7,$I7)</x:f>
        <x:v>-1</x:v>
      </x:c>
      <x:c r="D40" s="134">
        <x:f>IF($T$2=0,$D7,$J7)</x:f>
        <x:v>29</x:v>
      </x:c>
      <x:c r="E40" s="134">
        <x:f>IF($T$2=0,$E7,$K7)</x:f>
        <x:v>-6</x:v>
      </x:c>
      <x:c r="F40" s="142"/>
      <x:c r="G40" s="145"/>
      <x:c r="H40" s="36" t="str">
        <x:f>$B12</x:f>
        <x:v>진 명 옥</x:v>
      </x:c>
      <x:c r="I40" s="41">
        <x:f>IF($T$2=0,$C12,$I12)</x:f>
        <x:v>-22</x:v>
      </x:c>
      <x:c r="J40" s="41">
        <x:f>IF($T$2=0,$D12,$J12)</x:f>
        <x:v>-2</x:v>
      </x:c>
      <x:c r="K40" s="41">
        <x:f>IF($T$2=0,$E12,$K12)</x:f>
        <x:v>-8</x:v>
      </x:c>
      <x:c r="L40" s="150"/>
      <x:c r="M40" s="153"/>
    </x:row>
    <x:row r="41" spans="2:13" s="18" customFormat="1" ht="24.949999999999999" customHeight="1">
      <x:c r="B41" s="36" t="str">
        <x:f>$B8</x:f>
        <x:v>손 은 주</x:v>
      </x:c>
      <x:c r="C41" s="134">
        <x:f>IF($T$2=0,$C8,$I8)</x:f>
        <x:v>4</x:v>
      </x:c>
      <x:c r="D41" s="41">
        <x:f>IF($T$2=0,$D8,$J8)</x:f>
        <x:v>8</x:v>
      </x:c>
      <x:c r="E41" s="41">
        <x:f>IF($T$2=0,$E8,$K8)</x:f>
        <x:v>-4</x:v>
      </x:c>
      <x:c r="F41" s="142"/>
      <x:c r="G41" s="145"/>
      <x:c r="H41" s="36">
        <x:f>$B13</x:f>
        <x:v>0</x:v>
      </x:c>
      <x:c r="I41" s="41">
        <x:f>IF($T$2=0,$C13,$I13)</x:f>
        <x:v>0</x:v>
      </x:c>
      <x:c r="J41" s="41">
        <x:f>IF($T$2=0,$D13,$J13)</x:f>
        <x:v>0</x:v>
      </x:c>
      <x:c r="K41" s="41">
        <x:f>IF($T$2=0,$E13,$K13)</x:f>
        <x:v>0</x:v>
      </x:c>
      <x:c r="L41" s="150"/>
      <x:c r="M41" s="153"/>
    </x:row>
    <x:row r="42" spans="2:13" s="18" customFormat="1" ht="24.949999999999999" customHeight="1">
      <x:c r="B42" s="37"/>
      <x:c r="C42" s="42">
        <x:f>SUM(C37:C41)</x:f>
        <x:v>-17</x:v>
      </x:c>
      <x:c r="D42" s="42">
        <x:f>SUM(D37:D41)</x:f>
        <x:v>0</x:v>
      </x:c>
      <x:c r="E42" s="42">
        <x:f>SUM(E37:E41)</x:f>
        <x:v>27</x:v>
      </x:c>
      <x:c r="F42" s="143"/>
      <x:c r="G42" s="146"/>
      <x:c r="H42" s="37"/>
      <x:c r="I42" s="42">
        <x:f>SUM(I37:I41)</x:f>
        <x:v>-32</x:v>
      </x:c>
      <x:c r="J42" s="42">
        <x:f>SUM(J37:J41)</x:f>
        <x:v>16</x:v>
      </x:c>
      <x:c r="K42" s="42">
        <x:f>SUM(K37:K41)</x:f>
        <x:v>-92</x:v>
      </x:c>
      <x:c r="L42" s="151"/>
      <x:c r="M42" s="154"/>
    </x:row>
    <x:row r="43" s="18" customFormat="1" ht="24.949999999999999" customHeight="1"/>
    <x:row r="44" spans="2:13" s="18" customFormat="1" ht="24.949999999999999" customHeight="1">
      <x:c r="B44" s="35" t="str">
        <x:f>$B14</x:f>
        <x:v>이 대 용</x:v>
      </x:c>
      <x:c r="C44" s="135">
        <x:f>IF($T$2=0,$C14,$I14)</x:f>
        <x:v>1</x:v>
      </x:c>
      <x:c r="D44" s="135">
        <x:f>IF($T$2=0,$D14,$J14)</x:f>
        <x:v>-8</x:v>
      </x:c>
      <x:c r="E44" s="135">
        <x:f>IF($T$2=0,$E14,$K14)</x:f>
        <x:v>-4</x:v>
      </x:c>
      <x:c r="F44" s="141">
        <x:f>E44</x:f>
        <x:v>-4</x:v>
      </x:c>
      <x:c r="G44" s="144">
        <x:v>3</x:v>
      </x:c>
      <x:c r="H44" s="79" t="str">
        <x:f>$B19</x:f>
        <x:v>임 승 기</x:v>
      </x:c>
      <x:c r="I44" s="135">
        <x:f>IF($T$2=0,$C19,$I19)</x:f>
        <x:v>-7</x:v>
      </x:c>
      <x:c r="J44" s="135">
        <x:f>IF($T$2=0,$D19,$J19)</x:f>
        <x:v>36</x:v>
      </x:c>
      <x:c r="K44" s="135">
        <x:f>IF($T$2=0,$E19,$K19)</x:f>
        <x:v>22</x:v>
      </x:c>
      <x:c r="L44" s="149">
        <x:f>K44</x:f>
        <x:v>22</x:v>
      </x:c>
      <x:c r="M44" s="152">
        <x:v>1</x:v>
      </x:c>
    </x:row>
    <x:row r="45" spans="2:13" s="17" customFormat="1" ht="24.949999999999999" customHeight="1">
      <x:c r="B45" s="36" t="str">
        <x:f>$B15</x:f>
        <x:v>김 미 란</x:v>
      </x:c>
      <x:c r="C45" s="134">
        <x:f>IF($T$2=0,$C15,$I15)</x:f>
        <x:v>41</x:v>
      </x:c>
      <x:c r="D45" s="41">
        <x:f>IF($T$2=0,$D15,$J15)</x:f>
        <x:v>-8</x:v>
      </x:c>
      <x:c r="E45" s="41">
        <x:f>IF($T$2=0,$E15,$K15)</x:f>
        <x:v>9</x:v>
      </x:c>
      <x:c r="F45" s="142"/>
      <x:c r="G45" s="145"/>
      <x:c r="H45" s="36" t="str">
        <x:f>$B20</x:f>
        <x:v>임 연 진</x:v>
      </x:c>
      <x:c r="I45" s="134">
        <x:f>IF($T$2=0,$C20,$I20)</x:f>
        <x:v>-1</x:v>
      </x:c>
      <x:c r="J45" s="41">
        <x:f>IF($T$2=0,$D20,$J20)</x:f>
        <x:v>-18</x:v>
      </x:c>
      <x:c r="K45" s="41">
        <x:f>IF($T$2=0,$E20,$K20)</x:f>
        <x:v>-19</x:v>
      </x:c>
      <x:c r="L45" s="150"/>
      <x:c r="M45" s="153"/>
    </x:row>
    <x:row r="46" spans="2:13" s="17" customFormat="1" ht="24.949999999999999" customHeight="1">
      <x:c r="B46" s="36" t="str">
        <x:f>$B16</x:f>
        <x:v>이 승 미</x:v>
      </x:c>
      <x:c r="C46" s="134">
        <x:f>IF($T$2=0,$C16,$I16)</x:f>
        <x:v>23</x:v>
      </x:c>
      <x:c r="D46" s="41">
        <x:f>IF($T$2=0,$D16,$J16)</x:f>
        <x:v>-8</x:v>
      </x:c>
      <x:c r="E46" s="41">
        <x:f>IF($T$2=0,$E16,$K16)</x:f>
        <x:v>-33</x:v>
      </x:c>
      <x:c r="F46" s="142"/>
      <x:c r="G46" s="145"/>
      <x:c r="H46" s="36" t="str">
        <x:f>$B21</x:f>
        <x:v>고 경 훈</x:v>
      </x:c>
      <x:c r="I46" s="41">
        <x:f>IF($T$2=0,$C21,$I21)</x:f>
        <x:v>-62</x:v>
      </x:c>
      <x:c r="J46" s="41">
        <x:f>IF($T$2=0,$D21,$J21)</x:f>
        <x:v>35</x:v>
      </x:c>
      <x:c r="K46" s="41">
        <x:f>IF($T$2=0,$E21,$K21)</x:f>
        <x:v>-1</x:v>
      </x:c>
      <x:c r="L46" s="150"/>
      <x:c r="M46" s="153"/>
    </x:row>
    <x:row r="47" spans="2:13" s="17" customFormat="1" ht="24.949999999999999" customHeight="1">
      <x:c r="B47" s="36" t="str">
        <x:f>$B17</x:f>
        <x:v>나 경 주</x:v>
      </x:c>
      <x:c r="C47" s="41">
        <x:f>IF($T$2=0,$C17,$I17)</x:f>
        <x:v>-25</x:v>
      </x:c>
      <x:c r="D47" s="41">
        <x:f>IF($T$2=0,$D17,$J17)</x:f>
        <x:v>-45</x:v>
      </x:c>
      <x:c r="E47" s="41">
        <x:f>IF($T$2=0,$E17,$K17)</x:f>
        <x:v>-7</x:v>
      </x:c>
      <x:c r="F47" s="142"/>
      <x:c r="G47" s="145"/>
      <x:c r="H47" s="36" t="str">
        <x:f>$B22</x:f>
        <x:v>김 종 훈</x:v>
      </x:c>
      <x:c r="I47" s="134">
        <x:f>IF($T$2=0,$C22,$I22)</x:f>
        <x:v>-29</x:v>
      </x:c>
      <x:c r="J47" s="41">
        <x:f>IF($T$2=0,$D22,$J22)</x:f>
        <x:v>-39</x:v>
      </x:c>
      <x:c r="K47" s="41">
        <x:f>IF($T$2=0,$E22,$K22)</x:f>
        <x:v>-31</x:v>
      </x:c>
      <x:c r="L47" s="150"/>
      <x:c r="M47" s="153"/>
    </x:row>
    <x:row r="48" spans="2:13" s="17" customFormat="1" ht="24.949999999999999" customHeight="1">
      <x:c r="B48" s="36" t="str">
        <x:f>$B18</x:f>
        <x:v>박 성 현</x:v>
      </x:c>
      <x:c r="C48" s="41">
        <x:f>IF($T$2=0,$C18,$I18)</x:f>
        <x:v>-45</x:v>
      </x:c>
      <x:c r="D48" s="41">
        <x:f>IF($T$2=0,$D18,$J18)</x:f>
        <x:v>79</x:v>
      </x:c>
      <x:c r="E48" s="41">
        <x:f>IF($T$2=0,$E18,$K18)</x:f>
        <x:v>11</x:v>
      </x:c>
      <x:c r="F48" s="142"/>
      <x:c r="G48" s="145"/>
      <x:c r="H48" s="36">
        <x:f>$B23</x:f>
        <x:v>0</x:v>
      </x:c>
      <x:c r="I48" s="41">
        <x:f>IF($T$2=0,$C23,$I23)</x:f>
        <x:v>0</x:v>
      </x:c>
      <x:c r="J48" s="41">
        <x:f>IF($T$2=0,$D23,$J23)</x:f>
        <x:v>0</x:v>
      </x:c>
      <x:c r="K48" s="41">
        <x:f>IF($T$2=0,$E23,$K23)</x:f>
        <x:v>0</x:v>
      </x:c>
      <x:c r="L48" s="150"/>
      <x:c r="M48" s="153"/>
    </x:row>
    <x:row r="49" spans="2:13" s="17" customFormat="1" ht="24.949999999999999" customHeight="1">
      <x:c r="B49" s="37"/>
      <x:c r="C49" s="42">
        <x:f>SUM(C44:C48)</x:f>
        <x:v>-5</x:v>
      </x:c>
      <x:c r="D49" s="42">
        <x:f>SUM(D44:D48)</x:f>
        <x:v>10</x:v>
      </x:c>
      <x:c r="E49" s="42">
        <x:f>SUM(E44:E48)</x:f>
        <x:v>-24</x:v>
      </x:c>
      <x:c r="F49" s="143"/>
      <x:c r="G49" s="146"/>
      <x:c r="H49" s="37"/>
      <x:c r="I49" s="42">
        <x:f>SUM(I44:I48)</x:f>
        <x:v>-99</x:v>
      </x:c>
      <x:c r="J49" s="42">
        <x:f>SUM(J44:J48)</x:f>
        <x:v>14</x:v>
      </x:c>
      <x:c r="K49" s="42">
        <x:f>SUM(K44:K48)</x:f>
        <x:v>-29</x:v>
      </x:c>
      <x:c r="L49" s="151"/>
      <x:c r="M49" s="154"/>
    </x:row>
    <x:row r="50" spans="7:14" ht="24.949999999999999" customHeight="1">
      <x:c r="G50" s="5"/>
      <x:c r="H50" s="5"/>
      <x:c r="I50" s="5"/>
      <x:c r="J50" s="5"/>
      <x:c r="K50" s="5"/>
      <x:c r="L50" s="5"/>
      <x:c r="M50" s="5"/>
      <x:c r="N50" s="5"/>
    </x:row>
    <x:row r="51" spans="2:14" ht="24.949999999999999" customHeight="1">
      <x:c r="B51" s="35" t="str">
        <x:f>$B24</x:f>
        <x:v>변 상 필</x:v>
      </x:c>
      <x:c r="C51" s="135">
        <x:f>IF($T$2=0,$C24,$I24)</x:f>
        <x:v>42</x:v>
      </x:c>
      <x:c r="D51" s="40">
        <x:f>IF($T$2=0,$D24,$J24)</x:f>
        <x:v>-39</x:v>
      </x:c>
      <x:c r="E51" s="40">
        <x:f>IF($T$2=0,$E24,$K24)</x:f>
        <x:v>2</x:v>
      </x:c>
      <x:c r="F51" s="141">
        <x:f>E53</x:f>
        <x:v>20</x:v>
      </x:c>
      <x:c r="G51" s="144">
        <x:v>2</x:v>
      </x:c>
      <x:c r="H51" s="130"/>
      <x:c r="I51" s="131"/>
      <x:c r="J51" s="131"/>
      <x:c r="K51" s="131"/>
      <x:c r="L51" s="124"/>
      <x:c r="M51" s="125"/>
      <x:c r="N51" s="5"/>
    </x:row>
    <x:row r="52" spans="2:14" ht="24.949999999999999" customHeight="1">
      <x:c r="B52" s="36" t="str">
        <x:f>$B25</x:f>
        <x:v>지 옥 명</x:v>
      </x:c>
      <x:c r="C52" s="134">
        <x:f>IF($T$2=0,$C25,$I25)</x:f>
        <x:v>47</x:v>
      </x:c>
      <x:c r="D52" s="41">
        <x:f>IF($T$2=0,$D25,$J25)</x:f>
        <x:v>-31</x:v>
      </x:c>
      <x:c r="E52" s="41">
        <x:f>IF($T$2=0,$E25,$K25)</x:f>
        <x:v>9</x:v>
      </x:c>
      <x:c r="F52" s="142"/>
      <x:c r="G52" s="145"/>
      <x:c r="H52" s="130"/>
      <x:c r="I52" s="131"/>
      <x:c r="J52" s="131"/>
      <x:c r="K52" s="131"/>
      <x:c r="L52" s="124"/>
      <x:c r="M52" s="125"/>
      <x:c r="N52" s="5"/>
    </x:row>
    <x:row r="53" spans="2:14" ht="24.949999999999999" customHeight="1">
      <x:c r="B53" s="36" t="str">
        <x:f>$B26</x:f>
        <x:v>이 상 현</x:v>
      </x:c>
      <x:c r="C53" s="134">
        <x:f>IF($T$2=0,$C26,$I26)</x:f>
        <x:v>11</x:v>
      </x:c>
      <x:c r="D53" s="134">
        <x:f>IF($T$2=0,$D26,$J26)</x:f>
        <x:v>54</x:v>
      </x:c>
      <x:c r="E53" s="134">
        <x:f>IF($T$2=0,$E26,$K26)</x:f>
        <x:v>20</x:v>
      </x:c>
      <x:c r="F53" s="142"/>
      <x:c r="G53" s="145"/>
      <x:c r="H53" s="130"/>
      <x:c r="I53" s="131"/>
      <x:c r="J53" s="131"/>
      <x:c r="K53" s="131"/>
      <x:c r="L53" s="124"/>
      <x:c r="M53" s="125"/>
      <x:c r="N53" s="5"/>
    </x:row>
    <x:row r="54" spans="2:14" ht="24.949999999999999" customHeight="1">
      <x:c r="B54" s="36" t="str">
        <x:f>$B27</x:f>
        <x:v>최  진</x:v>
      </x:c>
      <x:c r="C54" s="41">
        <x:f>IF($T$2=0,$C27,$I27)</x:f>
        <x:v>0</x:v>
      </x:c>
      <x:c r="D54" s="41">
        <x:f>IF($T$2=0,$D27,$J27)</x:f>
        <x:v>0</x:v>
      </x:c>
      <x:c r="E54" s="41">
        <x:f>IF($T$2=0,$E27,$K27)</x:f>
        <x:v>0</x:v>
      </x:c>
      <x:c r="F54" s="142"/>
      <x:c r="G54" s="145"/>
      <x:c r="H54" s="130"/>
      <x:c r="I54" s="131"/>
      <x:c r="J54" s="131"/>
      <x:c r="K54" s="131"/>
      <x:c r="L54" s="124"/>
      <x:c r="M54" s="125"/>
      <x:c r="N54" s="5"/>
    </x:row>
    <x:row r="55" spans="2:14" ht="24.949999999999999" customHeight="1">
      <x:c r="B55" s="36" t="str">
        <x:f>$B28</x:f>
        <x:v>김 선 미</x:v>
      </x:c>
      <x:c r="C55" s="41">
        <x:f>IF($T$2=0,$C28,$I28)</x:f>
        <x:v>6</x:v>
      </x:c>
      <x:c r="D55" s="41">
        <x:f>IF($T$2=0,$D28,$J28)</x:f>
        <x:v>-14</x:v>
      </x:c>
      <x:c r="E55" s="41">
        <x:f>IF($T$2=0,$E28,$K28)</x:f>
        <x:v>10</x:v>
      </x:c>
      <x:c r="F55" s="142"/>
      <x:c r="G55" s="145"/>
      <x:c r="H55" s="130"/>
      <x:c r="I55" s="131"/>
      <x:c r="J55" s="131"/>
      <x:c r="K55" s="131"/>
      <x:c r="L55" s="124"/>
      <x:c r="M55" s="125"/>
      <x:c r="N55" s="5"/>
    </x:row>
    <x:row r="56" spans="2:14" ht="24.949999999999999" customHeight="1">
      <x:c r="B56" s="37"/>
      <x:c r="C56" s="42">
        <x:f>SUM(C51:C55)</x:f>
        <x:v>106</x:v>
      </x:c>
      <x:c r="D56" s="42">
        <x:f>SUM(D51:D55)</x:f>
        <x:v>-30</x:v>
      </x:c>
      <x:c r="E56" s="42">
        <x:f>SUM(E51:E55)</x:f>
        <x:v>41</x:v>
      </x:c>
      <x:c r="F56" s="143"/>
      <x:c r="G56" s="146"/>
      <x:c r="H56" s="130"/>
      <x:c r="I56" s="132"/>
      <x:c r="J56" s="132"/>
      <x:c r="K56" s="132"/>
      <x:c r="L56" s="124"/>
      <x:c r="M56" s="125"/>
      <x:c r="N56" s="5"/>
    </x:row>
    <x:row r="57" spans="7:14" ht="24.949999999999999" customHeight="1">
      <x:c r="G57" s="5"/>
      <x:c r="H57" s="5"/>
      <x:c r="I57" s="5"/>
      <x:c r="J57" s="5"/>
      <x:c r="K57" s="5"/>
      <x:c r="L57" s="5"/>
      <x:c r="M57" s="5"/>
      <x:c r="N57" s="5"/>
    </x:row>
    <x:row r="58" ht="24.949999999999999" customHeight="1"/>
    <x:row r="59" ht="24.949999999999999" customHeight="1"/>
    <x:row r="60" spans="1:13" ht="60" customHeight="1">
      <x:c r="A60" s="185" t="str">
        <x:f>A1</x:f>
        <x:v>2026 아르케 존 06회 정기 모임 점수</x:v>
      </x:c>
      <x:c r="B60" s="185"/>
      <x:c r="C60" s="185"/>
      <x:c r="D60" s="185"/>
      <x:c r="E60" s="185"/>
      <x:c r="F60" s="185"/>
      <x:c r="G60" s="185"/>
      <x:c r="H60" s="185"/>
      <x:c r="I60" s="185"/>
      <x:c r="J60" s="185"/>
      <x:c r="K60" s="185"/>
      <x:c r="L60" s="185"/>
      <x:c r="M60" s="185"/>
    </x:row>
    <x:row r="61" spans="1:13" ht="24.949999999999999" customHeight="1">
      <x:c r="A61" s="77"/>
      <x:c r="B61" s="77"/>
      <x:c r="C61" s="77"/>
      <x:c r="D61" s="77"/>
      <x:c r="E61" s="77"/>
      <x:c r="F61" s="77"/>
      <x:c r="G61" s="77"/>
      <x:c r="H61" s="77"/>
      <x:c r="I61" s="77"/>
      <x:c r="J61" s="77"/>
      <x:c r="K61" s="78" t="s">
        <x:v>8</x:v>
      </x:c>
      <x:c r="L61" s="166">
        <x:f>L2</x:f>
        <x:v>46100</x:v>
      </x:c>
      <x:c r="M61" s="167"/>
    </x:row>
    <x:row r="62" spans="1:13" ht="24.949999999999999" customHeight="1">
      <x:c r="A62" s="20"/>
      <x:c r="B62" s="14" t="s">
        <x:v>53</x:v>
      </x:c>
      <x:c r="C62" s="14" t="s">
        <x:v>2</x:v>
      </x:c>
      <x:c r="D62" s="14" t="s">
        <x:v>0</x:v>
      </x:c>
      <x:c r="E62" s="14" t="s">
        <x:v>10</x:v>
      </x:c>
      <x:c r="F62" s="14" t="s">
        <x:v>9</x:v>
      </x:c>
      <x:c r="G62" s="14" t="s">
        <x:v>6</x:v>
      </x:c>
      <x:c r="H62" s="16" t="s">
        <x:v>57</x:v>
      </x:c>
      <x:c r="I62" s="14" t="s">
        <x:v>2</x:v>
      </x:c>
      <x:c r="J62" s="14" t="s">
        <x:v>0</x:v>
      </x:c>
      <x:c r="K62" s="14" t="s">
        <x:v>10</x:v>
      </x:c>
      <x:c r="L62" s="15" t="s">
        <x:v>9</x:v>
      </x:c>
      <x:c r="M62" s="22" t="s">
        <x:v>13</x:v>
      </x:c>
    </x:row>
    <x:row r="63" spans="1:13" ht="24.949999999999999" customHeight="1">
      <x:c r="A63" s="12">
        <x:v>1</x:v>
      </x:c>
      <x:c r="B63" s="13" t="str">
        <x:f t="array" ref="B63:B63">INDEX($B$4:$M$28,MATCH($A63,$U$4:$U$28,0),COLUMN(A$1))</x:f>
        <x:v>이 상 현</x:v>
      </x:c>
      <x:c r="C63" s="62">
        <x:f t="array" ref="C63:C63">INDEX($B$4:$M$28,MATCH($A63,$U$4:$U$28,0),COLUMN(B$1))</x:f>
        <x:v>199</x:v>
      </x:c>
      <x:c r="D63" s="62">
        <x:f t="array" ref="D63:D63">INDEX($B$4:$M$28,MATCH($A63,$U$4:$U$28,0),COLUMN(C$1))</x:f>
        <x:v>242</x:v>
      </x:c>
      <x:c r="E63" s="62">
        <x:f t="array" ref="E63:E63">INDEX($B$4:$M$28,MATCH($A63,$U$4:$U$28,0),COLUMN(D$1))</x:f>
        <x:v>208</x:v>
      </x:c>
      <x:c r="F63" s="44">
        <x:f>SUM(C63:E63)</x:f>
        <x:v>649</x:v>
      </x:c>
      <x:c r="G63" s="45">
        <x:f>F63/3</x:f>
        <x:v>216.33333333333334</x:v>
      </x:c>
      <x:c r="H63" s="34">
        <x:f t="array" ref="H63:H63">IF(B63="","",IFERROR(INDEX('회원명단 및 기준에버'!D:G,MATCH(B63,'회원명단 및 기준에버'!$C:$C,0),CHOOSE(INT((MONTH($L$2)-1)/3)+1,1,2,3,4)),""))</x:f>
        <x:v>188</x:v>
      </x:c>
      <x:c r="I63" s="38">
        <x:f>IFERROR(C63+-H63,0)</x:f>
        <x:v>11</x:v>
      </x:c>
      <x:c r="J63" s="38">
        <x:f>IFERROR(D63+-H63,0)</x:f>
        <x:v>54</x:v>
      </x:c>
      <x:c r="K63" s="38">
        <x:f>IFERROR(E63+-H63,0)</x:f>
        <x:v>20</x:v>
      </x:c>
      <x:c r="L63" s="63">
        <x:f>SUM(I63:K63)</x:f>
        <x:v>85</x:v>
      </x:c>
      <x:c r="M63" s="39">
        <x:f>IFERROR(G63+-H63,0)</x:f>
        <x:v>28.333333333333343</x:v>
      </x:c>
    </x:row>
    <x:row r="64" spans="1:13" ht="24.949999999999999" customHeight="1">
      <x:c r="A64" s="12">
        <x:v>2</x:v>
      </x:c>
      <x:c r="B64" s="13" t="str">
        <x:f t="array" ref="B64:B64">INDEX($B$4:$M$28,MATCH($A64,$U$4:$U$28,0),COLUMN(A$1))</x:f>
        <x:v>임 승 기</x:v>
      </x:c>
      <x:c r="C64" s="62">
        <x:f t="array" ref="C64:C64">INDEX($B$4:$M$28,MATCH($A64,$U$4:$U$28,0),COLUMN(B$1))</x:f>
        <x:v>193</x:v>
      </x:c>
      <x:c r="D64" s="62">
        <x:f t="array" ref="D64:D64">INDEX($B$4:$M$28,MATCH($A64,$U$4:$U$28,0),COLUMN(C$1))</x:f>
        <x:v>236</x:v>
      </x:c>
      <x:c r="E64" s="62">
        <x:f t="array" ref="E64:E64">INDEX($B$4:$M$28,MATCH($A64,$U$4:$U$28,0),COLUMN(D$1))</x:f>
        <x:v>222</x:v>
      </x:c>
      <x:c r="F64" s="44">
        <x:f>SUM(C64:E64)</x:f>
        <x:v>651</x:v>
      </x:c>
      <x:c r="G64" s="45">
        <x:f>F64/3</x:f>
        <x:v>217</x:v>
      </x:c>
      <x:c r="H64" s="34">
        <x:f t="array" ref="H64:H64">IF(B64="","",IFERROR(INDEX('회원명단 및 기준에버'!D:G,MATCH(B64,'회원명단 및 기준에버'!$C:$C,0),CHOOSE(INT((MONTH($L$2)-1)/3)+1,1,2,3,4)),""))</x:f>
        <x:v>200</x:v>
      </x:c>
      <x:c r="I64" s="38">
        <x:f>IFERROR(C64+-H64,0)</x:f>
        <x:v>-7</x:v>
      </x:c>
      <x:c r="J64" s="38">
        <x:f>IFERROR(D64+-H64,0)</x:f>
        <x:v>36</x:v>
      </x:c>
      <x:c r="K64" s="38">
        <x:f>IFERROR(E64+-H64,0)</x:f>
        <x:v>22</x:v>
      </x:c>
      <x:c r="L64" s="63">
        <x:f>SUM(I64:K64)</x:f>
        <x:v>51</x:v>
      </x:c>
      <x:c r="M64" s="39">
        <x:f>IFERROR(G64+-H64,0)</x:f>
        <x:v>17</x:v>
      </x:c>
    </x:row>
    <x:row r="65" spans="1:13" ht="24.949999999999999" customHeight="1">
      <x:c r="A65" s="12">
        <x:v>3</x:v>
      </x:c>
      <x:c r="B65" s="13" t="str">
        <x:f t="array" ref="B65:B65">INDEX($B$4:$M$28,MATCH($A65,$U$4:$U$28,0),COLUMN(A$1))</x:f>
        <x:v>박 성 현</x:v>
      </x:c>
      <x:c r="C65" s="62">
        <x:f t="array" ref="C65:C65">INDEX($B$4:$M$28,MATCH($A65,$U$4:$U$28,0),COLUMN(B$1))</x:f>
        <x:v>145</x:v>
      </x:c>
      <x:c r="D65" s="62">
        <x:f t="array" ref="D65:D65">INDEX($B$4:$M$28,MATCH($A65,$U$4:$U$28,0),COLUMN(C$1))</x:f>
        <x:v>269</x:v>
      </x:c>
      <x:c r="E65" s="62">
        <x:f t="array" ref="E65:E65">INDEX($B$4:$M$28,MATCH($A65,$U$4:$U$28,0),COLUMN(D$1))</x:f>
        <x:v>201</x:v>
      </x:c>
      <x:c r="F65" s="44">
        <x:f>SUM(C65:E65)</x:f>
        <x:v>615</x:v>
      </x:c>
      <x:c r="G65" s="45">
        <x:f>F65/3</x:f>
        <x:v>205</x:v>
      </x:c>
      <x:c r="H65" s="34">
        <x:f t="array" ref="H65:H65">IF(B65="","",IFERROR(INDEX('회원명단 및 기준에버'!D:G,MATCH(B65,'회원명단 및 기준에버'!$C:$C,0),CHOOSE(INT((MONTH($L$2)-1)/3)+1,1,2,3,4)),""))</x:f>
        <x:v>190</x:v>
      </x:c>
      <x:c r="I65" s="38">
        <x:f t="shared" ref="I65:I85" si="10">IFERROR(C65+-H65,0)</x:f>
        <x:v>-45</x:v>
      </x:c>
      <x:c r="J65" s="38">
        <x:f t="shared" ref="J65:J85" si="11">IFERROR(D65+-H65,0)</x:f>
        <x:v>79</x:v>
      </x:c>
      <x:c r="K65" s="38">
        <x:f t="shared" ref="K65:K85" si="12">IFERROR(E65+-H65,0)</x:f>
        <x:v>11</x:v>
      </x:c>
      <x:c r="L65" s="63">
        <x:f t="shared" ref="L65:L85" si="13">SUM(I65:K65)</x:f>
        <x:v>45</x:v>
      </x:c>
      <x:c r="M65" s="39">
        <x:f t="shared" ref="M65:M85" si="14">IFERROR(G65+-H65,0)</x:f>
        <x:v>15</x:v>
      </x:c>
    </x:row>
    <x:row r="66" spans="1:13" ht="24.949999999999999" customHeight="1">
      <x:c r="A66" s="12">
        <x:v>4</x:v>
      </x:c>
      <x:c r="B66" s="13" t="str">
        <x:f t="array" ref="B66:B66">INDEX($B$4:$M$28,MATCH($A66,$U$4:$U$28,0),COLUMN(A$1))</x:f>
        <x:v>김 미 란</x:v>
      </x:c>
      <x:c r="C66" s="62">
        <x:f t="array" ref="C66:C66">INDEX($B$4:$M$28,MATCH($A66,$U$4:$U$28,0),COLUMN(B$1))</x:f>
        <x:v>223</x:v>
      </x:c>
      <x:c r="D66" s="62">
        <x:f t="array" ref="D66:D66">INDEX($B$4:$M$28,MATCH($A66,$U$4:$U$28,0),COLUMN(C$1))</x:f>
        <x:v>174</x:v>
      </x:c>
      <x:c r="E66" s="62">
        <x:f t="array" ref="E66:E66">INDEX($B$4:$M$28,MATCH($A66,$U$4:$U$28,0),COLUMN(D$1))</x:f>
        <x:v>191</x:v>
      </x:c>
      <x:c r="F66" s="44">
        <x:f>SUM(C66:E66)</x:f>
        <x:v>588</x:v>
      </x:c>
      <x:c r="G66" s="45">
        <x:f>F66/3</x:f>
        <x:v>196</x:v>
      </x:c>
      <x:c r="H66" s="34">
        <x:f t="array" ref="H66:H66">IF(B66="","",IFERROR(INDEX('회원명단 및 기준에버'!D:G,MATCH(B66,'회원명단 및 기준에버'!$C:$C,0),CHOOSE(INT((MONTH($L$2)-1)/3)+1,1,2,3,4)),""))</x:f>
        <x:v>182</x:v>
      </x:c>
      <x:c r="I66" s="38">
        <x:f t="shared" si="10"/>
        <x:v>41</x:v>
      </x:c>
      <x:c r="J66" s="38">
        <x:f t="shared" si="11"/>
        <x:v>-8</x:v>
      </x:c>
      <x:c r="K66" s="38">
        <x:f t="shared" si="12"/>
        <x:v>9</x:v>
      </x:c>
      <x:c r="L66" s="63">
        <x:f t="shared" si="13"/>
        <x:v>42</x:v>
      </x:c>
      <x:c r="M66" s="39">
        <x:f t="shared" si="14"/>
        <x:v>14</x:v>
      </x:c>
    </x:row>
    <x:row r="67" spans="1:13" ht="24.949999999999999" customHeight="1">
      <x:c r="A67" s="12">
        <x:v>5</x:v>
      </x:c>
      <x:c r="B67" s="13" t="str">
        <x:f t="array" ref="B67:B67">INDEX($B$4:$M$28,MATCH($A67,$U$4:$U$28,0),COLUMN(A$1))</x:f>
        <x:v>장 영 민</x:v>
      </x:c>
      <x:c r="C67" s="62">
        <x:f t="array" ref="C67:C67">INDEX($B$4:$M$28,MATCH($A67,$U$4:$U$28,0),COLUMN(B$1))</x:f>
        <x:v>202</x:v>
      </x:c>
      <x:c r="D67" s="62">
        <x:f t="array" ref="D67:D67">INDEX($B$4:$M$28,MATCH($A67,$U$4:$U$28,0),COLUMN(C$1))</x:f>
        <x:v>265</x:v>
      </x:c>
      <x:c r="E67" s="62">
        <x:f t="array" ref="E67:E67">INDEX($B$4:$M$28,MATCH($A67,$U$4:$U$28,0),COLUMN(D$1))</x:f>
        <x:v>162</x:v>
      </x:c>
      <x:c r="F67" s="44">
        <x:f t="shared" ref="F67:F85" si="15">SUM(C67:E67)</x:f>
        <x:v>629</x:v>
      </x:c>
      <x:c r="G67" s="45">
        <x:f t="shared" ref="G67:G85" si="16">F67/3</x:f>
        <x:v>209.66666666666666</x:v>
      </x:c>
      <x:c r="H67" s="34">
        <x:f t="array" ref="H67:H67">IF(B67="","",IFERROR(INDEX('회원명단 및 기준에버'!D:G,MATCH(B67,'회원명단 및 기준에버'!$C:$C,0),CHOOSE(INT((MONTH($L$2)-1)/3)+1,1,2,3,4)),""))</x:f>
        <x:v>200</x:v>
      </x:c>
      <x:c r="I67" s="38">
        <x:f t="shared" si="10"/>
        <x:v>2</x:v>
      </x:c>
      <x:c r="J67" s="38">
        <x:f t="shared" si="11"/>
        <x:v>65</x:v>
      </x:c>
      <x:c r="K67" s="38">
        <x:f t="shared" si="12"/>
        <x:v>-38</x:v>
      </x:c>
      <x:c r="L67" s="63">
        <x:f t="shared" si="13"/>
        <x:v>29</x:v>
      </x:c>
      <x:c r="M67" s="39">
        <x:f t="shared" si="14"/>
        <x:v>9.6666666666666572</x:v>
      </x:c>
    </x:row>
    <x:row r="68" spans="1:13" ht="24.949999999999999" customHeight="1">
      <x:c r="A68" s="12">
        <x:v>6</x:v>
      </x:c>
      <x:c r="B68" s="13" t="str">
        <x:f t="array" ref="B68:B68">INDEX($B$4:$M$28,MATCH($A68,$U$4:$U$28,0),COLUMN(A$1))</x:f>
        <x:v>지 옥 명</x:v>
      </x:c>
      <x:c r="C68" s="62">
        <x:f t="array" ref="C68:C68">INDEX($B$4:$M$28,MATCH($A68,$U$4:$U$28,0),COLUMN(B$1))</x:f>
        <x:v>230</x:v>
      </x:c>
      <x:c r="D68" s="62">
        <x:f t="array" ref="D68:D68">INDEX($B$4:$M$28,MATCH($A68,$U$4:$U$28,0),COLUMN(C$1))</x:f>
        <x:v>152</x:v>
      </x:c>
      <x:c r="E68" s="62">
        <x:f t="array" ref="E68:E68">INDEX($B$4:$M$28,MATCH($A68,$U$4:$U$28,0),COLUMN(D$1))</x:f>
        <x:v>192</x:v>
      </x:c>
      <x:c r="F68" s="44">
        <x:f t="shared" si="15"/>
        <x:v>574</x:v>
      </x:c>
      <x:c r="G68" s="45">
        <x:f t="shared" si="16"/>
        <x:v>191.33333333333334</x:v>
      </x:c>
      <x:c r="H68" s="34">
        <x:f t="array" ref="H68:H68">IF(B68="","",IFERROR(INDEX('회원명단 및 기준에버'!D:G,MATCH(B68,'회원명단 및 기준에버'!$C:$C,0),CHOOSE(INT((MONTH($L$2)-1)/3)+1,1,2,3,4)),""))</x:f>
        <x:v>183</x:v>
      </x:c>
      <x:c r="I68" s="38">
        <x:f t="shared" si="10"/>
        <x:v>47</x:v>
      </x:c>
      <x:c r="J68" s="38">
        <x:f t="shared" si="11"/>
        <x:v>-31</x:v>
      </x:c>
      <x:c r="K68" s="38">
        <x:f t="shared" si="12"/>
        <x:v>9</x:v>
      </x:c>
      <x:c r="L68" s="63">
        <x:f t="shared" si="13"/>
        <x:v>25</x:v>
      </x:c>
      <x:c r="M68" s="39">
        <x:f t="shared" si="14"/>
        <x:v>8.3333333333333428</x:v>
      </x:c>
    </x:row>
    <x:row r="69" spans="1:13" ht="24.949999999999999" customHeight="1">
      <x:c r="A69" s="12">
        <x:v>7</x:v>
      </x:c>
      <x:c r="B69" s="13" t="str">
        <x:f t="array" ref="B69:B69">INDEX($B$4:$M$28,MATCH($A69,$U$4:$U$28,0),COLUMN(A$1))</x:f>
        <x:v>황 인 교</x:v>
      </x:c>
      <x:c r="C69" s="62">
        <x:f t="array" ref="C69:C69">INDEX($B$4:$M$28,MATCH($A69,$U$4:$U$28,0),COLUMN(B$1))</x:f>
        <x:v>183</x:v>
      </x:c>
      <x:c r="D69" s="62">
        <x:f t="array" ref="D69:D69">INDEX($B$4:$M$28,MATCH($A69,$U$4:$U$28,0),COLUMN(C$1))</x:f>
        <x:v>213</x:v>
      </x:c>
      <x:c r="E69" s="62">
        <x:f t="array" ref="E69:E69">INDEX($B$4:$M$28,MATCH($A69,$U$4:$U$28,0),COLUMN(D$1))</x:f>
        <x:v>178</x:v>
      </x:c>
      <x:c r="F69" s="44">
        <x:f t="shared" si="15"/>
        <x:v>574</x:v>
      </x:c>
      <x:c r="G69" s="45">
        <x:f t="shared" si="16"/>
        <x:v>191.33333333333334</x:v>
      </x:c>
      <x:c r="H69" s="34">
        <x:f t="array" ref="H69:H69">IF(B69="","",IFERROR(INDEX('회원명단 및 기준에버'!D:G,MATCH(B69,'회원명단 및 기준에버'!$C:$C,0),CHOOSE(INT((MONTH($L$2)-1)/3)+1,1,2,3,4)),""))</x:f>
        <x:v>184</x:v>
      </x:c>
      <x:c r="I69" s="38">
        <x:f t="shared" si="10"/>
        <x:v>-1</x:v>
      </x:c>
      <x:c r="J69" s="38">
        <x:f t="shared" si="11"/>
        <x:v>29</x:v>
      </x:c>
      <x:c r="K69" s="38">
        <x:f t="shared" si="12"/>
        <x:v>-6</x:v>
      </x:c>
      <x:c r="L69" s="63">
        <x:f t="shared" si="13"/>
        <x:v>22</x:v>
      </x:c>
      <x:c r="M69" s="39">
        <x:f t="shared" si="14"/>
        <x:v>7.3333333333333428</x:v>
      </x:c>
    </x:row>
    <x:row r="70" spans="1:13" ht="24.949999999999999" customHeight="1">
      <x:c r="A70" s="12">
        <x:v>8</x:v>
      </x:c>
      <x:c r="B70" s="13" t="str">
        <x:f t="array" ref="B70:B70">INDEX($B$4:$M$28,MATCH($A70,$U$4:$U$28,0),COLUMN(A$1))</x:f>
        <x:v>이 우 석</x:v>
      </x:c>
      <x:c r="C70" s="62">
        <x:f t="array" ref="C70:C70">INDEX($B$4:$M$28,MATCH($A70,$U$4:$U$28,0),COLUMN(B$1))</x:f>
        <x:v>212</x:v>
      </x:c>
      <x:c r="D70" s="62">
        <x:f t="array" ref="D70:D70">INDEX($B$4:$M$28,MATCH($A70,$U$4:$U$28,0),COLUMN(C$1))</x:f>
        <x:v>191</x:v>
      </x:c>
      <x:c r="E70" s="62">
        <x:f t="array" ref="E70:E70">INDEX($B$4:$M$28,MATCH($A70,$U$4:$U$28,0),COLUMN(D$1))</x:f>
        <x:v>218</x:v>
      </x:c>
      <x:c r="F70" s="44">
        <x:f t="shared" si="15"/>
        <x:v>621</x:v>
      </x:c>
      <x:c r="G70" s="45">
        <x:f t="shared" si="16"/>
        <x:v>207</x:v>
      </x:c>
      <x:c r="H70" s="34">
        <x:f t="array" ref="H70:H70">IF(B70="","",IFERROR(INDEX('회원명단 및 기준에버'!D:G,MATCH(B70,'회원명단 및 기준에버'!$C:$C,0),CHOOSE(INT((MONTH($L$2)-1)/3)+1,1,2,3,4)),""))</x:f>
        <x:v>200</x:v>
      </x:c>
      <x:c r="I70" s="38">
        <x:f t="shared" si="10"/>
        <x:v>12</x:v>
      </x:c>
      <x:c r="J70" s="38">
        <x:f t="shared" si="11"/>
        <x:v>-9</x:v>
      </x:c>
      <x:c r="K70" s="38">
        <x:f t="shared" si="12"/>
        <x:v>18</x:v>
      </x:c>
      <x:c r="L70" s="63">
        <x:f t="shared" si="13"/>
        <x:v>21</x:v>
      </x:c>
      <x:c r="M70" s="39">
        <x:f t="shared" si="14"/>
        <x:v>7</x:v>
      </x:c>
    </x:row>
    <x:row r="71" spans="1:13" ht="24.949999999999999" customHeight="1">
      <x:c r="A71" s="12">
        <x:v>9</x:v>
      </x:c>
      <x:c r="B71" s="13" t="str">
        <x:f t="array" ref="B71:B71">INDEX($B$4:$M$28,MATCH($A71,$U$4:$U$28,0),COLUMN(A$1))</x:f>
        <x:v>손 은 주</x:v>
      </x:c>
      <x:c r="C71" s="62">
        <x:f t="array" ref="C71:C71">INDEX($B$4:$M$28,MATCH($A71,$U$4:$U$28,0),COLUMN(B$1))</x:f>
        <x:v>155</x:v>
      </x:c>
      <x:c r="D71" s="62">
        <x:f t="array" ref="D71:D71">INDEX($B$4:$M$28,MATCH($A71,$U$4:$U$28,0),COLUMN(C$1))</x:f>
        <x:v>159</x:v>
      </x:c>
      <x:c r="E71" s="62">
        <x:f t="array" ref="E71:E71">INDEX($B$4:$M$28,MATCH($A71,$U$4:$U$28,0),COLUMN(D$1))</x:f>
        <x:v>147</x:v>
      </x:c>
      <x:c r="F71" s="44">
        <x:f t="shared" si="15"/>
        <x:v>461</x:v>
      </x:c>
      <x:c r="G71" s="45">
        <x:f t="shared" si="16"/>
        <x:v>153.66666666666666</x:v>
      </x:c>
      <x:c r="H71" s="34">
        <x:f t="array" ref="H71:H71">IF(B71="","",IFERROR(INDEX('회원명단 및 기준에버'!D:G,MATCH(B71,'회원명단 및 기준에버'!$C:$C,0),CHOOSE(INT((MONTH($L$2)-1)/3)+1,1,2,3,4)),""))</x:f>
        <x:v>151</x:v>
      </x:c>
      <x:c r="I71" s="38">
        <x:f t="shared" si="10"/>
        <x:v>4</x:v>
      </x:c>
      <x:c r="J71" s="38">
        <x:f t="shared" si="11"/>
        <x:v>8</x:v>
      </x:c>
      <x:c r="K71" s="38">
        <x:f t="shared" si="12"/>
        <x:v>-4</x:v>
      </x:c>
      <x:c r="L71" s="63">
        <x:f t="shared" si="13"/>
        <x:v>8</x:v>
      </x:c>
      <x:c r="M71" s="39">
        <x:f t="shared" si="14"/>
        <x:v>2.6666666666666572</x:v>
      </x:c>
    </x:row>
    <x:row r="72" spans="1:13" ht="24.949999999999999" customHeight="1">
      <x:c r="A72" s="12">
        <x:v>10</x:v>
      </x:c>
      <x:c r="B72" s="13" t="str">
        <x:f t="array" ref="B72:B72">INDEX($B$4:$M$28,MATCH($A72,$U$4:$U$28,0),COLUMN(A$1))</x:f>
        <x:v>변 상 필</x:v>
      </x:c>
      <x:c r="C72" s="62">
        <x:f t="array" ref="C72:C72">INDEX($B$4:$M$28,MATCH($A72,$U$4:$U$28,0),COLUMN(B$1))</x:f>
        <x:v>242</x:v>
      </x:c>
      <x:c r="D72" s="62">
        <x:f t="array" ref="D72:D72">INDEX($B$4:$M$28,MATCH($A72,$U$4:$U$28,0),COLUMN(C$1))</x:f>
        <x:v>161</x:v>
      </x:c>
      <x:c r="E72" s="62">
        <x:f t="array" ref="E72:E72">INDEX($B$4:$M$28,MATCH($A72,$U$4:$U$28,0),COLUMN(D$1))</x:f>
        <x:v>202</x:v>
      </x:c>
      <x:c r="F72" s="44">
        <x:f t="shared" si="15"/>
        <x:v>605</x:v>
      </x:c>
      <x:c r="G72" s="45">
        <x:f t="shared" si="16"/>
        <x:v>201.66666666666666</x:v>
      </x:c>
      <x:c r="H72" s="34">
        <x:f t="array" ref="H72:H72">IF(B72="","",IFERROR(INDEX('회원명단 및 기준에버'!D:G,MATCH(B72,'회원명단 및 기준에버'!$C:$C,0),CHOOSE(INT((MONTH($L$2)-1)/3)+1,1,2,3,4)),""))</x:f>
        <x:v>200</x:v>
      </x:c>
      <x:c r="I72" s="38">
        <x:f t="shared" si="10"/>
        <x:v>42</x:v>
      </x:c>
      <x:c r="J72" s="38">
        <x:f t="shared" si="11"/>
        <x:v>-39</x:v>
      </x:c>
      <x:c r="K72" s="38">
        <x:f t="shared" si="12"/>
        <x:v>2</x:v>
      </x:c>
      <x:c r="L72" s="63">
        <x:f t="shared" si="13"/>
        <x:v>5</x:v>
      </x:c>
      <x:c r="M72" s="39">
        <x:f t="shared" si="14"/>
        <x:v>1.6666666666666572</x:v>
      </x:c>
    </x:row>
    <x:row r="73" spans="1:13" ht="24.949999999999999" customHeight="1">
      <x:c r="A73" s="12">
        <x:v>11</x:v>
      </x:c>
      <x:c r="B73" s="13" t="str">
        <x:f t="array" ref="B73:B73">INDEX($B$4:$M$28,MATCH($A73,$U$4:$U$28,0),COLUMN(A$1))</x:f>
        <x:v>김 선 미</x:v>
      </x:c>
      <x:c r="C73" s="62">
        <x:f t="array" ref="C73:C73">INDEX($B$4:$M$28,MATCH($A73,$U$4:$U$28,0),COLUMN(B$1))</x:f>
        <x:v>167</x:v>
      </x:c>
      <x:c r="D73" s="62">
        <x:f t="array" ref="D73:D73">INDEX($B$4:$M$28,MATCH($A73,$U$4:$U$28,0),COLUMN(C$1))</x:f>
        <x:v>147</x:v>
      </x:c>
      <x:c r="E73" s="62">
        <x:f t="array" ref="E73:E73">INDEX($B$4:$M$28,MATCH($A73,$U$4:$U$28,0),COLUMN(D$1))</x:f>
        <x:v>171</x:v>
      </x:c>
      <x:c r="F73" s="44">
        <x:f t="shared" si="15"/>
        <x:v>485</x:v>
      </x:c>
      <x:c r="G73" s="45">
        <x:f t="shared" si="16"/>
        <x:v>161.66666666666666</x:v>
      </x:c>
      <x:c r="H73" s="34">
        <x:f t="array" ref="H73:H73">IF(B73="","",IFERROR(INDEX('회원명단 및 기준에버'!D:G,MATCH(B73,'회원명단 및 기준에버'!$C:$C,0),CHOOSE(INT((MONTH($L$2)-1)/3)+1,1,2,3,4)),""))</x:f>
        <x:v>161</x:v>
      </x:c>
      <x:c r="I73" s="38">
        <x:f t="shared" si="10"/>
        <x:v>6</x:v>
      </x:c>
      <x:c r="J73" s="38">
        <x:f t="shared" si="11"/>
        <x:v>-14</x:v>
      </x:c>
      <x:c r="K73" s="38">
        <x:f t="shared" si="12"/>
        <x:v>10</x:v>
      </x:c>
      <x:c r="L73" s="63">
        <x:f t="shared" si="13"/>
        <x:v>2</x:v>
      </x:c>
      <x:c r="M73" s="39">
        <x:f t="shared" si="14"/>
        <x:v>0.66666666666665719</x:v>
      </x:c>
    </x:row>
    <x:row r="74" spans="1:13" ht="24.949999999999999" customHeight="1">
      <x:c r="A74" s="12">
        <x:v>12</x:v>
      </x:c>
      <x:c r="B74" s="13" t="str">
        <x:f>INDEX($B$4:$M$28,MATCH($A74,$U$4:$U$28,0),COLUMN(A$1))</x:f>
        <x:v>최  진</x:v>
      </x:c>
      <x:c r="C74" s="62">
        <x:f t="array" ref="C74:C74">INDEX($B$4:$M$28,MATCH($A74,$U$4:$U$28,0),COLUMN(B$1))</x:f>
        <x:v>187</x:v>
      </x:c>
      <x:c r="D74" s="62">
        <x:f t="array" ref="D74:D74">INDEX($B$4:$M$28,MATCH($A74,$U$4:$U$28,0),COLUMN(C$1))</x:f>
        <x:v>188</x:v>
      </x:c>
      <x:c r="E74" s="62">
        <x:f t="array" ref="E74:E74">INDEX($B$4:$M$28,MATCH($A74,$U$4:$U$28,0),COLUMN(D$1))</x:f>
        <x:v>168</x:v>
      </x:c>
      <x:c r="F74" s="44">
        <x:f t="shared" si="15"/>
        <x:v>543</x:v>
      </x:c>
      <x:c r="G74" s="45">
        <x:f t="shared" si="16"/>
        <x:v>181</x:v>
      </x:c>
      <x:c r="H74" s="34" t="str">
        <x:f t="array" ref="H74:H74">IF(B74="","",IFERROR(INDEX('회원명단 및 기준에버'!D:G,MATCH(B74,'회원명단 및 기준에버'!$C:$C,0),CHOOSE(INT((MONTH($L$2)-1)/3)+1,1,2,3,4)),""))</x:f>
        <x:v/>
      </x:c>
      <x:c r="I74" s="38">
        <x:f t="shared" si="10"/>
        <x:v>0</x:v>
      </x:c>
      <x:c r="J74" s="38">
        <x:f t="shared" si="11"/>
        <x:v>0</x:v>
      </x:c>
      <x:c r="K74" s="38">
        <x:f t="shared" si="12"/>
        <x:v>0</x:v>
      </x:c>
      <x:c r="L74" s="63">
        <x:f t="shared" si="13"/>
        <x:v>0</x:v>
      </x:c>
      <x:c r="M74" s="39">
        <x:f t="shared" si="14"/>
        <x:v>0</x:v>
      </x:c>
    </x:row>
    <x:row r="75" spans="1:13" ht="24.949999999999999" customHeight="1">
      <x:c r="A75" s="12">
        <x:v>13</x:v>
      </x:c>
      <x:c r="B75" s="13" t="str">
        <x:f t="array" ref="B75:B75">INDEX($B$4:$M$28,MATCH($A75,$U$4:$U$28,0),COLUMN(A$1))</x:f>
        <x:v>이 대 용</x:v>
      </x:c>
      <x:c r="C75" s="62">
        <x:f t="array" ref="C75:C75">INDEX($B$4:$M$28,MATCH($A75,$U$4:$U$28,0),COLUMN(B$1))</x:f>
        <x:v>201</x:v>
      </x:c>
      <x:c r="D75" s="62">
        <x:f t="array" ref="D75:D75">INDEX($B$4:$M$28,MATCH($A75,$U$4:$U$28,0),COLUMN(C$1))</x:f>
        <x:v>192</x:v>
      </x:c>
      <x:c r="E75" s="62">
        <x:f t="array" ref="E75:E75">INDEX($B$4:$M$28,MATCH($A75,$U$4:$U$28,0),COLUMN(D$1))</x:f>
        <x:v>196</x:v>
      </x:c>
      <x:c r="F75" s="44">
        <x:f t="shared" si="15"/>
        <x:v>589</x:v>
      </x:c>
      <x:c r="G75" s="45">
        <x:f t="shared" si="16"/>
        <x:v>196.33333333333334</x:v>
      </x:c>
      <x:c r="H75" s="34">
        <x:f t="array" ref="H75:H75">IF(B75="","",IFERROR(INDEX('회원명단 및 기준에버'!D:G,MATCH(B75,'회원명단 및 기준에버'!$C:$C,0),CHOOSE(INT((MONTH($L$2)-1)/3)+1,1,2,3,4)),""))</x:f>
        <x:v>200</x:v>
      </x:c>
      <x:c r="I75" s="38">
        <x:f t="shared" si="10"/>
        <x:v>1</x:v>
      </x:c>
      <x:c r="J75" s="38">
        <x:f t="shared" si="11"/>
        <x:v>-8</x:v>
      </x:c>
      <x:c r="K75" s="38">
        <x:f t="shared" si="12"/>
        <x:v>-4</x:v>
      </x:c>
      <x:c r="L75" s="63">
        <x:f t="shared" si="13"/>
        <x:v>-11</x:v>
      </x:c>
      <x:c r="M75" s="39">
        <x:f t="shared" si="14"/>
        <x:v>-3.6666666666666572</x:v>
      </x:c>
    </x:row>
    <x:row r="76" spans="1:13" ht="24.949999999999999" customHeight="1">
      <x:c r="A76" s="12">
        <x:v>14</x:v>
      </x:c>
      <x:c r="B76" s="13" t="str">
        <x:f t="array" ref="B76:B76">INDEX($B$4:$M$28,MATCH($A76,$U$4:$U$28,0),COLUMN(A$1))</x:f>
        <x:v>김 태 환</x:v>
      </x:c>
      <x:c r="C76" s="62">
        <x:f t="array" ref="C76:C76">INDEX($B$4:$M$28,MATCH($A76,$U$4:$U$28,0),COLUMN(B$1))</x:f>
        <x:v>202</x:v>
      </x:c>
      <x:c r="D76" s="62">
        <x:f t="array" ref="D76:D76">INDEX($B$4:$M$28,MATCH($A76,$U$4:$U$28,0),COLUMN(C$1))</x:f>
        <x:v>163</x:v>
      </x:c>
      <x:c r="E76" s="62">
        <x:f t="array" ref="E76:E76">INDEX($B$4:$M$28,MATCH($A76,$U$4:$U$28,0),COLUMN(D$1))</x:f>
        <x:v>216</x:v>
      </x:c>
      <x:c r="F76" s="44">
        <x:f t="shared" si="15"/>
        <x:v>581</x:v>
      </x:c>
      <x:c r="G76" s="45">
        <x:f t="shared" si="16"/>
        <x:v>193.66666666666666</x:v>
      </x:c>
      <x:c r="H76" s="34">
        <x:f t="array" ref="H76:H76">IF(B76="","",IFERROR(INDEX('회원명단 및 기준에버'!D:G,MATCH(B76,'회원명단 및 기준에버'!$C:$C,0),CHOOSE(INT((MONTH($L$2)-1)/3)+1,1,2,3,4)),""))</x:f>
        <x:v>198</x:v>
      </x:c>
      <x:c r="I76" s="38">
        <x:f t="shared" si="10"/>
        <x:v>4</x:v>
      </x:c>
      <x:c r="J76" s="38">
        <x:f t="shared" si="11"/>
        <x:v>-35</x:v>
      </x:c>
      <x:c r="K76" s="38">
        <x:f t="shared" si="12"/>
        <x:v>18</x:v>
      </x:c>
      <x:c r="L76" s="63">
        <x:f t="shared" si="13"/>
        <x:v>-13</x:v>
      </x:c>
      <x:c r="M76" s="39">
        <x:f t="shared" si="14"/>
        <x:v>-4.3333333333333428</x:v>
      </x:c>
    </x:row>
    <x:row r="77" spans="1:13" ht="24.949999999999999" customHeight="1">
      <x:c r="A77" s="12">
        <x:v>15</x:v>
      </x:c>
      <x:c r="B77" s="13" t="str">
        <x:f t="array" ref="B77:B77">INDEX($B$4:$M$28,MATCH($A77,$U$4:$U$28,0),COLUMN(A$1))</x:f>
        <x:v>이 정 석</x:v>
      </x:c>
      <x:c r="C77" s="62">
        <x:f t="array" ref="C77:C77">INDEX($B$4:$M$28,MATCH($A77,$U$4:$U$28,0),COLUMN(B$1))</x:f>
        <x:v>182</x:v>
      </x:c>
      <x:c r="D77" s="62">
        <x:f t="array" ref="D77:D77">INDEX($B$4:$M$28,MATCH($A77,$U$4:$U$28,0),COLUMN(C$1))</x:f>
        <x:v>201</x:v>
      </x:c>
      <x:c r="E77" s="62">
        <x:f t="array" ref="E77:E77">INDEX($B$4:$M$28,MATCH($A77,$U$4:$U$28,0),COLUMN(D$1))</x:f>
        <x:v>192</x:v>
      </x:c>
      <x:c r="F77" s="44">
        <x:f t="shared" si="15"/>
        <x:v>575</x:v>
      </x:c>
      <x:c r="G77" s="45">
        <x:f t="shared" si="16"/>
        <x:v>191.66666666666666</x:v>
      </x:c>
      <x:c r="H77" s="34">
        <x:f t="array" ref="H77:H77">IF(B77="","",IFERROR(INDEX('회원명단 및 기준에버'!D:G,MATCH(B77,'회원명단 및 기준에버'!$C:$C,0),CHOOSE(INT((MONTH($L$2)-1)/3)+1,1,2,3,4)),""))</x:f>
        <x:v>196</x:v>
      </x:c>
      <x:c r="I77" s="38">
        <x:f t="shared" si="10"/>
        <x:v>-14</x:v>
      </x:c>
      <x:c r="J77" s="38">
        <x:f t="shared" si="11"/>
        <x:v>5</x:v>
      </x:c>
      <x:c r="K77" s="38">
        <x:f t="shared" si="12"/>
        <x:v>-4</x:v>
      </x:c>
      <x:c r="L77" s="63">
        <x:f t="shared" si="13"/>
        <x:v>-13</x:v>
      </x:c>
      <x:c r="M77" s="39">
        <x:f t="shared" si="14"/>
        <x:v>-4.3333333333333428</x:v>
      </x:c>
    </x:row>
    <x:row r="78" spans="1:13" ht="24.949999999999999" customHeight="1">
      <x:c r="A78" s="12">
        <x:v>16</x:v>
      </x:c>
      <x:c r="B78" s="13" t="str">
        <x:f t="array" ref="B78:B78">INDEX($B$4:$M$28,MATCH($A78,$U$4:$U$28,0),COLUMN(A$1))</x:f>
        <x:v>이 승 미</x:v>
      </x:c>
      <x:c r="C78" s="62">
        <x:f t="array" ref="C78:C78">INDEX($B$4:$M$28,MATCH($A78,$U$4:$U$28,0),COLUMN(B$1))</x:f>
        <x:v>188</x:v>
      </x:c>
      <x:c r="D78" s="62">
        <x:f t="array" ref="D78:D78">INDEX($B$4:$M$28,MATCH($A78,$U$4:$U$28,0),COLUMN(C$1))</x:f>
        <x:v>157</x:v>
      </x:c>
      <x:c r="E78" s="62">
        <x:f t="array" ref="E78:E78">INDEX($B$4:$M$28,MATCH($A78,$U$4:$U$28,0),COLUMN(D$1))</x:f>
        <x:v>132</x:v>
      </x:c>
      <x:c r="F78" s="44">
        <x:f t="shared" si="15"/>
        <x:v>477</x:v>
      </x:c>
      <x:c r="G78" s="45">
        <x:f t="shared" si="16"/>
        <x:v>159</x:v>
      </x:c>
      <x:c r="H78" s="34">
        <x:f t="array" ref="H78:H78">IF(B78="","",IFERROR(INDEX('회원명단 및 기준에버'!D:G,MATCH(B78,'회원명단 및 기준에버'!$C:$C,0),CHOOSE(INT((MONTH($L$2)-1)/3)+1,1,2,3,4)),""))</x:f>
        <x:v>165</x:v>
      </x:c>
      <x:c r="I78" s="38">
        <x:f t="shared" si="10"/>
        <x:v>23</x:v>
      </x:c>
      <x:c r="J78" s="38">
        <x:f t="shared" si="11"/>
        <x:v>-8</x:v>
      </x:c>
      <x:c r="K78" s="38">
        <x:f t="shared" si="12"/>
        <x:v>-33</x:v>
      </x:c>
      <x:c r="L78" s="63">
        <x:f t="shared" si="13"/>
        <x:v>-18</x:v>
      </x:c>
      <x:c r="M78" s="39">
        <x:f t="shared" si="14"/>
        <x:v>-6</x:v>
      </x:c>
    </x:row>
    <x:row r="79" spans="1:13" ht="24.949999999999999" customHeight="1">
      <x:c r="A79" s="12">
        <x:v>17</x:v>
      </x:c>
      <x:c r="B79" s="13" t="str">
        <x:f t="array" ref="B79:B79">INDEX($B$4:$M$28,MATCH($A79,$U$4:$U$28,0),COLUMN(A$1))</x:f>
        <x:v>고 경 훈</x:v>
      </x:c>
      <x:c r="C79" s="62">
        <x:f t="array" ref="C79:C79">INDEX($B$4:$M$28,MATCH($A79,$U$4:$U$28,0),COLUMN(B$1))</x:f>
        <x:v>133</x:v>
      </x:c>
      <x:c r="D79" s="62">
        <x:f t="array" ref="D79:D79">INDEX($B$4:$M$28,MATCH($A79,$U$4:$U$28,0),COLUMN(C$1))</x:f>
        <x:v>230</x:v>
      </x:c>
      <x:c r="E79" s="62">
        <x:f t="array" ref="E79:E79">INDEX($B$4:$M$28,MATCH($A79,$U$4:$U$28,0),COLUMN(D$1))</x:f>
        <x:v>194</x:v>
      </x:c>
      <x:c r="F79" s="44">
        <x:f t="shared" si="15"/>
        <x:v>557</x:v>
      </x:c>
      <x:c r="G79" s="45">
        <x:f t="shared" si="16"/>
        <x:v>185.66666666666666</x:v>
      </x:c>
      <x:c r="H79" s="34">
        <x:f t="array" ref="H79:H79">IF(B79="","",IFERROR(INDEX('회원명단 및 기준에버'!D:G,MATCH(B79,'회원명단 및 기준에버'!$C:$C,0),CHOOSE(INT((MONTH($L$2)-1)/3)+1,1,2,3,4)),""))</x:f>
        <x:v>195</x:v>
      </x:c>
      <x:c r="I79" s="38">
        <x:f t="shared" si="10"/>
        <x:v>-62</x:v>
      </x:c>
      <x:c r="J79" s="38">
        <x:f t="shared" si="11"/>
        <x:v>35</x:v>
      </x:c>
      <x:c r="K79" s="38">
        <x:f t="shared" si="12"/>
        <x:v>-1</x:v>
      </x:c>
      <x:c r="L79" s="63">
        <x:f t="shared" si="13"/>
        <x:v>-28</x:v>
      </x:c>
      <x:c r="M79" s="39">
        <x:f t="shared" si="14"/>
        <x:v>-9.3333333333333428</x:v>
      </x:c>
    </x:row>
    <x:row r="80" spans="1:13" ht="24.949999999999999" customHeight="1">
      <x:c r="A80" s="12">
        <x:v>18</x:v>
      </x:c>
      <x:c r="B80" s="13" t="str">
        <x:f t="array" ref="B80:B80">INDEX($B$4:$M$28,MATCH($A80,$U$4:$U$28,0),COLUMN(A$1))</x:f>
        <x:v>김 정 희</x:v>
      </x:c>
      <x:c r="C80" s="62">
        <x:f t="array" ref="C80:C80">INDEX($B$4:$M$28,MATCH($A80,$U$4:$U$28,0),COLUMN(B$1))</x:f>
        <x:v>182</x:v>
      </x:c>
      <x:c r="D80" s="62">
        <x:f t="array" ref="D80:D80">INDEX($B$4:$M$28,MATCH($A80,$U$4:$U$28,0),COLUMN(C$1))</x:f>
        <x:v>167</x:v>
      </x:c>
      <x:c r="E80" s="62">
        <x:f t="array" ref="E80:E80">INDEX($B$4:$M$28,MATCH($A80,$U$4:$U$28,0),COLUMN(D$1))</x:f>
        <x:v>223</x:v>
      </x:c>
      <x:c r="F80" s="44">
        <x:f t="shared" si="15"/>
        <x:v>572</x:v>
      </x:c>
      <x:c r="G80" s="45">
        <x:f t="shared" si="16"/>
        <x:v>190.66666666666666</x:v>
      </x:c>
      <x:c r="H80" s="34">
        <x:f t="array" ref="H80:H80">IF(B80="","",IFERROR(INDEX('회원명단 및 기준에버'!D:G,MATCH(B80,'회원명단 및 기준에버'!$C:$C,0),CHOOSE(INT((MONTH($L$2)-1)/3)+1,1,2,3,4)),""))</x:f>
        <x:v>200</x:v>
      </x:c>
      <x:c r="I80" s="38">
        <x:f t="shared" si="10"/>
        <x:v>-18</x:v>
      </x:c>
      <x:c r="J80" s="38">
        <x:f t="shared" si="11"/>
        <x:v>-33</x:v>
      </x:c>
      <x:c r="K80" s="38">
        <x:f t="shared" si="12"/>
        <x:v>23</x:v>
      </x:c>
      <x:c r="L80" s="63">
        <x:f t="shared" si="13"/>
        <x:v>-28</x:v>
      </x:c>
      <x:c r="M80" s="39">
        <x:f t="shared" si="14"/>
        <x:v>-9.3333333333333428</x:v>
      </x:c>
    </x:row>
    <x:row r="81" spans="1:13" ht="24.949999999999999" customHeight="1">
      <x:c r="A81" s="12">
        <x:v>19</x:v>
      </x:c>
      <x:c r="B81" s="13" t="str">
        <x:f t="array" ref="B81:B81">INDEX($B$4:$M$28,MATCH($A81,$U$4:$U$28,0),COLUMN(A$1))</x:f>
        <x:v>진 명 옥</x:v>
      </x:c>
      <x:c r="C81" s="62">
        <x:f t="array" ref="C81:C81">INDEX($B$4:$M$28,MATCH($A81,$U$4:$U$28,0),COLUMN(B$1))</x:f>
        <x:v>149</x:v>
      </x:c>
      <x:c r="D81" s="62">
        <x:f t="array" ref="D81:D81">INDEX($B$4:$M$28,MATCH($A81,$U$4:$U$28,0),COLUMN(C$1))</x:f>
        <x:v>169</x:v>
      </x:c>
      <x:c r="E81" s="62">
        <x:f t="array" ref="E81:E81">INDEX($B$4:$M$28,MATCH($A81,$U$4:$U$28,0),COLUMN(D$1))</x:f>
        <x:v>163</x:v>
      </x:c>
      <x:c r="F81" s="44">
        <x:f t="shared" si="15"/>
        <x:v>481</x:v>
      </x:c>
      <x:c r="G81" s="45">
        <x:f t="shared" si="16"/>
        <x:v>160.33333333333334</x:v>
      </x:c>
      <x:c r="H81" s="34">
        <x:f t="array" ref="H81:H81">IF(B81="","",IFERROR(INDEX('회원명단 및 기준에버'!D:G,MATCH(B81,'회원명단 및 기준에버'!$C:$C,0),CHOOSE(INT((MONTH($L$2)-1)/3)+1,1,2,3,4)),""))</x:f>
        <x:v>171</x:v>
      </x:c>
      <x:c r="I81" s="38">
        <x:f t="shared" si="10"/>
        <x:v>-22</x:v>
      </x:c>
      <x:c r="J81" s="38">
        <x:f t="shared" si="11"/>
        <x:v>-2</x:v>
      </x:c>
      <x:c r="K81" s="38">
        <x:f t="shared" si="12"/>
        <x:v>-8</x:v>
      </x:c>
      <x:c r="L81" s="63">
        <x:f t="shared" si="13"/>
        <x:v>-32</x:v>
      </x:c>
      <x:c r="M81" s="39">
        <x:f t="shared" si="14"/>
        <x:v>-10.666666666666657</x:v>
      </x:c>
    </x:row>
    <x:row r="82" spans="1:13" ht="24.949999999999999" customHeight="1">
      <x:c r="A82" s="12">
        <x:v>20</x:v>
      </x:c>
      <x:c r="B82" s="13" t="str">
        <x:f t="array" ref="B82:B82">INDEX($B$4:$M$28,MATCH($A82,$U$4:$U$28,0),COLUMN(A$1))</x:f>
        <x:v>임 연 진</x:v>
      </x:c>
      <x:c r="C82" s="62">
        <x:f t="array" ref="C82:C82">INDEX($B$4:$M$28,MATCH($A82,$U$4:$U$28,0),COLUMN(B$1))</x:f>
        <x:v>193</x:v>
      </x:c>
      <x:c r="D82" s="62">
        <x:f t="array" ref="D82:D82">INDEX($B$4:$M$28,MATCH($A82,$U$4:$U$28,0),COLUMN(C$1))</x:f>
        <x:v>176</x:v>
      </x:c>
      <x:c r="E82" s="62">
        <x:f t="array" ref="E82:E82">INDEX($B$4:$M$28,MATCH($A82,$U$4:$U$28,0),COLUMN(D$1))</x:f>
        <x:v>175</x:v>
      </x:c>
      <x:c r="F82" s="44">
        <x:f t="shared" si="15"/>
        <x:v>544</x:v>
      </x:c>
      <x:c r="G82" s="45">
        <x:f t="shared" si="16"/>
        <x:v>181.33333333333334</x:v>
      </x:c>
      <x:c r="H82" s="34">
        <x:f t="array" ref="H82:H82">IF(B82="","",IFERROR(INDEX('회원명단 및 기준에버'!D:G,MATCH(B82,'회원명단 및 기준에버'!$C:$C,0),CHOOSE(INT((MONTH($L$2)-1)/3)+1,1,2,3,4)),""))</x:f>
        <x:v>194</x:v>
      </x:c>
      <x:c r="I82" s="38">
        <x:f t="shared" si="10"/>
        <x:v>-1</x:v>
      </x:c>
      <x:c r="J82" s="38">
        <x:f t="shared" si="11"/>
        <x:v>-18</x:v>
      </x:c>
      <x:c r="K82" s="38">
        <x:f t="shared" si="12"/>
        <x:v>-19</x:v>
      </x:c>
      <x:c r="L82" s="63">
        <x:f t="shared" si="13"/>
        <x:v>-38</x:v>
      </x:c>
      <x:c r="M82" s="39">
        <x:f t="shared" si="14"/>
        <x:v>-12.666666666666657</x:v>
      </x:c>
    </x:row>
    <x:row r="83" spans="1:13" ht="24.949999999999999" customHeight="1">
      <x:c r="A83" s="12">
        <x:v>21</x:v>
      </x:c>
      <x:c r="B83" s="13" t="str">
        <x:f t="array" ref="B83:B83">INDEX($B$4:$M$28,MATCH($A83,$U$4:$U$28,0),COLUMN(A$1))</x:f>
        <x:v>나 경 주</x:v>
      </x:c>
      <x:c r="C83" s="62">
        <x:f t="array" ref="C83:C83">INDEX($B$4:$M$28,MATCH($A83,$U$4:$U$28,0),COLUMN(B$1))</x:f>
        <x:v>167</x:v>
      </x:c>
      <x:c r="D83" s="62">
        <x:f t="array" ref="D83:D83">INDEX($B$4:$M$28,MATCH($A83,$U$4:$U$28,0),COLUMN(C$1))</x:f>
        <x:v>147</x:v>
      </x:c>
      <x:c r="E83" s="62">
        <x:f t="array" ref="E83:E83">INDEX($B$4:$M$28,MATCH($A83,$U$4:$U$28,0),COLUMN(D$1))</x:f>
        <x:v>185</x:v>
      </x:c>
      <x:c r="F83" s="44">
        <x:f t="shared" si="15"/>
        <x:v>499</x:v>
      </x:c>
      <x:c r="G83" s="45">
        <x:f t="shared" si="16"/>
        <x:v>166.33333333333334</x:v>
      </x:c>
      <x:c r="H83" s="34">
        <x:f t="array" ref="H83:H83">IF(B83="","",IFERROR(INDEX('회원명단 및 기준에버'!D:G,MATCH(B83,'회원명단 및 기준에버'!$C:$C,0),CHOOSE(INT((MONTH($L$2)-1)/3)+1,1,2,3,4)),""))</x:f>
        <x:v>192</x:v>
      </x:c>
      <x:c r="I83" s="38">
        <x:f t="shared" si="10"/>
        <x:v>-25</x:v>
      </x:c>
      <x:c r="J83" s="38">
        <x:f t="shared" si="11"/>
        <x:v>-45</x:v>
      </x:c>
      <x:c r="K83" s="38">
        <x:f t="shared" si="12"/>
        <x:v>-7</x:v>
      </x:c>
      <x:c r="L83" s="63">
        <x:f t="shared" si="13"/>
        <x:v>-77</x:v>
      </x:c>
      <x:c r="M83" s="39">
        <x:f t="shared" si="14"/>
        <x:v>-25.666666666666657</x:v>
      </x:c>
    </x:row>
    <x:row r="84" spans="1:13" ht="24.949999999999999" customHeight="1">
      <x:c r="A84" s="12">
        <x:v>22</x:v>
      </x:c>
      <x:c r="B84" s="13" t="str">
        <x:f t="array" ref="B84:B84">INDEX($B$4:$M$28,MATCH($A84,$U$4:$U$28,0),COLUMN(A$1))</x:f>
        <x:v>천 성 일</x:v>
      </x:c>
      <x:c r="C84" s="62">
        <x:f t="array" ref="C84:C84">INDEX($B$4:$M$28,MATCH($A84,$U$4:$U$28,0),COLUMN(B$1))</x:f>
        <x:v>175</x:v>
      </x:c>
      <x:c r="D84" s="62">
        <x:f t="array" ref="D84:D84">INDEX($B$4:$M$28,MATCH($A84,$U$4:$U$28,0),COLUMN(C$1))</x:f>
        <x:v>179</x:v>
      </x:c>
      <x:c r="E84" s="62">
        <x:f t="array" ref="E84:E84">INDEX($B$4:$M$28,MATCH($A84,$U$4:$U$28,0),COLUMN(D$1))</x:f>
        <x:v>127</x:v>
      </x:c>
      <x:c r="F84" s="44">
        <x:f t="shared" si="15"/>
        <x:v>481</x:v>
      </x:c>
      <x:c r="G84" s="45">
        <x:f t="shared" si="16"/>
        <x:v>160.33333333333334</x:v>
      </x:c>
      <x:c r="H84" s="34">
        <x:f t="array" ref="H84:H84">IF(B84="","",IFERROR(INDEX('회원명단 및 기준에버'!D:G,MATCH(B84,'회원명단 및 기준에버'!$C:$C,0),CHOOSE(INT((MONTH($L$2)-1)/3)+1,1,2,3,4)),""))</x:f>
        <x:v>191</x:v>
      </x:c>
      <x:c r="I84" s="38">
        <x:f t="shared" si="10"/>
        <x:v>-16</x:v>
      </x:c>
      <x:c r="J84" s="38">
        <x:f t="shared" si="11"/>
        <x:v>-12</x:v>
      </x:c>
      <x:c r="K84" s="38">
        <x:f t="shared" si="12"/>
        <x:v>-64</x:v>
      </x:c>
      <x:c r="L84" s="63">
        <x:f t="shared" si="13"/>
        <x:v>-92</x:v>
      </x:c>
      <x:c r="M84" s="39">
        <x:f t="shared" si="14"/>
        <x:v>-30.666666666666657</x:v>
      </x:c>
    </x:row>
    <x:row r="85" spans="1:13" ht="24.949999999999999" customHeight="1">
      <x:c r="A85" s="12">
        <x:v>23</x:v>
      </x:c>
      <x:c r="B85" s="13" t="str">
        <x:f t="array" ref="B85:B85">INDEX($B$4:$M$28,MATCH($A85,$U$4:$U$28,0),COLUMN(A$1))</x:f>
        <x:v>김 종 훈</x:v>
      </x:c>
      <x:c r="C85" s="62">
        <x:f t="array" ref="C85:C85">INDEX($B$4:$M$28,MATCH($A85,$U$4:$U$28,0),COLUMN(B$1))</x:f>
        <x:v>169</x:v>
      </x:c>
      <x:c r="D85" s="62">
        <x:f t="array" ref="D85:D85">INDEX($B$4:$M$28,MATCH($A85,$U$4:$U$28,0),COLUMN(C$1))</x:f>
        <x:v>159</x:v>
      </x:c>
      <x:c r="E85" s="62">
        <x:f t="array" ref="E85:E85">INDEX($B$4:$M$28,MATCH($A85,$U$4:$U$28,0),COLUMN(D$1))</x:f>
        <x:v>167</x:v>
      </x:c>
      <x:c r="F85" s="44">
        <x:f t="shared" si="15"/>
        <x:v>495</x:v>
      </x:c>
      <x:c r="G85" s="45">
        <x:f t="shared" si="16"/>
        <x:v>165</x:v>
      </x:c>
      <x:c r="H85" s="34">
        <x:f t="array" ref="H85:H85">IF(B85="","",IFERROR(INDEX('회원명단 및 기준에버'!D:G,MATCH(B85,'회원명단 및 기준에버'!$C:$C,0),CHOOSE(INT((MONTH($L$2)-1)/3)+1,1,2,3,4)),""))</x:f>
        <x:v>198</x:v>
      </x:c>
      <x:c r="I85" s="38">
        <x:f t="shared" si="10"/>
        <x:v>-29</x:v>
      </x:c>
      <x:c r="J85" s="38">
        <x:f t="shared" si="11"/>
        <x:v>-39</x:v>
      </x:c>
      <x:c r="K85" s="38">
        <x:f t="shared" si="12"/>
        <x:v>-31</x:v>
      </x:c>
      <x:c r="L85" s="63">
        <x:f t="shared" si="13"/>
        <x:v>-99</x:v>
      </x:c>
      <x:c r="M85" s="39">
        <x:f t="shared" si="14"/>
        <x:v>-33</x:v>
      </x:c>
    </x:row>
    <x:row r="86" spans="2:13" ht="24.949999999999999" customHeight="1">
      <x:c r="B86" s="168" t="s">
        <x:v>63</x:v>
      </x:c>
      <x:c r="C86" s="169"/>
      <x:c r="D86" s="169"/>
      <x:c r="E86" s="169"/>
      <x:c r="F86" s="169"/>
      <x:c r="G86" s="169"/>
      <x:c r="H86" s="169"/>
      <x:c r="I86" s="169"/>
      <x:c r="J86" s="169"/>
      <x:c r="K86" s="169"/>
      <x:c r="L86" s="169"/>
      <x:c r="M86" s="170"/>
    </x:row>
    <x:row r="87" spans="2:13" ht="24.949999999999999" customHeight="1">
      <x:c r="B87" s="171" t="s">
        <x:v>68</x:v>
      </x:c>
      <x:c r="C87" s="172"/>
      <x:c r="D87" s="172"/>
      <x:c r="E87" s="173"/>
      <x:c r="F87" s="174" t="s">
        <x:v>28</x:v>
      </x:c>
      <x:c r="G87" s="176" t="s">
        <x:v>14</x:v>
      </x:c>
      <x:c r="H87" s="177"/>
      <x:c r="I87" s="178"/>
      <x:c r="J87" s="179" t="s">
        <x:v>55</x:v>
      </x:c>
      <x:c r="K87" s="180"/>
      <x:c r="L87" s="180"/>
      <x:c r="M87" s="181"/>
    </x:row>
    <x:row r="88" spans="2:13" ht="24.949999999999999" customHeight="1">
      <x:c r="B88" s="54" t="str">
        <x:f>IF(B31="","",B31)</x:f>
        <x:v>이 상 현</x:v>
      </x:c>
      <x:c r="C88" s="24">
        <x:f>IF(C31="","",C31)</x:f>
        <x:v>28.300000000000001</x:v>
      </x:c>
      <x:c r="D88" s="24" t="str">
        <x:f>IF(D31="","",D31)</x:f>
        <x:v>김 미 란</x:v>
      </x:c>
      <x:c r="E88" s="25">
        <x:f>IF(E31="","",E31)</x:f>
        <x:v>14</x:v>
      </x:c>
      <x:c r="F88" s="175"/>
      <x:c r="G88" s="182" t="s">
        <x:v>62</x:v>
      </x:c>
      <x:c r="H88" s="183"/>
      <x:c r="I88" s="184"/>
      <x:c r="J88" s="26" t="str">
        <x:f>IF(J31="","",J31)</x:f>
        <x:v>황 인 교</x:v>
      </x:c>
      <x:c r="K88" s="27" t="str">
        <x:f>IF(K31="","",K31)</x:f>
        <x:v/>
      </x:c>
      <x:c r="L88" s="27" t="str">
        <x:f>IF(L31="","",L31)</x:f>
        <x:v/>
      </x:c>
      <x:c r="M88" s="28" t="str">
        <x:f>IF(M31="","",M31)</x:f>
        <x:v/>
      </x:c>
    </x:row>
    <x:row r="89" spans="2:13" ht="24.949999999999999" customHeight="1">
      <x:c r="B89" s="155" t="s">
        <x:v>29</x:v>
      </x:c>
      <x:c r="C89" s="156"/>
      <x:c r="D89" s="156"/>
      <x:c r="E89" s="156"/>
      <x:c r="F89" s="156"/>
      <x:c r="G89" s="156"/>
      <x:c r="H89" s="157"/>
      <x:c r="I89" s="158" t="s">
        <x:v>66</x:v>
      </x:c>
      <x:c r="J89" s="159"/>
      <x:c r="K89" s="160" t="s">
        <x:v>67</x:v>
      </x:c>
      <x:c r="L89" s="161"/>
      <x:c r="M89" s="162"/>
    </x:row>
    <x:row r="90" spans="2:13" ht="24.949999999999999" customHeight="1">
      <x:c r="B90" s="21" t="str">
        <x:f t="shared" ref="B90:G92" si="17">IF(B33="","",B33)</x:f>
        <x:v/>
      </x:c>
      <x:c r="C90" s="64" t="str">
        <x:f t="shared" si="17"/>
        <x:v/>
      </x:c>
      <x:c r="D90" s="32" t="str">
        <x:f t="shared" si="17"/>
        <x:v/>
      </x:c>
      <x:c r="E90" s="67" t="str">
        <x:f t="shared" si="17"/>
        <x:v/>
      </x:c>
      <x:c r="F90" s="30" t="str">
        <x:f t="shared" si="17"/>
        <x:v/>
      </x:c>
      <x:c r="G90" s="70" t="str">
        <x:f t="shared" si="17"/>
        <x:v/>
      </x:c>
      <x:c r="H90" s="157"/>
      <x:c r="I90" s="23" t="str">
        <x:f>IF(I33="","",I33)</x:f>
        <x:v/>
      </x:c>
      <x:c r="J90" s="50" t="str">
        <x:f>IF(J33="","",J33)</x:f>
        <x:v/>
      </x:c>
      <x:c r="K90" s="57" t="str">
        <x:f>IF(K33="","",K33)</x:f>
        <x:v/>
      </x:c>
      <x:c r="L90" s="58" t="str">
        <x:f t="shared" ref="L90:M90" si="18">IF(L33="","",L33)</x:f>
        <x:v/>
      </x:c>
      <x:c r="M90" s="59" t="str">
        <x:f t="shared" si="18"/>
        <x:v/>
      </x:c>
    </x:row>
    <x:row r="91" spans="2:13" ht="24.949999999999999" customHeight="1">
      <x:c r="B91" s="46" t="str">
        <x:f t="shared" si="17"/>
        <x:v/>
      </x:c>
      <x:c r="C91" s="65" t="str">
        <x:f t="shared" si="17"/>
        <x:v/>
      </x:c>
      <x:c r="D91" s="47" t="str">
        <x:f t="shared" si="17"/>
        <x:v/>
      </x:c>
      <x:c r="E91" s="68" t="str">
        <x:f t="shared" si="17"/>
        <x:v/>
      </x:c>
      <x:c r="F91" s="48" t="str">
        <x:f t="shared" si="17"/>
        <x:v/>
      </x:c>
      <x:c r="G91" s="71" t="str">
        <x:f t="shared" si="17"/>
        <x:v/>
      </x:c>
      <x:c r="H91" s="157"/>
      <x:c r="I91" s="49" t="str">
        <x:f>IF(I34="","",I34)</x:f>
        <x:v/>
      </x:c>
      <x:c r="J91" s="51" t="str">
        <x:f>IF(J34="","",J34)</x:f>
        <x:v/>
      </x:c>
      <x:c r="K91" s="57" t="str">
        <x:f t="shared" ref="K91:M92" si="19">IF(K34="","",K34)</x:f>
        <x:v/>
      </x:c>
      <x:c r="L91" s="58" t="str">
        <x:f t="shared" si="19"/>
        <x:v/>
      </x:c>
      <x:c r="M91" s="59" t="str">
        <x:f t="shared" si="19"/>
        <x:v/>
      </x:c>
    </x:row>
    <x:row r="92" spans="2:13" ht="24.949999999999999" customHeight="1">
      <x:c r="B92" s="29" t="str">
        <x:f t="shared" si="17"/>
        <x:v/>
      </x:c>
      <x:c r="C92" s="66" t="str">
        <x:f t="shared" si="17"/>
        <x:v/>
      </x:c>
      <x:c r="D92" s="33" t="str">
        <x:f t="shared" si="17"/>
        <x:v/>
      </x:c>
      <x:c r="E92" s="69" t="str">
        <x:f t="shared" si="17"/>
        <x:v/>
      </x:c>
      <x:c r="F92" s="31" t="str">
        <x:f t="shared" si="17"/>
        <x:v/>
      </x:c>
      <x:c r="G92" s="72" t="str">
        <x:f t="shared" si="17"/>
        <x:v/>
      </x:c>
      <x:c r="H92" s="157"/>
      <x:c r="I92" s="24" t="str">
        <x:f>IF(I35="","",I35)</x:f>
        <x:v/>
      </x:c>
      <x:c r="J92" s="52" t="str">
        <x:f>IF(J35="","",J35)</x:f>
        <x:v/>
      </x:c>
      <x:c r="K92" s="60" t="str">
        <x:f t="shared" si="19"/>
        <x:v/>
      </x:c>
      <x:c r="L92" s="53" t="str">
        <x:f t="shared" si="19"/>
        <x:v/>
      </x:c>
      <x:c r="M92" s="61" t="str">
        <x:f t="shared" si="19"/>
        <x:v/>
      </x:c>
    </x:row>
    <x:row r="93" spans="2:13" ht="24.949999999999999" customHeight="1">
      <x:c r="B93" s="163" t="s">
        <x:v>51</x:v>
      </x:c>
      <x:c r="C93" s="164"/>
      <x:c r="D93" s="164"/>
      <x:c r="E93" s="164"/>
      <x:c r="F93" s="164"/>
      <x:c r="G93" s="164"/>
      <x:c r="H93" s="164"/>
      <x:c r="I93" s="164"/>
      <x:c r="J93" s="164"/>
      <x:c r="K93" s="164"/>
      <x:c r="L93" s="164"/>
      <x:c r="M93" s="165"/>
    </x:row>
    <x:row r="94" spans="2:13" ht="24.949999999999999" customHeight="1">
      <x:c r="B94" s="35" t="str">
        <x:f t="shared" ref="B94:F98" si="20">IF(B37="","",B37)</x:f>
        <x:v>이 우 석</x:v>
      </x:c>
      <x:c r="C94" s="135">
        <x:f t="shared" si="20"/>
        <x:v>12</x:v>
      </x:c>
      <x:c r="D94" s="40">
        <x:f t="shared" si="20"/>
        <x:v>-9</x:v>
      </x:c>
      <x:c r="E94" s="40">
        <x:f t="shared" si="20"/>
        <x:v>18</x:v>
      </x:c>
      <x:c r="F94" s="141">
        <x:f>E97</x:f>
        <x:v>-6</x:v>
      </x:c>
      <x:c r="G94" s="144">
        <x:v>4</x:v>
      </x:c>
      <x:c r="H94" s="79" t="str">
        <x:f t="shared" ref="H94:L98" si="21">IF(H37="","",H37)</x:f>
        <x:v>장 영 민</x:v>
      </x:c>
      <x:c r="I94" s="135">
        <x:f t="shared" si="21"/>
        <x:v>2</x:v>
      </x:c>
      <x:c r="J94" s="135">
        <x:f t="shared" si="21"/>
        <x:v>65</x:v>
      </x:c>
      <x:c r="K94" s="135">
        <x:f t="shared" si="21"/>
        <x:v>-38</x:v>
      </x:c>
      <x:c r="L94" s="149">
        <x:f>K94</x:f>
        <x:v>-38</x:v>
      </x:c>
      <x:c r="M94" s="152">
        <x:v>5</x:v>
      </x:c>
    </x:row>
    <x:row r="95" spans="2:13" ht="24.949999999999999" customHeight="1">
      <x:c r="B95" s="36" t="str">
        <x:f t="shared" si="20"/>
        <x:v>김 정 희</x:v>
      </x:c>
      <x:c r="C95" s="41">
        <x:f t="shared" si="20"/>
        <x:v>-18</x:v>
      </x:c>
      <x:c r="D95" s="41">
        <x:f t="shared" si="20"/>
        <x:v>-33</x:v>
      </x:c>
      <x:c r="E95" s="41">
        <x:f t="shared" si="20"/>
        <x:v>23</x:v>
      </x:c>
      <x:c r="F95" s="142" t="str">
        <x:f t="shared" si="20"/>
        <x:v/>
      </x:c>
      <x:c r="G95" s="145"/>
      <x:c r="H95" s="36" t="str">
        <x:f t="shared" si="21"/>
        <x:v>김 태 환</x:v>
      </x:c>
      <x:c r="I95" s="134">
        <x:f t="shared" si="21"/>
        <x:v>4</x:v>
      </x:c>
      <x:c r="J95" s="41">
        <x:f t="shared" si="21"/>
        <x:v>-35</x:v>
      </x:c>
      <x:c r="K95" s="41">
        <x:f t="shared" si="21"/>
        <x:v>18</x:v>
      </x:c>
      <x:c r="L95" s="150" t="str">
        <x:f t="shared" si="21"/>
        <x:v/>
      </x:c>
      <x:c r="M95" s="153"/>
    </x:row>
    <x:row r="96" spans="2:13" ht="24.949999999999999" customHeight="1">
      <x:c r="B96" s="36" t="str">
        <x:f t="shared" si="20"/>
        <x:v>이 정 석</x:v>
      </x:c>
      <x:c r="C96" s="41">
        <x:f t="shared" si="20"/>
        <x:v>-14</x:v>
      </x:c>
      <x:c r="D96" s="41">
        <x:f t="shared" si="20"/>
        <x:v>5</x:v>
      </x:c>
      <x:c r="E96" s="41">
        <x:f t="shared" si="20"/>
        <x:v>-4</x:v>
      </x:c>
      <x:c r="F96" s="142" t="str">
        <x:f t="shared" si="20"/>
        <x:v/>
      </x:c>
      <x:c r="G96" s="145"/>
      <x:c r="H96" s="36" t="str">
        <x:f t="shared" si="21"/>
        <x:v>천 성 일</x:v>
      </x:c>
      <x:c r="I96" s="134">
        <x:f t="shared" si="21"/>
        <x:v>-16</x:v>
      </x:c>
      <x:c r="J96" s="41">
        <x:f t="shared" si="21"/>
        <x:v>-12</x:v>
      </x:c>
      <x:c r="K96" s="41">
        <x:f t="shared" si="21"/>
        <x:v>-64</x:v>
      </x:c>
      <x:c r="L96" s="150" t="str">
        <x:f t="shared" si="21"/>
        <x:v/>
      </x:c>
      <x:c r="M96" s="153"/>
    </x:row>
    <x:row r="97" spans="2:13" ht="24.949999999999999" customHeight="1">
      <x:c r="B97" s="36" t="str">
        <x:f t="shared" si="20"/>
        <x:v>황 인 교</x:v>
      </x:c>
      <x:c r="C97" s="134">
        <x:f t="shared" si="20"/>
        <x:v>-1</x:v>
      </x:c>
      <x:c r="D97" s="134">
        <x:f t="shared" si="20"/>
        <x:v>29</x:v>
      </x:c>
      <x:c r="E97" s="134">
        <x:f t="shared" si="20"/>
        <x:v>-6</x:v>
      </x:c>
      <x:c r="F97" s="142" t="str">
        <x:f t="shared" si="20"/>
        <x:v/>
      </x:c>
      <x:c r="G97" s="145"/>
      <x:c r="H97" s="36" t="str">
        <x:f t="shared" si="21"/>
        <x:v>진 명 옥</x:v>
      </x:c>
      <x:c r="I97" s="41">
        <x:f t="shared" si="21"/>
        <x:v>-22</x:v>
      </x:c>
      <x:c r="J97" s="41">
        <x:f t="shared" si="21"/>
        <x:v>-2</x:v>
      </x:c>
      <x:c r="K97" s="41">
        <x:f t="shared" si="21"/>
        <x:v>-8</x:v>
      </x:c>
      <x:c r="L97" s="150" t="str">
        <x:f t="shared" si="21"/>
        <x:v/>
      </x:c>
      <x:c r="M97" s="153"/>
    </x:row>
    <x:row r="98" spans="2:13" ht="24.949999999999999" customHeight="1">
      <x:c r="B98" s="36" t="str">
        <x:f t="shared" si="20"/>
        <x:v>손 은 주</x:v>
      </x:c>
      <x:c r="C98" s="134">
        <x:f t="shared" si="20"/>
        <x:v>4</x:v>
      </x:c>
      <x:c r="D98" s="41">
        <x:f t="shared" si="20"/>
        <x:v>8</x:v>
      </x:c>
      <x:c r="E98" s="41">
        <x:f t="shared" si="20"/>
        <x:v>-4</x:v>
      </x:c>
      <x:c r="F98" s="142" t="str">
        <x:f t="shared" si="20"/>
        <x:v/>
      </x:c>
      <x:c r="G98" s="145"/>
      <x:c r="H98" s="36">
        <x:f t="shared" si="21"/>
        <x:v>0</x:v>
      </x:c>
      <x:c r="I98" s="41">
        <x:f t="shared" si="21"/>
        <x:v>0</x:v>
      </x:c>
      <x:c r="J98" s="41">
        <x:f t="shared" si="21"/>
        <x:v>0</x:v>
      </x:c>
      <x:c r="K98" s="41">
        <x:f t="shared" si="21"/>
        <x:v>0</x:v>
      </x:c>
      <x:c r="L98" s="150" t="str">
        <x:f t="shared" si="21"/>
        <x:v/>
      </x:c>
      <x:c r="M98" s="153"/>
    </x:row>
    <x:row r="99" spans="2:13" ht="24.949999999999999" customHeight="1">
      <x:c r="B99" s="37" t="str">
        <x:f t="shared" ref="B99:F99" si="22">IF(B42="","",B42)</x:f>
        <x:v/>
      </x:c>
      <x:c r="C99" s="42">
        <x:f t="shared" si="22"/>
        <x:v>-17</x:v>
      </x:c>
      <x:c r="D99" s="42">
        <x:f t="shared" si="22"/>
        <x:v>0</x:v>
      </x:c>
      <x:c r="E99" s="42">
        <x:f t="shared" si="22"/>
        <x:v>27</x:v>
      </x:c>
      <x:c r="F99" s="143" t="str">
        <x:f t="shared" si="22"/>
        <x:v/>
      </x:c>
      <x:c r="G99" s="146"/>
      <x:c r="H99" s="37" t="str">
        <x:f t="shared" ref="H99:L99" si="23">IF(H42="","",H42)</x:f>
        <x:v/>
      </x:c>
      <x:c r="I99" s="42">
        <x:f t="shared" si="23"/>
        <x:v>-32</x:v>
      </x:c>
      <x:c r="J99" s="42">
        <x:f t="shared" si="23"/>
        <x:v>16</x:v>
      </x:c>
      <x:c r="K99" s="42">
        <x:f t="shared" si="23"/>
        <x:v>-92</x:v>
      </x:c>
      <x:c r="L99" s="151" t="str">
        <x:f t="shared" si="23"/>
        <x:v/>
      </x:c>
      <x:c r="M99" s="154"/>
    </x:row>
    <x:row r="100" spans="2:13" ht="24.949999999999999" customHeight="1"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</x:row>
    <x:row r="101" spans="2:13" ht="24.949999999999999" customHeight="1">
      <x:c r="B101" s="35" t="str">
        <x:f t="shared" ref="B101:M105" si="24">IF(B44="","",B44)</x:f>
        <x:v>이 대 용</x:v>
      </x:c>
      <x:c r="C101" s="135">
        <x:f t="shared" si="24"/>
        <x:v>1</x:v>
      </x:c>
      <x:c r="D101" s="135">
        <x:f t="shared" si="24"/>
        <x:v>-8</x:v>
      </x:c>
      <x:c r="E101" s="135">
        <x:f t="shared" si="24"/>
        <x:v>-4</x:v>
      </x:c>
      <x:c r="F101" s="149">
        <x:f>E101</x:f>
        <x:v>-4</x:v>
      </x:c>
      <x:c r="G101" s="152">
        <x:v>3</x:v>
      </x:c>
      <x:c r="H101" s="79" t="str">
        <x:f t="shared" si="24"/>
        <x:v>임 승 기</x:v>
      </x:c>
      <x:c r="I101" s="135">
        <x:f t="shared" si="24"/>
        <x:v>-7</x:v>
      </x:c>
      <x:c r="J101" s="135">
        <x:f t="shared" si="24"/>
        <x:v>36</x:v>
      </x:c>
      <x:c r="K101" s="135">
        <x:f t="shared" si="24"/>
        <x:v>22</x:v>
      </x:c>
      <x:c r="L101" s="149">
        <x:f>K101</x:f>
        <x:v>22</x:v>
      </x:c>
      <x:c r="M101" s="152">
        <x:v>1</x:v>
      </x:c>
    </x:row>
    <x:row r="102" spans="2:13" ht="24.949999999999999" customHeight="1">
      <x:c r="B102" s="36" t="str">
        <x:f t="shared" si="24"/>
        <x:v>김 미 란</x:v>
      </x:c>
      <x:c r="C102" s="134">
        <x:f t="shared" si="24"/>
        <x:v>41</x:v>
      </x:c>
      <x:c r="D102" s="41">
        <x:f t="shared" si="24"/>
        <x:v>-8</x:v>
      </x:c>
      <x:c r="E102" s="41">
        <x:f t="shared" si="24"/>
        <x:v>9</x:v>
      </x:c>
      <x:c r="F102" s="150" t="str">
        <x:f t="shared" si="24"/>
        <x:v/>
      </x:c>
      <x:c r="G102" s="153" t="str">
        <x:f t="shared" si="24"/>
        <x:v/>
      </x:c>
      <x:c r="H102" s="36" t="str">
        <x:f t="shared" si="24"/>
        <x:v>임 연 진</x:v>
      </x:c>
      <x:c r="I102" s="134">
        <x:f t="shared" si="24"/>
        <x:v>-1</x:v>
      </x:c>
      <x:c r="J102" s="41">
        <x:f t="shared" si="24"/>
        <x:v>-18</x:v>
      </x:c>
      <x:c r="K102" s="41">
        <x:f t="shared" si="24"/>
        <x:v>-19</x:v>
      </x:c>
      <x:c r="L102" s="150" t="str">
        <x:f t="shared" si="24"/>
        <x:v/>
      </x:c>
      <x:c r="M102" s="153" t="str">
        <x:f t="shared" si="24"/>
        <x:v/>
      </x:c>
    </x:row>
    <x:row r="103" spans="2:13" ht="24.949999999999999" customHeight="1">
      <x:c r="B103" s="36" t="str">
        <x:f t="shared" si="24"/>
        <x:v>이 승 미</x:v>
      </x:c>
      <x:c r="C103" s="134">
        <x:f t="shared" si="24"/>
        <x:v>23</x:v>
      </x:c>
      <x:c r="D103" s="41">
        <x:f t="shared" si="24"/>
        <x:v>-8</x:v>
      </x:c>
      <x:c r="E103" s="41">
        <x:f t="shared" si="24"/>
        <x:v>-33</x:v>
      </x:c>
      <x:c r="F103" s="150" t="str">
        <x:f t="shared" si="24"/>
        <x:v/>
      </x:c>
      <x:c r="G103" s="153" t="str">
        <x:f t="shared" si="24"/>
        <x:v/>
      </x:c>
      <x:c r="H103" s="36" t="str">
        <x:f t="shared" si="24"/>
        <x:v>고 경 훈</x:v>
      </x:c>
      <x:c r="I103" s="41">
        <x:f t="shared" si="24"/>
        <x:v>-62</x:v>
      </x:c>
      <x:c r="J103" s="41">
        <x:f t="shared" si="24"/>
        <x:v>35</x:v>
      </x:c>
      <x:c r="K103" s="41">
        <x:f t="shared" si="24"/>
        <x:v>-1</x:v>
      </x:c>
      <x:c r="L103" s="150" t="str">
        <x:f t="shared" si="24"/>
        <x:v/>
      </x:c>
      <x:c r="M103" s="153" t="str">
        <x:f t="shared" si="24"/>
        <x:v/>
      </x:c>
    </x:row>
    <x:row r="104" spans="2:13" ht="24.949999999999999" customHeight="1">
      <x:c r="B104" s="36" t="str">
        <x:f t="shared" si="24"/>
        <x:v>나 경 주</x:v>
      </x:c>
      <x:c r="C104" s="41">
        <x:f t="shared" si="24"/>
        <x:v>-25</x:v>
      </x:c>
      <x:c r="D104" s="41">
        <x:f t="shared" si="24"/>
        <x:v>-45</x:v>
      </x:c>
      <x:c r="E104" s="41">
        <x:f t="shared" si="24"/>
        <x:v>-7</x:v>
      </x:c>
      <x:c r="F104" s="150" t="str">
        <x:f t="shared" si="24"/>
        <x:v/>
      </x:c>
      <x:c r="G104" s="153" t="str">
        <x:f t="shared" si="24"/>
        <x:v/>
      </x:c>
      <x:c r="H104" s="36" t="str">
        <x:f t="shared" si="24"/>
        <x:v>김 종 훈</x:v>
      </x:c>
      <x:c r="I104" s="134">
        <x:f t="shared" si="24"/>
        <x:v>-29</x:v>
      </x:c>
      <x:c r="J104" s="41">
        <x:f t="shared" si="24"/>
        <x:v>-39</x:v>
      </x:c>
      <x:c r="K104" s="41">
        <x:f t="shared" si="24"/>
        <x:v>-31</x:v>
      </x:c>
      <x:c r="L104" s="150" t="str">
        <x:f t="shared" si="24"/>
        <x:v/>
      </x:c>
      <x:c r="M104" s="153" t="str">
        <x:f t="shared" si="24"/>
        <x:v/>
      </x:c>
    </x:row>
    <x:row r="105" spans="2:13" ht="24.949999999999999" customHeight="1">
      <x:c r="B105" s="36" t="str">
        <x:f t="shared" si="24"/>
        <x:v>박 성 현</x:v>
      </x:c>
      <x:c r="C105" s="41">
        <x:f t="shared" si="24"/>
        <x:v>-45</x:v>
      </x:c>
      <x:c r="D105" s="41">
        <x:f t="shared" si="24"/>
        <x:v>79</x:v>
      </x:c>
      <x:c r="E105" s="41">
        <x:f t="shared" si="24"/>
        <x:v>11</x:v>
      </x:c>
      <x:c r="F105" s="150" t="str">
        <x:f t="shared" si="24"/>
        <x:v/>
      </x:c>
      <x:c r="G105" s="153" t="str">
        <x:f t="shared" si="24"/>
        <x:v/>
      </x:c>
      <x:c r="H105" s="36">
        <x:f t="shared" si="24"/>
        <x:v>0</x:v>
      </x:c>
      <x:c r="I105" s="41">
        <x:f t="shared" si="24"/>
        <x:v>0</x:v>
      </x:c>
      <x:c r="J105" s="41">
        <x:f t="shared" si="24"/>
        <x:v>0</x:v>
      </x:c>
      <x:c r="K105" s="41">
        <x:f t="shared" si="24"/>
        <x:v>0</x:v>
      </x:c>
      <x:c r="L105" s="150" t="str">
        <x:f t="shared" si="24"/>
        <x:v/>
      </x:c>
      <x:c r="M105" s="153" t="str">
        <x:f t="shared" si="24"/>
        <x:v/>
      </x:c>
    </x:row>
    <x:row r="106" spans="2:13" ht="24.949999999999999" customHeight="1">
      <x:c r="B106" s="37" t="str">
        <x:f t="shared" ref="B106:M106" si="25">IF(B49="","",B49)</x:f>
        <x:v/>
      </x:c>
      <x:c r="C106" s="42">
        <x:f t="shared" si="25"/>
        <x:v>-5</x:v>
      </x:c>
      <x:c r="D106" s="42">
        <x:f t="shared" si="25"/>
        <x:v>10</x:v>
      </x:c>
      <x:c r="E106" s="42">
        <x:f t="shared" si="25"/>
        <x:v>-24</x:v>
      </x:c>
      <x:c r="F106" s="151" t="str">
        <x:f t="shared" si="25"/>
        <x:v/>
      </x:c>
      <x:c r="G106" s="154" t="str">
        <x:f t="shared" si="25"/>
        <x:v/>
      </x:c>
      <x:c r="H106" s="37" t="str">
        <x:f t="shared" si="25"/>
        <x:v/>
      </x:c>
      <x:c r="I106" s="42">
        <x:f t="shared" si="25"/>
        <x:v>-99</x:v>
      </x:c>
      <x:c r="J106" s="42">
        <x:f t="shared" si="25"/>
        <x:v>14</x:v>
      </x:c>
      <x:c r="K106" s="42">
        <x:f t="shared" si="25"/>
        <x:v>-29</x:v>
      </x:c>
      <x:c r="L106" s="151" t="str">
        <x:f t="shared" si="25"/>
        <x:v/>
      </x:c>
      <x:c r="M106" s="154" t="str">
        <x:f t="shared" si="25"/>
        <x:v/>
      </x:c>
    </x:row>
    <x:row r="107" ht="24.949999999999999" customHeight="1"/>
    <x:row r="108" spans="2:13" ht="24.949999999999999" customHeight="1">
      <x:c r="B108" s="35" t="str">
        <x:f t="shared" ref="B108:G112" si="26">IF(B51="","",B51)</x:f>
        <x:v>변 상 필</x:v>
      </x:c>
      <x:c r="C108" s="135">
        <x:f t="shared" si="26"/>
        <x:v>42</x:v>
      </x:c>
      <x:c r="D108" s="40">
        <x:f t="shared" si="26"/>
        <x:v>-39</x:v>
      </x:c>
      <x:c r="E108" s="40">
        <x:f t="shared" si="26"/>
        <x:v>2</x:v>
      </x:c>
      <x:c r="F108" s="141">
        <x:f>E110</x:f>
        <x:v>20</x:v>
      </x:c>
      <x:c r="G108" s="144">
        <x:v>2</x:v>
      </x:c>
      <x:c r="H108" s="18"/>
      <x:c r="I108" s="80"/>
      <x:c r="J108" s="80"/>
      <x:c r="K108" s="80"/>
      <x:c r="L108" s="147"/>
      <x:c r="M108" s="148"/>
    </x:row>
    <x:row r="109" spans="2:13" ht="24.949999999999999" customHeight="1">
      <x:c r="B109" s="36" t="str">
        <x:f t="shared" si="26"/>
        <x:v>지 옥 명</x:v>
      </x:c>
      <x:c r="C109" s="134">
        <x:f t="shared" si="26"/>
        <x:v>47</x:v>
      </x:c>
      <x:c r="D109" s="41">
        <x:f t="shared" si="26"/>
        <x:v>-31</x:v>
      </x:c>
      <x:c r="E109" s="41">
        <x:f t="shared" si="26"/>
        <x:v>9</x:v>
      </x:c>
      <x:c r="F109" s="142" t="str">
        <x:f t="shared" si="26"/>
        <x:v/>
      </x:c>
      <x:c r="G109" s="145" t="str">
        <x:f t="shared" si="26"/>
        <x:v/>
      </x:c>
      <x:c r="H109" s="18"/>
      <x:c r="I109" s="80"/>
      <x:c r="J109" s="80"/>
      <x:c r="K109" s="80"/>
      <x:c r="L109" s="147"/>
      <x:c r="M109" s="148"/>
    </x:row>
    <x:row r="110" spans="2:13" ht="24.949999999999999" customHeight="1">
      <x:c r="B110" s="36" t="str">
        <x:f t="shared" si="26"/>
        <x:v>이 상 현</x:v>
      </x:c>
      <x:c r="C110" s="134">
        <x:f t="shared" si="26"/>
        <x:v>11</x:v>
      </x:c>
      <x:c r="D110" s="134">
        <x:f t="shared" si="26"/>
        <x:v>54</x:v>
      </x:c>
      <x:c r="E110" s="134">
        <x:f t="shared" si="26"/>
        <x:v>20</x:v>
      </x:c>
      <x:c r="F110" s="142" t="str">
        <x:f t="shared" si="26"/>
        <x:v/>
      </x:c>
      <x:c r="G110" s="145" t="str">
        <x:f t="shared" si="26"/>
        <x:v/>
      </x:c>
      <x:c r="H110" s="18"/>
      <x:c r="I110" s="80"/>
      <x:c r="J110" s="80"/>
      <x:c r="K110" s="80"/>
      <x:c r="L110" s="147"/>
      <x:c r="M110" s="148"/>
    </x:row>
    <x:row r="111" spans="2:13" ht="24.949999999999999" customHeight="1">
      <x:c r="B111" s="36" t="str">
        <x:f t="shared" si="26"/>
        <x:v>최  진</x:v>
      </x:c>
      <x:c r="C111" s="41">
        <x:f t="shared" si="26"/>
        <x:v>0</x:v>
      </x:c>
      <x:c r="D111" s="41">
        <x:f t="shared" si="26"/>
        <x:v>0</x:v>
      </x:c>
      <x:c r="E111" s="41">
        <x:f t="shared" si="26"/>
        <x:v>0</x:v>
      </x:c>
      <x:c r="F111" s="142" t="str">
        <x:f t="shared" si="26"/>
        <x:v/>
      </x:c>
      <x:c r="G111" s="145" t="str">
        <x:f t="shared" si="26"/>
        <x:v/>
      </x:c>
      <x:c r="H111" s="18"/>
      <x:c r="I111" s="80"/>
      <x:c r="J111" s="80"/>
      <x:c r="K111" s="80"/>
      <x:c r="L111" s="147"/>
      <x:c r="M111" s="148"/>
    </x:row>
    <x:row r="112" spans="2:13" ht="24.949999999999999" customHeight="1">
      <x:c r="B112" s="36" t="str">
        <x:f t="shared" si="26"/>
        <x:v>김 선 미</x:v>
      </x:c>
      <x:c r="C112" s="41">
        <x:f t="shared" si="26"/>
        <x:v>6</x:v>
      </x:c>
      <x:c r="D112" s="41">
        <x:f t="shared" si="26"/>
        <x:v>-14</x:v>
      </x:c>
      <x:c r="E112" s="41">
        <x:f t="shared" si="26"/>
        <x:v>10</x:v>
      </x:c>
      <x:c r="F112" s="142" t="str">
        <x:f t="shared" si="26"/>
        <x:v/>
      </x:c>
      <x:c r="G112" s="145" t="str">
        <x:f t="shared" si="26"/>
        <x:v/>
      </x:c>
      <x:c r="H112" s="18"/>
      <x:c r="I112" s="80"/>
      <x:c r="J112" s="80"/>
      <x:c r="K112" s="80"/>
      <x:c r="L112" s="147"/>
      <x:c r="M112" s="148"/>
    </x:row>
    <x:row r="113" spans="2:13" ht="24.949999999999999" customHeight="1">
      <x:c r="B113" s="37" t="str">
        <x:f t="shared" ref="B113:G113" si="27">IF(B56="","",B56)</x:f>
        <x:v/>
      </x:c>
      <x:c r="C113" s="42">
        <x:f t="shared" si="27"/>
        <x:v>106</x:v>
      </x:c>
      <x:c r="D113" s="42">
        <x:f t="shared" si="27"/>
        <x:v>-30</x:v>
      </x:c>
      <x:c r="E113" s="42">
        <x:f t="shared" si="27"/>
        <x:v>41</x:v>
      </x:c>
      <x:c r="F113" s="143" t="str">
        <x:f t="shared" si="27"/>
        <x:v/>
      </x:c>
      <x:c r="G113" s="146" t="str">
        <x:f t="shared" si="27"/>
        <x:v/>
      </x:c>
      <x:c r="H113" s="18"/>
      <x:c r="I113" s="81"/>
      <x:c r="J113" s="81"/>
      <x:c r="K113" s="81"/>
      <x:c r="L113" s="147"/>
      <x:c r="M113" s="148"/>
    </x:row>
  </x:sheetData>
  <x:mergeCells count="48">
    <x:mergeCell ref="F108:F113"/>
    <x:mergeCell ref="G108:G113"/>
    <x:mergeCell ref="L108:L113"/>
    <x:mergeCell ref="M108:M113"/>
    <x:mergeCell ref="F94:F99"/>
    <x:mergeCell ref="G94:G99"/>
    <x:mergeCell ref="L94:L99"/>
    <x:mergeCell ref="M94:M99"/>
    <x:mergeCell ref="F101:F106"/>
    <x:mergeCell ref="G101:G106"/>
    <x:mergeCell ref="L101:L106"/>
    <x:mergeCell ref="M101:M106"/>
    <x:mergeCell ref="B89:G89"/>
    <x:mergeCell ref="H89:H92"/>
    <x:mergeCell ref="I89:J89"/>
    <x:mergeCell ref="K89:M89"/>
    <x:mergeCell ref="B93:M93"/>
    <x:mergeCell ref="L61:M61"/>
    <x:mergeCell ref="B86:M86"/>
    <x:mergeCell ref="B87:E87"/>
    <x:mergeCell ref="F87:F88"/>
    <x:mergeCell ref="G87:I87"/>
    <x:mergeCell ref="J87:M87"/>
    <x:mergeCell ref="G88:I88"/>
    <x:mergeCell ref="F51:F56"/>
    <x:mergeCell ref="G51:G56"/>
    <x:mergeCell ref="A60:M60"/>
    <x:mergeCell ref="F37:F42"/>
    <x:mergeCell ref="G37:G42"/>
    <x:mergeCell ref="L37:L42"/>
    <x:mergeCell ref="M37:M42"/>
    <x:mergeCell ref="F44:F49"/>
    <x:mergeCell ref="G44:G49"/>
    <x:mergeCell ref="L44:L49"/>
    <x:mergeCell ref="M44:M49"/>
    <x:mergeCell ref="B32:G32"/>
    <x:mergeCell ref="H32:H35"/>
    <x:mergeCell ref="I32:J32"/>
    <x:mergeCell ref="K32:M32"/>
    <x:mergeCell ref="B36:M36"/>
    <x:mergeCell ref="A1:M1"/>
    <x:mergeCell ref="L2:M2"/>
    <x:mergeCell ref="B29:M29"/>
    <x:mergeCell ref="B30:E30"/>
    <x:mergeCell ref="F30:F31"/>
    <x:mergeCell ref="G30:I30"/>
    <x:mergeCell ref="J30:M30"/>
    <x:mergeCell ref="G31:I31"/>
  </x:mergeCells>
  <x:conditionalFormatting sqref="C33:C35">
    <x:cfRule type="cellIs" dxfId="134" priority="19" operator="greaterThan">
      <x:formula>199</x:formula>
    </x:cfRule>
  </x:conditionalFormatting>
  <x:conditionalFormatting sqref="C90:C92">
    <x:cfRule type="cellIs" dxfId="133" priority="3" operator="greaterThan">
      <x:formula>199</x:formula>
    </x:cfRule>
  </x:conditionalFormatting>
  <x:conditionalFormatting sqref="C4:E28">
    <x:cfRule type="cellIs" dxfId="132" priority="14" operator="between">
      <x:formula>200</x:formula>
      <x:formula>200</x:formula>
    </x:cfRule>
    <x:cfRule type="cellIs" dxfId="131" priority="13" operator="between">
      <x:formula>200</x:formula>
      <x:formula>300</x:formula>
    </x:cfRule>
  </x:conditionalFormatting>
  <x:conditionalFormatting sqref="C63:E85">
    <x:cfRule type="cellIs" dxfId="130" priority="7" operator="between">
      <x:formula>200</x:formula>
      <x:formula>200</x:formula>
    </x:cfRule>
    <x:cfRule type="cellIs" dxfId="129" priority="6" operator="between">
      <x:formula>200</x:formula>
      <x:formula>300</x:formula>
    </x:cfRule>
  </x:conditionalFormatting>
  <x:conditionalFormatting sqref="E33:E35">
    <x:cfRule type="cellIs" dxfId="128" priority="18" operator="greaterThan">
      <x:formula>199</x:formula>
    </x:cfRule>
  </x:conditionalFormatting>
  <x:conditionalFormatting sqref="E90:E92">
    <x:cfRule type="cellIs" dxfId="127" priority="2" operator="greaterThan">
      <x:formula>199</x:formula>
    </x:cfRule>
  </x:conditionalFormatting>
  <x:conditionalFormatting sqref="F4:F28">
    <x:cfRule type="cellIs" dxfId="126" priority="22" operator="greaterThan">
      <x:formula>599</x:formula>
    </x:cfRule>
    <x:cfRule type="cellIs" dxfId="125" priority="12" operator="between">
      <x:formula>600</x:formula>
      <x:formula>900</x:formula>
    </x:cfRule>
  </x:conditionalFormatting>
  <x:conditionalFormatting sqref="F63:F85">
    <x:cfRule type="cellIs" dxfId="124" priority="10" operator="greaterThan">
      <x:formula>599</x:formula>
    </x:cfRule>
    <x:cfRule type="cellIs" dxfId="123" priority="5" operator="between">
      <x:formula>600</x:formula>
      <x:formula>900</x:formula>
    </x:cfRule>
  </x:conditionalFormatting>
  <x:conditionalFormatting sqref="G4:G28">
    <x:cfRule type="cellIs" dxfId="122" priority="20" operator="greaterThan">
      <x:formula>199.9</x:formula>
    </x:cfRule>
  </x:conditionalFormatting>
  <x:conditionalFormatting sqref="G33:G35">
    <x:cfRule type="cellIs" dxfId="121" priority="17" operator="greaterThan">
      <x:formula>199</x:formula>
    </x:cfRule>
  </x:conditionalFormatting>
  <x:conditionalFormatting sqref="G63:G85">
    <x:cfRule type="cellIs" dxfId="120" priority="8" operator="greaterThan">
      <x:formula>199.9</x:formula>
    </x:cfRule>
  </x:conditionalFormatting>
  <x:conditionalFormatting sqref="G90:G92">
    <x:cfRule type="cellIs" dxfId="119" priority="1" operator="greaterThan">
      <x:formula>199</x:formula>
    </x:cfRule>
  </x:conditionalFormatting>
  <x:conditionalFormatting sqref="G4:H28">
    <x:cfRule type="cellIs" dxfId="118" priority="11" operator="between">
      <x:formula>200</x:formula>
      <x:formula>300</x:formula>
    </x:cfRule>
  </x:conditionalFormatting>
  <x:conditionalFormatting sqref="G63:H85">
    <x:cfRule type="cellIs" dxfId="117" priority="4" operator="between">
      <x:formula>200</x:formula>
      <x:formula>300</x:formula>
    </x:cfRule>
  </x:conditionalFormatting>
  <x:conditionalFormatting sqref="H4:H28">
    <x:cfRule type="cellIs" dxfId="116" priority="21" operator="greaterThan">
      <x:formula>199</x:formula>
    </x:cfRule>
  </x:conditionalFormatting>
  <x:conditionalFormatting sqref="H63:H85">
    <x:cfRule type="cellIs" dxfId="115" priority="9" operator="greaterThan">
      <x:formula>199</x:formula>
    </x:cfRule>
  </x:conditionalFormatting>
  <x:conditionalFormatting sqref="O32:O32">
    <x:cfRule type="cellIs" dxfId="114" priority="16" operator="greaterThan">
      <x:formula>200</x:formula>
    </x:cfRule>
  </x:conditionalFormatting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  <x:legacyDrawing r:id="rId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V117"/>
  <x:sheetViews>
    <x:sheetView topLeftCell="A1" zoomScale="85" zoomScaleNormal="85" zoomScaleSheetLayoutView="85" workbookViewId="0">
      <x:selection activeCell="A91" activeCellId="0" sqref="A91:A91"/>
    </x:sheetView>
  </x:sheetViews>
  <x:sheetFormatPr defaultColWidth="9" defaultRowHeight="16.399999999999999"/>
  <x:cols>
    <x:col min="1" max="1" width="4.625" style="11" customWidth="1"/>
    <x:col min="2" max="2" width="10.625" style="11" customWidth="1"/>
    <x:col min="3" max="11" width="9.625" style="11" customWidth="1"/>
    <x:col min="12" max="12" width="9" style="11" customWidth="1"/>
    <x:col min="13" max="13" width="9" style="11" bestFit="1" customWidth="1"/>
    <x:col min="14" max="14" width="9.875" style="11" bestFit="1" customWidth="1"/>
    <x:col min="15" max="15" width="9.375" style="11" customWidth="1"/>
    <x:col min="17" max="17" width="10.625" style="11" customWidth="1"/>
    <x:col min="19" max="19" width="13.125" style="11" customWidth="1"/>
    <x:col min="20" max="20" width="9" style="5" bestFit="1" customWidth="1"/>
    <x:col min="21" max="21" width="15" style="11" customWidth="1"/>
    <x:col min="22" max="22" width="9" style="5" bestFit="1" customWidth="1"/>
  </x:cols>
  <x:sheetData>
    <x:row r="1" spans="1:13" ht="60" customHeight="1">
      <x:c r="A1" s="185" t="s">
        <x:v>72</x:v>
      </x:c>
      <x:c r="B1" s="185"/>
      <x:c r="C1" s="185"/>
      <x:c r="D1" s="185"/>
      <x:c r="E1" s="185"/>
      <x:c r="F1" s="185"/>
      <x:c r="G1" s="185"/>
      <x:c r="H1" s="185"/>
      <x:c r="I1" s="185"/>
      <x:c r="J1" s="185"/>
      <x:c r="K1" s="185"/>
      <x:c r="L1" s="185"/>
      <x:c r="M1" s="185"/>
    </x:row>
    <x:row r="2" spans="1:22" ht="22.5" customHeight="1">
      <x:c r="A2" s="77"/>
      <x:c r="B2" s="77"/>
      <x:c r="C2" s="77"/>
      <x:c r="D2" s="77"/>
      <x:c r="E2" s="77"/>
      <x:c r="F2" s="77"/>
      <x:c r="G2" s="77"/>
      <x:c r="H2" s="77"/>
      <x:c r="I2" s="77"/>
      <x:c r="J2" s="77"/>
      <x:c r="K2" s="78" t="s">
        <x:v>8</x:v>
      </x:c>
      <x:c r="L2" s="166">
        <x:v>46086</x:v>
      </x:c>
      <x:c r="M2" s="167"/>
      <x:c r="S2" s="89" t="s">
        <x:v>44</x:v>
      </x:c>
      <x:c r="T2" s="90">
        <x:v>1</x:v>
      </x:c>
      <x:c r="U2" s="112" t="s">
        <x:v>61</x:v>
      </x:c>
      <x:c r="V2" s="90">
        <x:v>1</x:v>
      </x:c>
    </x:row>
    <x:row r="3" spans="1:22" ht="24.949999999999999" customHeight="1">
      <x:c r="A3" s="20"/>
      <x:c r="B3" s="14" t="s">
        <x:v>53</x:v>
      </x:c>
      <x:c r="C3" s="14" t="s">
        <x:v>2</x:v>
      </x:c>
      <x:c r="D3" s="14" t="s">
        <x:v>0</x:v>
      </x:c>
      <x:c r="E3" s="14" t="s">
        <x:v>10</x:v>
      </x:c>
      <x:c r="F3" s="14" t="s">
        <x:v>9</x:v>
      </x:c>
      <x:c r="G3" s="14" t="s">
        <x:v>6</x:v>
      </x:c>
      <x:c r="H3" s="16" t="s">
        <x:v>57</x:v>
      </x:c>
      <x:c r="I3" s="14" t="s">
        <x:v>2</x:v>
      </x:c>
      <x:c r="J3" s="14" t="s">
        <x:v>0</x:v>
      </x:c>
      <x:c r="K3" s="14" t="s">
        <x:v>10</x:v>
      </x:c>
      <x:c r="L3" s="15" t="s">
        <x:v>9</x:v>
      </x:c>
      <x:c r="M3" s="22" t="s">
        <x:v>13</x:v>
      </x:c>
      <x:c r="S3" s="92" t="s">
        <x:v>65</x:v>
      </x:c>
      <x:c r="T3" s="93"/>
      <x:c r="U3" s="93"/>
      <x:c r="V3" s="93"/>
    </x:row>
    <x:row r="4" spans="1:22" ht="24.949999999999999" customHeight="1">
      <x:c r="A4" s="12">
        <x:v>1</x:v>
      </x:c>
      <x:c r="B4" s="13" t="s">
        <x:v>47</x:v>
      </x:c>
      <x:c r="C4" s="62">
        <x:v>279</x:v>
      </x:c>
      <x:c r="D4" s="62">
        <x:v>256</x:v>
      </x:c>
      <x:c r="E4" s="62">
        <x:v>202</x:v>
      </x:c>
      <x:c r="F4" s="44">
        <x:f>SUM(C4:E4)</x:f>
        <x:v>737</x:v>
      </x:c>
      <x:c r="G4" s="45">
        <x:f>F4/3</x:f>
        <x:v>245.66666666666666</x:v>
      </x:c>
      <x:c r="H4" s="34">
        <x:f t="array" ref="H4:H4">IF(B4="","",IFERROR(INDEX('회원명단 및 기준에버'!D:G,MATCH(B4,'회원명단 및 기준에버'!$C:$C,0),CHOOSE(INT((MONTH($L$2)-1)/3)+1,1,2,3,4)),""))</x:f>
        <x:v>200</x:v>
      </x:c>
      <x:c r="I4" s="38">
        <x:f>IFERROR(C4+-H4,0)</x:f>
        <x:v>79</x:v>
      </x:c>
      <x:c r="J4" s="38">
        <x:f>IFERROR(D4+-H4,0)</x:f>
        <x:v>56</x:v>
      </x:c>
      <x:c r="K4" s="38">
        <x:f>IFERROR(E4+-H4,0)</x:f>
        <x:v>2</x:v>
      </x:c>
      <x:c r="L4" s="63">
        <x:f>SUM(I4:K4)</x:f>
        <x:v>137</x:v>
      </x:c>
      <x:c r="M4" s="39">
        <x:f>IFERROR(G4+-H4,0)</x:f>
        <x:v>45.666666666666657</x:v>
      </x:c>
      <x:c r="N4" s="19"/>
      <x:c r="S4" s="104">
        <x:f t="shared" ref="S4:S28" si="0">MAX(C4:E4)-MIN(C4:E4)</x:f>
        <x:v>77</x:v>
      </x:c>
      <x:c r="T4" s="99">
        <x:f>IF($B4="",-999999999+A4,IF($V$2=0,(F4*10000+S4*1000+A4),(M4*10000+S4*10+A4)))</x:f>
        <x:v>457437.66666666657</x:v>
      </x:c>
      <x:c r="U4" s="105">
        <x:f t="shared" ref="U4:U28" si="1">_xlfn.RANK.EQ(T4,$T$4:$T$28,0)</x:f>
        <x:v>1</x:v>
      </x:c>
      <x:c r="V4" s="106"/>
    </x:row>
    <x:row r="5" spans="1:22" ht="24.949999999999999" customHeight="1">
      <x:c r="A5" s="12">
        <x:v>2</x:v>
      </x:c>
      <x:c r="B5" s="13" t="s">
        <x:v>58</x:v>
      </x:c>
      <x:c r="C5" s="62">
        <x:v>210</x:v>
      </x:c>
      <x:c r="D5" s="62">
        <x:v>232</x:v>
      </x:c>
      <x:c r="E5" s="62">
        <x:v>191</x:v>
      </x:c>
      <x:c r="F5" s="44">
        <x:f>SUM(C5:E5)</x:f>
        <x:v>633</x:v>
      </x:c>
      <x:c r="G5" s="45">
        <x:f>F5/3</x:f>
        <x:v>211</x:v>
      </x:c>
      <x:c r="H5" s="34">
        <x:f t="array" ref="H5:H5">IF(B5="","",IFERROR(INDEX('회원명단 및 기준에버'!D:G,MATCH(B5,'회원명단 및 기준에버'!$C:$C,0),CHOOSE(INT((MONTH($L$2)-1)/3)+1,1,2,3,4)),""))</x:f>
        <x:v>200</x:v>
      </x:c>
      <x:c r="I5" s="38">
        <x:f>IFERROR(C5+-H5,0)</x:f>
        <x:v>10</x:v>
      </x:c>
      <x:c r="J5" s="38">
        <x:f>IFERROR(D5+-H5,0)</x:f>
        <x:v>32</x:v>
      </x:c>
      <x:c r="K5" s="38">
        <x:f>IFERROR(E5+-H5,0)</x:f>
        <x:v>-9</x:v>
      </x:c>
      <x:c r="L5" s="63">
        <x:f>SUM(I5:K5)</x:f>
        <x:v>33</x:v>
      </x:c>
      <x:c r="M5" s="39">
        <x:f>IFERROR(G5+-H5,0)</x:f>
        <x:v>11</x:v>
      </x:c>
      <x:c r="N5" s="19"/>
      <x:c r="S5" s="107">
        <x:f t="shared" si="0"/>
        <x:v>41</x:v>
      </x:c>
      <x:c r="T5" s="97">
        <x:f t="shared" ref="T5:T28" si="2">IF($B5="",-999999999+A5,IF($V$2=0,(F5*10000+S5*1000+A5),(M5*10000+S5*10+A5)))</x:f>
        <x:v>110412</x:v>
      </x:c>
      <x:c r="U5" s="91">
        <x:f t="shared" si="1"/>
        <x:v>7</x:v>
      </x:c>
      <x:c r="V5" s="108"/>
    </x:row>
    <x:row r="6" spans="1:22" ht="24.949999999999999" customHeight="1">
      <x:c r="A6" s="12">
        <x:v>3</x:v>
      </x:c>
      <x:c r="B6" s="13" t="s">
        <x:v>27</x:v>
      </x:c>
      <x:c r="C6" s="62">
        <x:v>190</x:v>
      </x:c>
      <x:c r="D6" s="62">
        <x:v>224</x:v>
      </x:c>
      <x:c r="E6" s="62">
        <x:v>184</x:v>
      </x:c>
      <x:c r="F6" s="44">
        <x:f>SUM(C6:E6)</x:f>
        <x:v>598</x:v>
      </x:c>
      <x:c r="G6" s="45">
        <x:f>F6/3</x:f>
        <x:v>199.33333333333334</x:v>
      </x:c>
      <x:c r="H6" s="34">
        <x:f t="array" ref="H6:H6">IF(B6="","",IFERROR(INDEX('회원명단 및 기준에버'!D:G,MATCH(B6,'회원명단 및 기준에버'!$C:$C,0),CHOOSE(INT((MONTH($L$2)-1)/3)+1,1,2,3,4)),""))</x:f>
        <x:v>171</x:v>
      </x:c>
      <x:c r="I6" s="38">
        <x:f t="shared" ref="I6:I27" si="3">IFERROR(C6+-H6,0)</x:f>
        <x:v>19</x:v>
      </x:c>
      <x:c r="J6" s="38">
        <x:f t="shared" ref="J6:J27" si="4">IFERROR(D6+-H6,0)</x:f>
        <x:v>53</x:v>
      </x:c>
      <x:c r="K6" s="38">
        <x:f t="shared" ref="K6:K27" si="5">IFERROR(E6+-H6,0)</x:f>
        <x:v>13</x:v>
      </x:c>
      <x:c r="L6" s="63">
        <x:f t="shared" ref="L6:L27" si="6">SUM(I6:K6)</x:f>
        <x:v>85</x:v>
      </x:c>
      <x:c r="M6" s="39">
        <x:f t="shared" ref="M6:M27" si="7">IFERROR(G6+-H6,0)</x:f>
        <x:v>28.333333333333343</x:v>
      </x:c>
      <x:c r="S6" s="107">
        <x:f t="shared" si="0"/>
        <x:v>40</x:v>
      </x:c>
      <x:c r="T6" s="97">
        <x:f t="shared" si="2"/>
        <x:v>283736.33333333343</x:v>
      </x:c>
      <x:c r="U6" s="91">
        <x:f t="shared" si="1"/>
        <x:v>2</x:v>
      </x:c>
      <x:c r="V6" s="108"/>
    </x:row>
    <x:row r="7" spans="1:22" ht="24.949999999999999" customHeight="1">
      <x:c r="A7" s="12">
        <x:v>4</x:v>
      </x:c>
      <x:c r="B7" s="13" t="s">
        <x:v>60</x:v>
      </x:c>
      <x:c r="C7" s="62">
        <x:v>258</x:v>
      </x:c>
      <x:c r="D7" s="62">
        <x:v>173</x:v>
      </x:c>
      <x:c r="E7" s="62">
        <x:v>228</x:v>
      </x:c>
      <x:c r="F7" s="44">
        <x:f>SUM(C7:E7)</x:f>
        <x:v>659</x:v>
      </x:c>
      <x:c r="G7" s="45">
        <x:f>F7/3</x:f>
        <x:v>219.66666666666666</x:v>
      </x:c>
      <x:c r="H7" s="34">
        <x:f t="array" ref="H7:H7">IF(B7="","",IFERROR(INDEX('회원명단 및 기준에버'!D:G,MATCH(B7,'회원명단 및 기준에버'!$C:$C,0),CHOOSE(INT((MONTH($L$2)-1)/3)+1,1,2,3,4)),""))</x:f>
        <x:v>195</x:v>
      </x:c>
      <x:c r="I7" s="38">
        <x:f t="shared" si="3"/>
        <x:v>63</x:v>
      </x:c>
      <x:c r="J7" s="38">
        <x:f t="shared" si="4"/>
        <x:v>-22</x:v>
      </x:c>
      <x:c r="K7" s="38">
        <x:f t="shared" si="5"/>
        <x:v>33</x:v>
      </x:c>
      <x:c r="L7" s="63">
        <x:f t="shared" si="6"/>
        <x:v>74</x:v>
      </x:c>
      <x:c r="M7" s="39">
        <x:f t="shared" si="7"/>
        <x:v>24.666666666666657</x:v>
      </x:c>
      <x:c r="S7" s="107">
        <x:f t="shared" si="0"/>
        <x:v>85</x:v>
      </x:c>
      <x:c r="T7" s="97">
        <x:f t="shared" si="2"/>
        <x:v>247520.66666666657</x:v>
      </x:c>
      <x:c r="U7" s="91">
        <x:f t="shared" si="1"/>
        <x:v>4</x:v>
      </x:c>
      <x:c r="V7" s="108"/>
    </x:row>
    <x:row r="8" spans="1:22" ht="24.949999999999999" customHeight="1">
      <x:c r="A8" s="12">
        <x:v>5</x:v>
      </x:c>
      <x:c r="B8" s="13" t="s">
        <x:v>45</x:v>
      </x:c>
      <x:c r="C8" s="62">
        <x:v>202</x:v>
      </x:c>
      <x:c r="D8" s="62">
        <x:v>178</x:v>
      </x:c>
      <x:c r="E8" s="62">
        <x:v>171</x:v>
      </x:c>
      <x:c r="F8" s="44">
        <x:f t="shared" ref="F8:F27" si="8">SUM(C8:E8)</x:f>
        <x:v>551</x:v>
      </x:c>
      <x:c r="G8" s="45">
        <x:f t="shared" ref="G8:G27" si="9">F8/3</x:f>
        <x:v>183.66666666666666</x:v>
      </x:c>
      <x:c r="H8" s="34">
        <x:f t="array" ref="H8:H8">IF(B8="","",IFERROR(INDEX('회원명단 및 기준에버'!D:G,MATCH(B8,'회원명단 및 기준에버'!$C:$C,0),CHOOSE(INT((MONTH($L$2)-1)/3)+1,1,2,3,4)),""))</x:f>
        <x:v>182</x:v>
      </x:c>
      <x:c r="I8" s="38">
        <x:f t="shared" si="3"/>
        <x:v>20</x:v>
      </x:c>
      <x:c r="J8" s="38">
        <x:f t="shared" si="4"/>
        <x:v>-4</x:v>
      </x:c>
      <x:c r="K8" s="38">
        <x:f t="shared" si="5"/>
        <x:v>-11</x:v>
      </x:c>
      <x:c r="L8" s="63">
        <x:f t="shared" si="6"/>
        <x:v>5</x:v>
      </x:c>
      <x:c r="M8" s="39">
        <x:f t="shared" si="7"/>
        <x:v>1.6666666666666572</x:v>
      </x:c>
      <x:c r="S8" s="107">
        <x:f t="shared" si="0"/>
        <x:v>31</x:v>
      </x:c>
      <x:c r="T8" s="97">
        <x:f t="shared" si="2"/>
        <x:v>16981.666666666573</x:v>
      </x:c>
      <x:c r="U8" s="91">
        <x:f t="shared" si="1"/>
        <x:v>16</x:v>
      </x:c>
      <x:c r="V8" s="108"/>
    </x:row>
    <x:row r="9" spans="1:22" ht="24.949999999999999" customHeight="1">
      <x:c r="A9" s="12">
        <x:v>6</x:v>
      </x:c>
      <x:c r="B9" s="13" t="s">
        <x:v>31</x:v>
      </x:c>
      <x:c r="C9" s="62">
        <x:v>166</x:v>
      </x:c>
      <x:c r="D9" s="62">
        <x:v>154</x:v>
      </x:c>
      <x:c r="E9" s="62">
        <x:v>135</x:v>
      </x:c>
      <x:c r="F9" s="44">
        <x:f t="shared" si="8"/>
        <x:v>455</x:v>
      </x:c>
      <x:c r="G9" s="45">
        <x:f t="shared" si="9"/>
        <x:v>151.66666666666666</x:v>
      </x:c>
      <x:c r="H9" s="34">
        <x:f t="array" ref="H9:H9">IF(B9="","",IFERROR(INDEX('회원명단 및 기준에버'!D:G,MATCH(B9,'회원명단 및 기준에버'!$C:$C,0),CHOOSE(INT((MONTH($L$2)-1)/3)+1,1,2,3,4)),""))</x:f>
        <x:v>151</x:v>
      </x:c>
      <x:c r="I9" s="38">
        <x:f t="shared" si="3"/>
        <x:v>15</x:v>
      </x:c>
      <x:c r="J9" s="38">
        <x:f t="shared" si="4"/>
        <x:v>3</x:v>
      </x:c>
      <x:c r="K9" s="38">
        <x:f t="shared" si="5"/>
        <x:v>-16</x:v>
      </x:c>
      <x:c r="L9" s="63">
        <x:f t="shared" si="6"/>
        <x:v>2</x:v>
      </x:c>
      <x:c r="M9" s="39">
        <x:f t="shared" si="7"/>
        <x:v>0.66666666666665719</x:v>
      </x:c>
      <x:c r="S9" s="107">
        <x:f t="shared" si="0"/>
        <x:v>31</x:v>
      </x:c>
      <x:c r="T9" s="97">
        <x:f t="shared" si="2"/>
        <x:v>6982.6666666665715</x:v>
      </x:c>
      <x:c r="U9" s="91">
        <x:f t="shared" si="1"/>
        <x:v>17</x:v>
      </x:c>
      <x:c r="V9" s="108"/>
    </x:row>
    <x:row r="10" spans="1:22" ht="24.949999999999999" customHeight="1">
      <x:c r="A10" s="12">
        <x:v>7</x:v>
      </x:c>
      <x:c r="B10" s="13" t="s">
        <x:v>39</x:v>
      </x:c>
      <x:c r="C10" s="62">
        <x:v>223</x:v>
      </x:c>
      <x:c r="D10" s="62">
        <x:v>196</x:v>
      </x:c>
      <x:c r="E10" s="62">
        <x:v>229</x:v>
      </x:c>
      <x:c r="F10" s="44">
        <x:f t="shared" si="8"/>
        <x:v>648</x:v>
      </x:c>
      <x:c r="G10" s="45">
        <x:f t="shared" si="9"/>
        <x:v>216</x:v>
      </x:c>
      <x:c r="H10" s="34">
        <x:f t="array" ref="H10:H10">IF(B10="","",IFERROR(INDEX('회원명단 및 기준에버'!D:G,MATCH(B10,'회원명단 및 기준에버'!$C:$C,0),CHOOSE(INT((MONTH($L$2)-1)/3)+1,1,2,3,4)),""))</x:f>
        <x:v>200</x:v>
      </x:c>
      <x:c r="I10" s="38">
        <x:f t="shared" si="3"/>
        <x:v>23</x:v>
      </x:c>
      <x:c r="J10" s="38">
        <x:f t="shared" si="4"/>
        <x:v>-4</x:v>
      </x:c>
      <x:c r="K10" s="38">
        <x:f t="shared" si="5"/>
        <x:v>29</x:v>
      </x:c>
      <x:c r="L10" s="63">
        <x:f t="shared" si="6"/>
        <x:v>48</x:v>
      </x:c>
      <x:c r="M10" s="39">
        <x:f t="shared" si="7"/>
        <x:v>16</x:v>
      </x:c>
      <x:c r="S10" s="107">
        <x:f t="shared" si="0"/>
        <x:v>33</x:v>
      </x:c>
      <x:c r="T10" s="97">
        <x:f t="shared" si="2"/>
        <x:v>160337</x:v>
      </x:c>
      <x:c r="U10" s="91">
        <x:f t="shared" si="1"/>
        <x:v>5</x:v>
      </x:c>
      <x:c r="V10" s="108"/>
    </x:row>
    <x:row r="11" spans="1:22" ht="24.949999999999999" customHeight="1">
      <x:c r="A11" s="12">
        <x:v>8</x:v>
      </x:c>
      <x:c r="B11" s="13" t="s">
        <x:v>37</x:v>
      </x:c>
      <x:c r="C11" s="62">
        <x:v>174</x:v>
      </x:c>
      <x:c r="D11" s="62">
        <x:v>226</x:v>
      </x:c>
      <x:c r="E11" s="62">
        <x:v>227</x:v>
      </x:c>
      <x:c r="F11" s="44">
        <x:f t="shared" si="8"/>
        <x:v>627</x:v>
      </x:c>
      <x:c r="G11" s="45">
        <x:f t="shared" si="9"/>
        <x:v>209</x:v>
      </x:c>
      <x:c r="H11" s="34">
        <x:f t="array" ref="H11:H11">IF(B11="","",IFERROR(INDEX('회원명단 및 기준에버'!D:G,MATCH(B11,'회원명단 및 기준에버'!$C:$C,0),CHOOSE(INT((MONTH($L$2)-1)/3)+1,1,2,3,4)),""))</x:f>
        <x:v>200</x:v>
      </x:c>
      <x:c r="I11" s="38">
        <x:f t="shared" si="3"/>
        <x:v>-26</x:v>
      </x:c>
      <x:c r="J11" s="38">
        <x:f t="shared" si="4"/>
        <x:v>26</x:v>
      </x:c>
      <x:c r="K11" s="38">
        <x:f t="shared" si="5"/>
        <x:v>27</x:v>
      </x:c>
      <x:c r="L11" s="63">
        <x:f t="shared" si="6"/>
        <x:v>27</x:v>
      </x:c>
      <x:c r="M11" s="39">
        <x:f t="shared" si="7"/>
        <x:v>9</x:v>
      </x:c>
      <x:c r="S11" s="107">
        <x:f t="shared" si="0"/>
        <x:v>53</x:v>
      </x:c>
      <x:c r="T11" s="97">
        <x:f t="shared" si="2"/>
        <x:v>90538</x:v>
      </x:c>
      <x:c r="U11" s="91">
        <x:f t="shared" si="1"/>
        <x:v>10</x:v>
      </x:c>
      <x:c r="V11" s="108"/>
    </x:row>
    <x:row r="12" spans="1:22" ht="24.949999999999999" customHeight="1">
      <x:c r="A12" s="12">
        <x:v>9</x:v>
      </x:c>
      <x:c r="B12" s="13" t="s">
        <x:v>32</x:v>
      </x:c>
      <x:c r="C12" s="62">
        <x:v>187</x:v>
      </x:c>
      <x:c r="D12" s="62">
        <x:v>169</x:v>
      </x:c>
      <x:c r="E12" s="62">
        <x:v>200</x:v>
      </x:c>
      <x:c r="F12" s="44">
        <x:f t="shared" si="8"/>
        <x:v>556</x:v>
      </x:c>
      <x:c r="G12" s="45">
        <x:f t="shared" si="9"/>
        <x:v>185.33333333333334</x:v>
      </x:c>
      <x:c r="H12" s="34">
        <x:f t="array" ref="H12:H12">IF(B12="","",IFERROR(INDEX('회원명단 및 기준에버'!D:G,MATCH(B12,'회원명단 및 기준에버'!$C:$C,0),CHOOSE(INT((MONTH($L$2)-1)/3)+1,1,2,3,4)),""))</x:f>
        <x:v>198</x:v>
      </x:c>
      <x:c r="I12" s="38">
        <x:f t="shared" si="3"/>
        <x:v>-11</x:v>
      </x:c>
      <x:c r="J12" s="38">
        <x:f t="shared" si="4"/>
        <x:v>-29</x:v>
      </x:c>
      <x:c r="K12" s="38">
        <x:f t="shared" si="5"/>
        <x:v>2</x:v>
      </x:c>
      <x:c r="L12" s="63">
        <x:f t="shared" si="6"/>
        <x:v>-38</x:v>
      </x:c>
      <x:c r="M12" s="39">
        <x:f t="shared" si="7"/>
        <x:v>-12.666666666666657</x:v>
      </x:c>
      <x:c r="S12" s="107">
        <x:f t="shared" si="0"/>
        <x:v>31</x:v>
      </x:c>
      <x:c r="T12" s="97">
        <x:f t="shared" si="2"/>
        <x:v>-126347.66666666657</x:v>
      </x:c>
      <x:c r="U12" s="91">
        <x:f t="shared" si="1"/>
        <x:v>24</x:v>
      </x:c>
      <x:c r="V12" s="108"/>
    </x:row>
    <x:row r="13" spans="1:22" ht="24.949999999999999" customHeight="1">
      <x:c r="A13" s="12">
        <x:v>10</x:v>
      </x:c>
      <x:c r="B13" s="13" t="s">
        <x:v>23</x:v>
      </x:c>
      <x:c r="C13" s="62">
        <x:v>191</x:v>
      </x:c>
      <x:c r="D13" s="62">
        <x:v>203</x:v>
      </x:c>
      <x:c r="E13" s="62">
        <x:v>194</x:v>
      </x:c>
      <x:c r="F13" s="44">
        <x:f t="shared" si="8"/>
        <x:v>588</x:v>
      </x:c>
      <x:c r="G13" s="45">
        <x:f t="shared" si="9"/>
        <x:v>196</x:v>
      </x:c>
      <x:c r="H13" s="34">
        <x:f t="array" ref="H13:H13">IF(B13="","",IFERROR(INDEX('회원명단 및 기준에버'!D:G,MATCH(B13,'회원명단 및 기준에버'!$C:$C,0),CHOOSE(INT((MONTH($L$2)-1)/3)+1,1,2,3,4)),""))</x:f>
        <x:v>187</x:v>
      </x:c>
      <x:c r="I13" s="38">
        <x:f t="shared" si="3"/>
        <x:v>4</x:v>
      </x:c>
      <x:c r="J13" s="38">
        <x:f t="shared" si="4"/>
        <x:v>16</x:v>
      </x:c>
      <x:c r="K13" s="38">
        <x:f t="shared" si="5"/>
        <x:v>7</x:v>
      </x:c>
      <x:c r="L13" s="63">
        <x:f t="shared" si="6"/>
        <x:v>27</x:v>
      </x:c>
      <x:c r="M13" s="39">
        <x:f t="shared" si="7"/>
        <x:v>9</x:v>
      </x:c>
      <x:c r="S13" s="107">
        <x:f t="shared" si="0"/>
        <x:v>12</x:v>
      </x:c>
      <x:c r="T13" s="97">
        <x:f t="shared" si="2"/>
        <x:v>90130</x:v>
      </x:c>
      <x:c r="U13" s="91">
        <x:f t="shared" si="1"/>
        <x:v>11</x:v>
      </x:c>
      <x:c r="V13" s="108"/>
    </x:row>
    <x:row r="14" spans="1:22" ht="24.949999999999999" customHeight="1">
      <x:c r="A14" s="12">
        <x:v>11</x:v>
      </x:c>
      <x:c r="B14" s="13" t="s">
        <x:v>41</x:v>
      </x:c>
      <x:c r="C14" s="62">
        <x:v>174</x:v>
      </x:c>
      <x:c r="D14" s="62">
        <x:v>178</x:v>
      </x:c>
      <x:c r="E14" s="62">
        <x:v>140</x:v>
      </x:c>
      <x:c r="F14" s="44">
        <x:f t="shared" si="8"/>
        <x:v>492</x:v>
      </x:c>
      <x:c r="G14" s="45">
        <x:f t="shared" si="9"/>
        <x:v>164</x:v>
      </x:c>
      <x:c r="H14" s="34">
        <x:f t="array" ref="H14:H14">IF(B14="","",IFERROR(INDEX('회원명단 및 기준에버'!D:G,MATCH(B14,'회원명단 및 기준에버'!$C:$C,0),CHOOSE(INT((MONTH($L$2)-1)/3)+1,1,2,3,4)),""))</x:f>
        <x:v>161</x:v>
      </x:c>
      <x:c r="I14" s="38">
        <x:f t="shared" si="3"/>
        <x:v>13</x:v>
      </x:c>
      <x:c r="J14" s="38">
        <x:f t="shared" si="4"/>
        <x:v>17</x:v>
      </x:c>
      <x:c r="K14" s="38">
        <x:f t="shared" si="5"/>
        <x:v>-21</x:v>
      </x:c>
      <x:c r="L14" s="63">
        <x:f t="shared" si="6"/>
        <x:v>9</x:v>
      </x:c>
      <x:c r="M14" s="39">
        <x:f t="shared" si="7"/>
        <x:v>3</x:v>
      </x:c>
      <x:c r="S14" s="107">
        <x:f t="shared" si="0"/>
        <x:v>38</x:v>
      </x:c>
      <x:c r="T14" s="97">
        <x:f t="shared" si="2"/>
        <x:v>30391</x:v>
      </x:c>
      <x:c r="U14" s="91">
        <x:f t="shared" si="1"/>
        <x:v>14</x:v>
      </x:c>
      <x:c r="V14" s="108"/>
    </x:row>
    <x:row r="15" spans="1:22" ht="24.949999999999999" customHeight="1">
      <x:c r="A15" s="12">
        <x:v>12</x:v>
      </x:c>
      <x:c r="B15" s="13" t="s">
        <x:v>21</x:v>
      </x:c>
      <x:c r="C15" s="62">
        <x:v>206</x:v>
      </x:c>
      <x:c r="D15" s="62">
        <x:v>213</x:v>
      </x:c>
      <x:c r="E15" s="62">
        <x:v>208</x:v>
      </x:c>
      <x:c r="F15" s="44">
        <x:f t="shared" si="8"/>
        <x:v>627</x:v>
      </x:c>
      <x:c r="G15" s="45">
        <x:f t="shared" si="9"/>
        <x:v>209</x:v>
      </x:c>
      <x:c r="H15" s="34">
        <x:f t="array" ref="H15:H15">IF(B15="","",IFERROR(INDEX('회원명단 및 기준에버'!D:G,MATCH(B15,'회원명단 및 기준에버'!$C:$C,0),CHOOSE(INT((MONTH($L$2)-1)/3)+1,1,2,3,4)),""))</x:f>
        <x:v>194</x:v>
      </x:c>
      <x:c r="I15" s="38">
        <x:f t="shared" si="3"/>
        <x:v>12</x:v>
      </x:c>
      <x:c r="J15" s="38">
        <x:f t="shared" si="4"/>
        <x:v>19</x:v>
      </x:c>
      <x:c r="K15" s="38">
        <x:f t="shared" si="5"/>
        <x:v>14</x:v>
      </x:c>
      <x:c r="L15" s="63">
        <x:f t="shared" si="6"/>
        <x:v>45</x:v>
      </x:c>
      <x:c r="M15" s="39">
        <x:f t="shared" si="7"/>
        <x:v>15</x:v>
      </x:c>
      <x:c r="S15" s="107">
        <x:f t="shared" si="0"/>
        <x:v>7</x:v>
      </x:c>
      <x:c r="T15" s="97">
        <x:f t="shared" si="2"/>
        <x:v>150082</x:v>
      </x:c>
      <x:c r="U15" s="91">
        <x:f t="shared" si="1"/>
        <x:v>6</x:v>
      </x:c>
      <x:c r="V15" s="108"/>
    </x:row>
    <x:row r="16" spans="1:22" ht="24.949999999999999" customHeight="1">
      <x:c r="A16" s="12">
        <x:v>13</x:v>
      </x:c>
      <x:c r="B16" s="13" t="s">
        <x:v>36</x:v>
      </x:c>
      <x:c r="C16" s="62">
        <x:v>186</x:v>
      </x:c>
      <x:c r="D16" s="62">
        <x:v>184</x:v>
      </x:c>
      <x:c r="E16" s="62">
        <x:v>210</x:v>
      </x:c>
      <x:c r="F16" s="44">
        <x:f t="shared" si="8"/>
        <x:v>580</x:v>
      </x:c>
      <x:c r="G16" s="45">
        <x:f t="shared" si="9"/>
        <x:v>193.33333333333334</x:v>
      </x:c>
      <x:c r="H16" s="34">
        <x:f t="array" ref="H16:H16">IF(B16="","",IFERROR(INDEX('회원명단 및 기준에버'!D:G,MATCH(B16,'회원명단 및 기준에버'!$C:$C,0),CHOOSE(INT((MONTH($L$2)-1)/3)+1,1,2,3,4)),""))</x:f>
        <x:v>200</x:v>
      </x:c>
      <x:c r="I16" s="38">
        <x:f t="shared" si="3"/>
        <x:v>-14</x:v>
      </x:c>
      <x:c r="J16" s="38">
        <x:f t="shared" si="4"/>
        <x:v>-16</x:v>
      </x:c>
      <x:c r="K16" s="38">
        <x:f t="shared" si="5"/>
        <x:v>10</x:v>
      </x:c>
      <x:c r="L16" s="63">
        <x:f t="shared" si="6"/>
        <x:v>-20</x:v>
      </x:c>
      <x:c r="M16" s="39">
        <x:f t="shared" si="7"/>
        <x:v>-6.6666666666666572</x:v>
      </x:c>
      <x:c r="S16" s="107">
        <x:f t="shared" si="0"/>
        <x:v>26</x:v>
      </x:c>
      <x:c r="T16" s="97">
        <x:f t="shared" si="2"/>
        <x:v>-66393.66666666657</x:v>
      </x:c>
      <x:c r="U16" s="91">
        <x:f t="shared" si="1"/>
        <x:v>22</x:v>
      </x:c>
      <x:c r="V16" s="108"/>
    </x:row>
    <x:row r="17" spans="1:22" ht="24.949999999999999" customHeight="1">
      <x:c r="A17" s="12">
        <x:v>14</x:v>
      </x:c>
      <x:c r="B17" s="13" t="s">
        <x:v>59</x:v>
      </x:c>
      <x:c r="C17" s="62">
        <x:v>198</x:v>
      </x:c>
      <x:c r="D17" s="62">
        <x:v>193</x:v>
      </x:c>
      <x:c r="E17" s="62">
        <x:v>230</x:v>
      </x:c>
      <x:c r="F17" s="44">
        <x:f t="shared" si="8"/>
        <x:v>621</x:v>
      </x:c>
      <x:c r="G17" s="45">
        <x:f t="shared" si="9"/>
        <x:v>207</x:v>
      </x:c>
      <x:c r="H17" s="34" t="str">
        <x:f t="array" ref="H17:H17">IF(B17="","",IFERROR(INDEX('회원명단 및 기준에버'!D:G,MATCH(B17,'회원명단 및 기준에버'!$C:$C,0),CHOOSE(INT((MONTH($L$2)-1)/3)+1,1,2,3,4)),""))</x:f>
        <x:v/>
      </x:c>
      <x:c r="I17" s="38">
        <x:f t="shared" si="3"/>
        <x:v>0</x:v>
      </x:c>
      <x:c r="J17" s="38">
        <x:f t="shared" si="4"/>
        <x:v>0</x:v>
      </x:c>
      <x:c r="K17" s="38">
        <x:f t="shared" si="5"/>
        <x:v>0</x:v>
      </x:c>
      <x:c r="L17" s="63">
        <x:f t="shared" si="6"/>
        <x:v>0</x:v>
      </x:c>
      <x:c r="M17" s="39">
        <x:f t="shared" si="7"/>
        <x:v>0</x:v>
      </x:c>
      <x:c r="S17" s="107">
        <x:f t="shared" si="0"/>
        <x:v>37</x:v>
      </x:c>
      <x:c r="T17" s="97">
        <x:f t="shared" si="2"/>
        <x:v>384</x:v>
      </x:c>
      <x:c r="U17" s="91">
        <x:f t="shared" si="1"/>
        <x:v>20</x:v>
      </x:c>
      <x:c r="V17" s="108"/>
    </x:row>
    <x:row r="18" spans="1:22" ht="24.949999999999999" customHeight="1">
      <x:c r="A18" s="12">
        <x:v>15</x:v>
      </x:c>
      <x:c r="B18" s="13" t="s">
        <x:v>16</x:v>
      </x:c>
      <x:c r="C18" s="62">
        <x:v>197</x:v>
      </x:c>
      <x:c r="D18" s="62">
        <x:v>183</x:v>
      </x:c>
      <x:c r="E18" s="62">
        <x:v>174</x:v>
      </x:c>
      <x:c r="F18" s="44">
        <x:f t="shared" si="8"/>
        <x:v>554</x:v>
      </x:c>
      <x:c r="G18" s="45">
        <x:f t="shared" si="9"/>
        <x:v>184.66666666666666</x:v>
      </x:c>
      <x:c r="H18" s="34">
        <x:f t="array" ref="H18:H18">IF(B18="","",IFERROR(INDEX('회원명단 및 기준에버'!D:G,MATCH(B18,'회원명단 및 기준에버'!$C:$C,0),CHOOSE(INT((MONTH($L$2)-1)/3)+1,1,2,3,4)),""))</x:f>
        <x:v>184</x:v>
      </x:c>
      <x:c r="I18" s="38">
        <x:f t="shared" si="3"/>
        <x:v>13</x:v>
      </x:c>
      <x:c r="J18" s="38">
        <x:f t="shared" si="4"/>
        <x:v>-1</x:v>
      </x:c>
      <x:c r="K18" s="38">
        <x:f t="shared" si="5"/>
        <x:v>-10</x:v>
      </x:c>
      <x:c r="L18" s="63">
        <x:f t="shared" si="6"/>
        <x:v>2</x:v>
      </x:c>
      <x:c r="M18" s="39">
        <x:f t="shared" si="7"/>
        <x:v>0.66666666666665719</x:v>
      </x:c>
      <x:c r="S18" s="107">
        <x:f t="shared" si="0"/>
        <x:v>23</x:v>
      </x:c>
      <x:c r="T18" s="97">
        <x:f t="shared" si="2"/>
        <x:v>6911.6666666665715</x:v>
      </x:c>
      <x:c r="U18" s="91">
        <x:f t="shared" si="1"/>
        <x:v>18</x:v>
      </x:c>
      <x:c r="V18" s="108"/>
    </x:row>
    <x:row r="19" spans="1:22" ht="24.949999999999999" customHeight="1">
      <x:c r="A19" s="12">
        <x:v>16</x:v>
      </x:c>
      <x:c r="B19" s="13" t="s">
        <x:v>34</x:v>
      </x:c>
      <x:c r="C19" s="62">
        <x:v>170</x:v>
      </x:c>
      <x:c r="D19" s="62">
        <x:v>172</x:v>
      </x:c>
      <x:c r="E19" s="62">
        <x:v>129</x:v>
      </x:c>
      <x:c r="F19" s="44">
        <x:f t="shared" si="8"/>
        <x:v>471</x:v>
      </x:c>
      <x:c r="G19" s="45">
        <x:f t="shared" si="9"/>
        <x:v>157</x:v>
      </x:c>
      <x:c r="H19" s="34">
        <x:f t="array" ref="H19:H19">IF(B19="","",IFERROR(INDEX('회원명단 및 기준에버'!D:G,MATCH(B19,'회원명단 및 기준에버'!$C:$C,0),CHOOSE(INT((MONTH($L$2)-1)/3)+1,1,2,3,4)),""))</x:f>
        <x:v>183</x:v>
      </x:c>
      <x:c r="I19" s="38">
        <x:f t="shared" si="3"/>
        <x:v>-13</x:v>
      </x:c>
      <x:c r="J19" s="38">
        <x:f t="shared" si="4"/>
        <x:v>-11</x:v>
      </x:c>
      <x:c r="K19" s="38">
        <x:f t="shared" si="5"/>
        <x:v>-54</x:v>
      </x:c>
      <x:c r="L19" s="63">
        <x:f t="shared" si="6"/>
        <x:v>-78</x:v>
      </x:c>
      <x:c r="M19" s="39">
        <x:f t="shared" si="7"/>
        <x:v>-26</x:v>
      </x:c>
      <x:c r="S19" s="107">
        <x:f t="shared" si="0"/>
        <x:v>43</x:v>
      </x:c>
      <x:c r="T19" s="97">
        <x:f t="shared" si="2"/>
        <x:v>-259554</x:v>
      </x:c>
      <x:c r="U19" s="91">
        <x:f t="shared" si="1"/>
        <x:v>25</x:v>
      </x:c>
      <x:c r="V19" s="108"/>
    </x:row>
    <x:row r="20" spans="1:22" ht="24.949999999999999" customHeight="1">
      <x:c r="A20" s="12">
        <x:v>17</x:v>
      </x:c>
      <x:c r="B20" s="13" t="s">
        <x:v>22</x:v>
      </x:c>
      <x:c r="C20" s="62">
        <x:v>168</x:v>
      </x:c>
      <x:c r="D20" s="62">
        <x:v>167</x:v>
      </x:c>
      <x:c r="E20" s="62">
        <x:v>236</x:v>
      </x:c>
      <x:c r="F20" s="44">
        <x:f t="shared" si="8"/>
        <x:v>571</x:v>
      </x:c>
      <x:c r="G20" s="45">
        <x:f t="shared" si="9"/>
        <x:v>190.33333333333334</x:v>
      </x:c>
      <x:c r="H20" s="34">
        <x:f t="array" ref="H20:H20">IF(B20="","",IFERROR(INDEX('회원명단 및 기준에버'!D:G,MATCH(B20,'회원명단 및 기준에버'!$C:$C,0),CHOOSE(INT((MONTH($L$2)-1)/3)+1,1,2,3,4)),""))</x:f>
        <x:v>194</x:v>
      </x:c>
      <x:c r="I20" s="38">
        <x:f t="shared" si="3"/>
        <x:v>-26</x:v>
      </x:c>
      <x:c r="J20" s="38">
        <x:f t="shared" si="4"/>
        <x:v>-27</x:v>
      </x:c>
      <x:c r="K20" s="38">
        <x:f t="shared" si="5"/>
        <x:v>42</x:v>
      </x:c>
      <x:c r="L20" s="63">
        <x:f t="shared" si="6"/>
        <x:v>-11</x:v>
      </x:c>
      <x:c r="M20" s="39">
        <x:f t="shared" si="7"/>
        <x:v>-3.6666666666666572</x:v>
      </x:c>
      <x:c r="S20" s="107">
        <x:f t="shared" si="0"/>
        <x:v>69</x:v>
      </x:c>
      <x:c r="T20" s="97">
        <x:f t="shared" si="2"/>
        <x:v>-35959.66666666657</x:v>
      </x:c>
      <x:c r="U20" s="91">
        <x:f t="shared" si="1"/>
        <x:v>21</x:v>
      </x:c>
      <x:c r="V20" s="108"/>
    </x:row>
    <x:row r="21" spans="1:22" ht="24.949999999999999" customHeight="1">
      <x:c r="A21" s="12">
        <x:v>18</x:v>
      </x:c>
      <x:c r="B21" s="13" t="s">
        <x:v>26</x:v>
      </x:c>
      <x:c r="C21" s="62">
        <x:v>202</x:v>
      </x:c>
      <x:c r="D21" s="62">
        <x:v>167</x:v>
      </x:c>
      <x:c r="E21" s="62">
        <x:v>222</x:v>
      </x:c>
      <x:c r="F21" s="44">
        <x:f t="shared" si="8"/>
        <x:v>591</x:v>
      </x:c>
      <x:c r="G21" s="45">
        <x:f t="shared" si="9"/>
        <x:v>197</x:v>
      </x:c>
      <x:c r="H21" s="34"/>
      <x:c r="I21" s="38">
        <x:v>0</x:v>
      </x:c>
      <x:c r="J21" s="38">
        <x:v>0</x:v>
      </x:c>
      <x:c r="K21" s="38">
        <x:v>0</x:v>
      </x:c>
      <x:c r="L21" s="63">
        <x:f t="shared" si="6"/>
        <x:v>0</x:v>
      </x:c>
      <x:c r="M21" s="39">
        <x:v>0</x:v>
      </x:c>
      <x:c r="S21" s="107">
        <x:f t="shared" si="0"/>
        <x:v>55</x:v>
      </x:c>
      <x:c r="T21" s="97">
        <x:f t="shared" si="2"/>
        <x:v>568</x:v>
      </x:c>
      <x:c r="U21" s="91">
        <x:f t="shared" si="1"/>
        <x:v>19</x:v>
      </x:c>
      <x:c r="V21" s="108"/>
    </x:row>
    <x:row r="22" spans="1:22" ht="24.949999999999999" customHeight="1">
      <x:c r="A22" s="12">
        <x:v>19</x:v>
      </x:c>
      <x:c r="B22" s="13" t="s">
        <x:v>18</x:v>
      </x:c>
      <x:c r="C22" s="62">
        <x:v>170</x:v>
      </x:c>
      <x:c r="D22" s="62">
        <x:v>246</x:v>
      </x:c>
      <x:c r="E22" s="62">
        <x:v>165</x:v>
      </x:c>
      <x:c r="F22" s="44">
        <x:f t="shared" si="8"/>
        <x:v>581</x:v>
      </x:c>
      <x:c r="G22" s="45">
        <x:f t="shared" si="9"/>
        <x:v>193.66666666666666</x:v>
      </x:c>
      <x:c r="H22" s="34">
        <x:f t="array" ref="H22:H22">IF(B22="","",IFERROR(INDEX('회원명단 및 기준에버'!D:G,MATCH(B22,'회원명단 및 기준에버'!$C:$C,0),CHOOSE(INT((MONTH($L$2)-1)/3)+1,1,2,3,4)),""))</x:f>
        <x:v>192</x:v>
      </x:c>
      <x:c r="I22" s="38">
        <x:f t="shared" si="3"/>
        <x:v>-22</x:v>
      </x:c>
      <x:c r="J22" s="38">
        <x:f t="shared" si="4"/>
        <x:v>54</x:v>
      </x:c>
      <x:c r="K22" s="38">
        <x:f t="shared" si="5"/>
        <x:v>-27</x:v>
      </x:c>
      <x:c r="L22" s="63">
        <x:f t="shared" si="6"/>
        <x:v>5</x:v>
      </x:c>
      <x:c r="M22" s="39">
        <x:f t="shared" si="7"/>
        <x:v>1.6666666666666572</x:v>
      </x:c>
      <x:c r="S22" s="107">
        <x:f t="shared" si="0"/>
        <x:v>81</x:v>
      </x:c>
      <x:c r="T22" s="97">
        <x:f t="shared" si="2"/>
        <x:v>17495.666666666573</x:v>
      </x:c>
      <x:c r="U22" s="91">
        <x:f t="shared" si="1"/>
        <x:v>15</x:v>
      </x:c>
      <x:c r="V22" s="108"/>
    </x:row>
    <x:row r="23" spans="1:22" ht="24.949999999999999" customHeight="1">
      <x:c r="A23" s="12">
        <x:v>20</x:v>
      </x:c>
      <x:c r="B23" s="13" t="s">
        <x:v>42</x:v>
      </x:c>
      <x:c r="C23" s="62">
        <x:v>179</x:v>
      </x:c>
      <x:c r="D23" s="62">
        <x:v>215</x:v>
      </x:c>
      <x:c r="E23" s="62">
        <x:v>190</x:v>
      </x:c>
      <x:c r="F23" s="44">
        <x:f t="shared" si="8"/>
        <x:v>584</x:v>
      </x:c>
      <x:c r="G23" s="45">
        <x:f t="shared" si="9"/>
        <x:v>194.66666666666666</x:v>
      </x:c>
      <x:c r="H23" s="34">
        <x:f t="array" ref="H23:H23">IF(B23="","",IFERROR(INDEX('회원명단 및 기준에버'!D:G,MATCH(B23,'회원명단 및 기준에버'!$C:$C,0),CHOOSE(INT((MONTH($L$2)-1)/3)+1,1,2,3,4)),""))</x:f>
        <x:v>184</x:v>
      </x:c>
      <x:c r="I23" s="38">
        <x:f t="shared" si="3"/>
        <x:v>-5</x:v>
      </x:c>
      <x:c r="J23" s="38">
        <x:f t="shared" si="4"/>
        <x:v>31</x:v>
      </x:c>
      <x:c r="K23" s="38">
        <x:f t="shared" si="5"/>
        <x:v>6</x:v>
      </x:c>
      <x:c r="L23" s="63">
        <x:f t="shared" si="6"/>
        <x:v>32</x:v>
      </x:c>
      <x:c r="M23" s="39">
        <x:f t="shared" si="7"/>
        <x:v>10.666666666666657</x:v>
      </x:c>
      <x:c r="S23" s="107">
        <x:f t="shared" si="0"/>
        <x:v>36</x:v>
      </x:c>
      <x:c r="T23" s="97">
        <x:f t="shared" si="2"/>
        <x:v>107046.66666666657</x:v>
      </x:c>
      <x:c r="U23" s="91">
        <x:f t="shared" si="1"/>
        <x:v>8</x:v>
      </x:c>
      <x:c r="V23" s="108"/>
    </x:row>
    <x:row r="24" spans="1:22" ht="24.949999999999999" customHeight="1">
      <x:c r="A24" s="12">
        <x:v>21</x:v>
      </x:c>
      <x:c r="B24" s="13" t="s">
        <x:v>35</x:v>
      </x:c>
      <x:c r="C24" s="62">
        <x:v>180</x:v>
      </x:c>
      <x:c r="D24" s="62">
        <x:v>131</x:v>
      </x:c>
      <x:c r="E24" s="62">
        <x:v>155</x:v>
      </x:c>
      <x:c r="F24" s="44">
        <x:f t="shared" si="8"/>
        <x:v>466</x:v>
      </x:c>
      <x:c r="G24" s="45">
        <x:f t="shared" si="9"/>
        <x:v>155.33333333333334</x:v>
      </x:c>
      <x:c r="H24" s="34">
        <x:f t="array" ref="H24:H24">IF(B24="","",IFERROR(INDEX('회원명단 및 기준에버'!D:G,MATCH(B24,'회원명단 및 기준에버'!$C:$C,0),CHOOSE(INT((MONTH($L$2)-1)/3)+1,1,2,3,4)),""))</x:f>
        <x:v>165</x:v>
      </x:c>
      <x:c r="I24" s="38">
        <x:f t="shared" si="3"/>
        <x:v>15</x:v>
      </x:c>
      <x:c r="J24" s="38">
        <x:f t="shared" si="4"/>
        <x:v>-34</x:v>
      </x:c>
      <x:c r="K24" s="38">
        <x:f t="shared" si="5"/>
        <x:v>-10</x:v>
      </x:c>
      <x:c r="L24" s="63">
        <x:f t="shared" si="6"/>
        <x:v>-29</x:v>
      </x:c>
      <x:c r="M24" s="39">
        <x:f t="shared" si="7"/>
        <x:v>-9.6666666666666572</x:v>
      </x:c>
      <x:c r="S24" s="107">
        <x:f t="shared" si="0"/>
        <x:v>49</x:v>
      </x:c>
      <x:c r="T24" s="97">
        <x:f t="shared" si="2"/>
        <x:v>-96155.66666666657</x:v>
      </x:c>
      <x:c r="U24" s="91">
        <x:f t="shared" si="1"/>
        <x:v>23</x:v>
      </x:c>
      <x:c r="V24" s="108"/>
    </x:row>
    <x:row r="25" spans="1:22" ht="24.949999999999999" customHeight="1">
      <x:c r="A25" s="12">
        <x:v>22</x:v>
      </x:c>
      <x:c r="B25" s="13" t="s">
        <x:v>15</x:v>
      </x:c>
      <x:c r="C25" s="62">
        <x:v>208</x:v>
      </x:c>
      <x:c r="D25" s="62">
        <x:v>221</x:v>
      </x:c>
      <x:c r="E25" s="62">
        <x:v>228</x:v>
      </x:c>
      <x:c r="F25" s="44">
        <x:f t="shared" si="8"/>
        <x:v>657</x:v>
      </x:c>
      <x:c r="G25" s="45">
        <x:f t="shared" si="9"/>
        <x:v>219</x:v>
      </x:c>
      <x:c r="H25" s="34">
        <x:f t="array" ref="H25:H25">IF(B25="","",IFERROR(INDEX('회원명단 및 기준에버'!D:G,MATCH(B25,'회원명단 및 기준에버'!$C:$C,0),CHOOSE(INT((MONTH($L$2)-1)/3)+1,1,2,3,4)),""))</x:f>
        <x:v>193</x:v>
      </x:c>
      <x:c r="I25" s="38">
        <x:f t="shared" si="3"/>
        <x:v>15</x:v>
      </x:c>
      <x:c r="J25" s="38">
        <x:f t="shared" si="4"/>
        <x:v>28</x:v>
      </x:c>
      <x:c r="K25" s="38">
        <x:f t="shared" si="5"/>
        <x:v>35</x:v>
      </x:c>
      <x:c r="L25" s="63">
        <x:f t="shared" si="6"/>
        <x:v>78</x:v>
      </x:c>
      <x:c r="M25" s="39">
        <x:f t="shared" si="7"/>
        <x:v>26</x:v>
      </x:c>
      <x:c r="S25" s="107">
        <x:f t="shared" si="0"/>
        <x:v>20</x:v>
      </x:c>
      <x:c r="T25" s="97">
        <x:f t="shared" si="2"/>
        <x:v>260222</x:v>
      </x:c>
      <x:c r="U25" s="91">
        <x:f t="shared" si="1"/>
        <x:v>3</x:v>
      </x:c>
      <x:c r="V25" s="108"/>
    </x:row>
    <x:row r="26" spans="1:22" ht="24.949999999999999" customHeight="1">
      <x:c r="A26" s="12">
        <x:v>23</x:v>
      </x:c>
      <x:c r="B26" s="13" t="s">
        <x:v>54</x:v>
      </x:c>
      <x:c r="C26" s="62">
        <x:v>276</x:v>
      </x:c>
      <x:c r="D26" s="62">
        <x:v>177</x:v>
      </x:c>
      <x:c r="E26" s="62">
        <x:v>178</x:v>
      </x:c>
      <x:c r="F26" s="44">
        <x:f t="shared" si="8"/>
        <x:v>631</x:v>
      </x:c>
      <x:c r="G26" s="45">
        <x:f t="shared" si="9"/>
        <x:v>210.33333333333334</x:v>
      </x:c>
      <x:c r="H26" s="34">
        <x:f t="array" ref="H26:H26">IF(B26="","",IFERROR(INDEX('회원명단 및 기준에버'!D:G,MATCH(B26,'회원명단 및 기준에버'!$C:$C,0),CHOOSE(INT((MONTH($L$2)-1)/3)+1,1,2,3,4)),""))</x:f>
        <x:v>200</x:v>
      </x:c>
      <x:c r="I26" s="38">
        <x:f t="shared" si="3"/>
        <x:v>76</x:v>
      </x:c>
      <x:c r="J26" s="38">
        <x:f t="shared" si="4"/>
        <x:v>-23</x:v>
      </x:c>
      <x:c r="K26" s="38">
        <x:f t="shared" si="5"/>
        <x:v>-22</x:v>
      </x:c>
      <x:c r="L26" s="63">
        <x:f t="shared" si="6"/>
        <x:v>31</x:v>
      </x:c>
      <x:c r="M26" s="39">
        <x:f t="shared" si="7"/>
        <x:v>10.333333333333343</x:v>
      </x:c>
      <x:c r="S26" s="107">
        <x:f t="shared" si="0"/>
        <x:v>99</x:v>
      </x:c>
      <x:c r="T26" s="97">
        <x:f t="shared" si="2"/>
        <x:v>104346.33333333343</x:v>
      </x:c>
      <x:c r="U26" s="91">
        <x:f t="shared" si="1"/>
        <x:v>9</x:v>
      </x:c>
      <x:c r="V26" s="108"/>
    </x:row>
    <x:row r="27" spans="1:22" ht="24.949999999999999" customHeight="1">
      <x:c r="A27" s="12">
        <x:v>24</x:v>
      </x:c>
      <x:c r="B27" s="13" t="s">
        <x:v>20</x:v>
      </x:c>
      <x:c r="C27" s="62">
        <x:v>189</x:v>
      </x:c>
      <x:c r="D27" s="62">
        <x:v>205</x:v>
      </x:c>
      <x:c r="E27" s="62">
        <x:v>217</x:v>
      </x:c>
      <x:c r="F27" s="44">
        <x:f t="shared" si="8"/>
        <x:v>611</x:v>
      </x:c>
      <x:c r="G27" s="45">
        <x:f t="shared" si="9"/>
        <x:v>203.66666666666666</x:v>
      </x:c>
      <x:c r="H27" s="34">
        <x:f t="array" ref="H27:H27">IF(B27="","",IFERROR(INDEX('회원명단 및 기준에버'!D:G,MATCH(B27,'회원명단 및 기준에버'!$C:$C,0),CHOOSE(INT((MONTH($L$2)-1)/3)+1,1,2,3,4)),""))</x:f>
        <x:v>196</x:v>
      </x:c>
      <x:c r="I27" s="38">
        <x:f t="shared" si="3"/>
        <x:v>-7</x:v>
      </x:c>
      <x:c r="J27" s="38">
        <x:f t="shared" si="4"/>
        <x:v>9</x:v>
      </x:c>
      <x:c r="K27" s="38">
        <x:f t="shared" si="5"/>
        <x:v>21</x:v>
      </x:c>
      <x:c r="L27" s="63">
        <x:f t="shared" si="6"/>
        <x:v>23</x:v>
      </x:c>
      <x:c r="M27" s="39">
        <x:f t="shared" si="7"/>
        <x:v>7.6666666666666572</x:v>
      </x:c>
      <x:c r="S27" s="107">
        <x:f t="shared" si="0"/>
        <x:v>28</x:v>
      </x:c>
      <x:c r="T27" s="97">
        <x:f t="shared" si="2"/>
        <x:v>76970.66666666657</x:v>
      </x:c>
      <x:c r="U27" s="91">
        <x:f t="shared" si="1"/>
        <x:v>12</x:v>
      </x:c>
      <x:c r="V27" s="108"/>
    </x:row>
    <x:row r="28" spans="1:22" ht="24.949999999999999" customHeight="1">
      <x:c r="A28" s="12">
        <x:v>25</x:v>
      </x:c>
      <x:c r="B28" s="13" t="s">
        <x:v>38</x:v>
      </x:c>
      <x:c r="C28" s="62">
        <x:v>177</x:v>
      </x:c>
      <x:c r="D28" s="62">
        <x:v>183</x:v>
      </x:c>
      <x:c r="E28" s="62">
        <x:v>227</x:v>
      </x:c>
      <x:c r="F28" s="44">
        <x:f>SUM(C28:E28)</x:f>
        <x:v>587</x:v>
      </x:c>
      <x:c r="G28" s="45">
        <x:f>F28/3</x:f>
        <x:v>195.66666666666666</x:v>
      </x:c>
      <x:c r="H28" s="34">
        <x:f t="array" ref="H28:H28">IF(B28="","",IFERROR(INDEX('회원명단 및 기준에버'!D:G,MATCH(B28,'회원명단 및 기준에버'!$C:$C,0),CHOOSE(INT((MONTH($L$2)-1)/3)+1,1,2,3,4)),""))</x:f>
        <x:v>190</x:v>
      </x:c>
      <x:c r="I28" s="38">
        <x:f>IFERROR(C28+-H28,0)</x:f>
        <x:v>-13</x:v>
      </x:c>
      <x:c r="J28" s="38">
        <x:f>IFERROR(D28+-H28,0)</x:f>
        <x:v>-7</x:v>
      </x:c>
      <x:c r="K28" s="38">
        <x:f>IFERROR(E28+-H28,0)</x:f>
        <x:v>37</x:v>
      </x:c>
      <x:c r="L28" s="63">
        <x:f>SUM(I28:K28)</x:f>
        <x:v>17</x:v>
      </x:c>
      <x:c r="M28" s="39">
        <x:f>IFERROR(G28+-H28,0)</x:f>
        <x:v>5.6666666666666572</x:v>
      </x:c>
      <x:c r="S28" s="107">
        <x:f t="shared" si="0"/>
        <x:v>50</x:v>
      </x:c>
      <x:c r="T28" s="97">
        <x:f t="shared" si="2"/>
        <x:v>57191.66666666657</x:v>
      </x:c>
      <x:c r="U28" s="91">
        <x:f t="shared" si="1"/>
        <x:v>13</x:v>
      </x:c>
      <x:c r="V28" s="108"/>
    </x:row>
    <x:row r="29" spans="2:13" s="18" customFormat="1" ht="24.949999999999999" customHeight="1">
      <x:c r="B29" s="168" t="s">
        <x:v>63</x:v>
      </x:c>
      <x:c r="C29" s="169"/>
      <x:c r="D29" s="169"/>
      <x:c r="E29" s="169"/>
      <x:c r="F29" s="169"/>
      <x:c r="G29" s="169"/>
      <x:c r="H29" s="169"/>
      <x:c r="I29" s="169"/>
      <x:c r="J29" s="169"/>
      <x:c r="K29" s="169"/>
      <x:c r="L29" s="169"/>
      <x:c r="M29" s="170"/>
    </x:row>
    <x:row r="30" spans="2:13" s="18" customFormat="1" ht="24.949999999999999" customHeight="1">
      <x:c r="B30" s="171" t="s">
        <x:v>68</x:v>
      </x:c>
      <x:c r="C30" s="172"/>
      <x:c r="D30" s="172"/>
      <x:c r="E30" s="173"/>
      <x:c r="F30" s="174" t="s">
        <x:v>28</x:v>
      </x:c>
      <x:c r="G30" s="176" t="s">
        <x:v>14</x:v>
      </x:c>
      <x:c r="H30" s="177"/>
      <x:c r="I30" s="178"/>
      <x:c r="J30" s="179" t="s">
        <x:v>55</x:v>
      </x:c>
      <x:c r="K30" s="180"/>
      <x:c r="L30" s="180"/>
      <x:c r="M30" s="181"/>
    </x:row>
    <x:row r="31" spans="2:13" s="18" customFormat="1" ht="24.949999999999999" customHeight="1">
      <x:c r="B31" s="54" t="s">
        <x:v>47</x:v>
      </x:c>
      <x:c r="C31" s="24">
        <x:v>45.700000000000003</x:v>
      </x:c>
      <x:c r="D31" s="55" t="s">
        <x:v>27</x:v>
      </x:c>
      <x:c r="E31" s="56">
        <x:v>28.300000000000001</x:v>
      </x:c>
      <x:c r="F31" s="175"/>
      <x:c r="G31" s="182" t="s">
        <x:v>62</x:v>
      </x:c>
      <x:c r="H31" s="183"/>
      <x:c r="I31" s="184"/>
      <x:c r="J31" s="26"/>
      <x:c r="K31" s="27"/>
      <x:c r="L31" s="27"/>
      <x:c r="M31" s="28"/>
    </x:row>
    <x:row r="32" spans="2:13" s="18" customFormat="1" ht="24.949999999999999" customHeight="1">
      <x:c r="B32" s="155" t="s">
        <x:v>29</x:v>
      </x:c>
      <x:c r="C32" s="156"/>
      <x:c r="D32" s="156"/>
      <x:c r="E32" s="156"/>
      <x:c r="F32" s="156"/>
      <x:c r="G32" s="156"/>
      <x:c r="H32" s="157"/>
      <x:c r="I32" s="158" t="s">
        <x:v>66</x:v>
      </x:c>
      <x:c r="J32" s="159"/>
      <x:c r="K32" s="160" t="s">
        <x:v>67</x:v>
      </x:c>
      <x:c r="L32" s="161"/>
      <x:c r="M32" s="162"/>
    </x:row>
    <x:row r="33" spans="2:13" s="18" customFormat="1" ht="24.949999999999999" customHeight="1">
      <x:c r="B33" s="21" t="s">
        <x:v>47</x:v>
      </x:c>
      <x:c r="C33" s="64">
        <x:v>279</x:v>
      </x:c>
      <x:c r="D33" s="32" t="s">
        <x:v>18</x:v>
      </x:c>
      <x:c r="E33" s="67">
        <x:v>246</x:v>
      </x:c>
      <x:c r="F33" s="30" t="s">
        <x:v>38</x:v>
      </x:c>
      <x:c r="G33" s="70">
        <x:v>227</x:v>
      </x:c>
      <x:c r="H33" s="157"/>
      <x:c r="I33" s="23" t="s">
        <x:v>31</x:v>
      </x:c>
      <x:c r="J33" s="50"/>
      <x:c r="K33" s="57"/>
      <x:c r="L33" s="58"/>
      <x:c r="M33" s="59"/>
    </x:row>
    <x:row r="34" spans="2:13" s="18" customFormat="1" ht="24.949999999999999" customHeight="1">
      <x:c r="B34" s="46" t="s">
        <x:v>39</x:v>
      </x:c>
      <x:c r="C34" s="65">
        <x:v>233</x:v>
      </x:c>
      <x:c r="D34" s="47" t="s">
        <x:v>58</x:v>
      </x:c>
      <x:c r="E34" s="68">
        <x:v>232</x:v>
      </x:c>
      <x:c r="F34" s="48" t="s">
        <x:v>22</x:v>
      </x:c>
      <x:c r="G34" s="71">
        <x:v>236</x:v>
      </x:c>
      <x:c r="H34" s="157"/>
      <x:c r="I34" s="49"/>
      <x:c r="J34" s="51"/>
      <x:c r="K34" s="57"/>
      <x:c r="L34" s="58"/>
      <x:c r="M34" s="59"/>
    </x:row>
    <x:row r="35" spans="2:13" s="18" customFormat="1" ht="24.949999999999999" customHeight="1">
      <x:c r="B35" s="46" t="s">
        <x:v>60</x:v>
      </x:c>
      <x:c r="C35" s="65">
        <x:v>258</x:v>
      </x:c>
      <x:c r="D35" s="47" t="s">
        <x:v>20</x:v>
      </x:c>
      <x:c r="E35" s="68">
        <x:v>205</x:v>
      </x:c>
      <x:c r="F35" s="48"/>
      <x:c r="G35" s="71"/>
      <x:c r="H35" s="157"/>
      <x:c r="I35" s="49"/>
      <x:c r="J35" s="51"/>
      <x:c r="K35" s="136"/>
      <x:c r="L35" s="137"/>
      <x:c r="M35" s="138"/>
    </x:row>
    <x:row r="36" spans="2:13" s="18" customFormat="1" ht="24.949999999999999" customHeight="1">
      <x:c r="B36" s="29" t="s">
        <x:v>30</x:v>
      </x:c>
      <x:c r="C36" s="66">
        <x:v>198</x:v>
      </x:c>
      <x:c r="D36" s="33" t="s">
        <x:v>37</x:v>
      </x:c>
      <x:c r="E36" s="69">
        <x:v>227</x:v>
      </x:c>
      <x:c r="F36" s="31"/>
      <x:c r="G36" s="72"/>
      <x:c r="H36" s="157"/>
      <x:c r="I36" s="24"/>
      <x:c r="J36" s="52"/>
      <x:c r="K36" s="60"/>
      <x:c r="L36" s="53"/>
      <x:c r="M36" s="61"/>
    </x:row>
    <x:row r="37" spans="1:13" s="18" customFormat="1" ht="24.949999999999999" customHeight="1">
      <x:c r="A37" s="17"/>
      <x:c r="B37" s="163" t="s">
        <x:v>51</x:v>
      </x:c>
      <x:c r="C37" s="164"/>
      <x:c r="D37" s="164"/>
      <x:c r="E37" s="164"/>
      <x:c r="F37" s="164"/>
      <x:c r="G37" s="164"/>
      <x:c r="H37" s="164"/>
      <x:c r="I37" s="164"/>
      <x:c r="J37" s="164"/>
      <x:c r="K37" s="164"/>
      <x:c r="L37" s="164"/>
      <x:c r="M37" s="165"/>
    </x:row>
    <x:row r="38" spans="2:13" s="18" customFormat="1" ht="24.949999999999999" customHeight="1">
      <x:c r="B38" s="35" t="str">
        <x:f>$B4</x:f>
        <x:v>장 영 민</x:v>
      </x:c>
      <x:c r="C38" s="40">
        <x:f>IF($T$2=0,$C4,$I4)</x:f>
        <x:v>79</x:v>
      </x:c>
      <x:c r="D38" s="40">
        <x:f>IF($T$2=0,$D4,$J4)</x:f>
        <x:v>56</x:v>
      </x:c>
      <x:c r="E38" s="40">
        <x:f>IF($T$2=0,$E4,$K4)</x:f>
        <x:v>2</x:v>
      </x:c>
      <x:c r="F38" s="141">
        <x:f>E43+D43+C43</x:f>
        <x:v>334</x:v>
      </x:c>
      <x:c r="G38" s="144"/>
      <x:c r="H38" s="79" t="str">
        <x:f>$B9</x:f>
        <x:v>손 은 주</x:v>
      </x:c>
      <x:c r="I38" s="40">
        <x:f>IF($T$2=0,$C9,$I9)</x:f>
        <x:v>15</x:v>
      </x:c>
      <x:c r="J38" s="40">
        <x:f>IF($T$2=0,$D9,$J9)</x:f>
        <x:v>3</x:v>
      </x:c>
      <x:c r="K38" s="40">
        <x:f>IF($T$2=0,$E9,$K9)</x:f>
        <x:v>-16</x:v>
      </x:c>
      <x:c r="L38" s="149">
        <x:f>K43+J43+I43</x:f>
        <x:v>66</x:v>
      </x:c>
      <x:c r="M38" s="152"/>
    </x:row>
    <x:row r="39" spans="2:13" s="18" customFormat="1" ht="24.949999999999999" customHeight="1">
      <x:c r="B39" s="36" t="str">
        <x:f>$B5</x:f>
        <x:v>김 정 희</x:v>
      </x:c>
      <x:c r="C39" s="41">
        <x:f>IF($T$2=0,$C5,$I5)</x:f>
        <x:v>10</x:v>
      </x:c>
      <x:c r="D39" s="41">
        <x:f>IF($T$2=0,$D5,$J5)</x:f>
        <x:v>32</x:v>
      </x:c>
      <x:c r="E39" s="41">
        <x:f>IF($T$2=0,$E5,$K5)</x:f>
        <x:v>-9</x:v>
      </x:c>
      <x:c r="F39" s="142"/>
      <x:c r="G39" s="145"/>
      <x:c r="H39" s="36" t="str">
        <x:f>$B10</x:f>
        <x:v>이 우 석</x:v>
      </x:c>
      <x:c r="I39" s="41">
        <x:f>IF($T$2=0,$C10,$I10)</x:f>
        <x:v>23</x:v>
      </x:c>
      <x:c r="J39" s="41">
        <x:f>IF($T$2=0,$D10,$J10)</x:f>
        <x:v>-4</x:v>
      </x:c>
      <x:c r="K39" s="41">
        <x:f>IF($T$2=0,$E10,$K10)</x:f>
        <x:v>29</x:v>
      </x:c>
      <x:c r="L39" s="150"/>
      <x:c r="M39" s="153"/>
    </x:row>
    <x:row r="40" spans="2:13" s="18" customFormat="1" ht="24.949999999999999" customHeight="1">
      <x:c r="B40" s="36" t="str">
        <x:f>$B6</x:f>
        <x:v>진 명 옥</x:v>
      </x:c>
      <x:c r="C40" s="41">
        <x:f>IF($T$2=0,$C6,$I6)</x:f>
        <x:v>19</x:v>
      </x:c>
      <x:c r="D40" s="41">
        <x:f>IF($T$2=0,$D6,$J6)</x:f>
        <x:v>53</x:v>
      </x:c>
      <x:c r="E40" s="41">
        <x:f>IF($T$2=0,$E6,$K6)</x:f>
        <x:v>13</x:v>
      </x:c>
      <x:c r="F40" s="142"/>
      <x:c r="G40" s="145"/>
      <x:c r="H40" s="36" t="str">
        <x:f>$B11</x:f>
        <x:v>이 대 용</x:v>
      </x:c>
      <x:c r="I40" s="41">
        <x:f>IF($T$2=0,$C11,$I11)</x:f>
        <x:v>-26</x:v>
      </x:c>
      <x:c r="J40" s="41">
        <x:f>IF($T$2=0,$D11,$J11)</x:f>
        <x:v>26</x:v>
      </x:c>
      <x:c r="K40" s="41">
        <x:f>IF($T$2=0,$E11,$K11)</x:f>
        <x:v>27</x:v>
      </x:c>
      <x:c r="L40" s="150"/>
      <x:c r="M40" s="153"/>
    </x:row>
    <x:row r="41" spans="2:13" s="18" customFormat="1" ht="24.949999999999999" customHeight="1">
      <x:c r="B41" s="36" t="str">
        <x:f>$B7</x:f>
        <x:v>김 남 주</x:v>
      </x:c>
      <x:c r="C41" s="41">
        <x:f>IF($T$2=0,$C7,$I7)</x:f>
        <x:v>63</x:v>
      </x:c>
      <x:c r="D41" s="41">
        <x:f>IF($T$2=0,$D7,$J7)</x:f>
        <x:v>-22</x:v>
      </x:c>
      <x:c r="E41" s="41">
        <x:f>IF($T$2=0,$E7,$K7)</x:f>
        <x:v>33</x:v>
      </x:c>
      <x:c r="F41" s="142"/>
      <x:c r="G41" s="145"/>
      <x:c r="H41" s="36" t="str">
        <x:f>$B12</x:f>
        <x:v>김 태 환</x:v>
      </x:c>
      <x:c r="I41" s="41">
        <x:f>IF($T$2=0,$C12,$I12)</x:f>
        <x:v>-11</x:v>
      </x:c>
      <x:c r="J41" s="41">
        <x:f>IF($T$2=0,$D12,$J12)</x:f>
        <x:v>-29</x:v>
      </x:c>
      <x:c r="K41" s="41">
        <x:f>IF($T$2=0,$E12,$K12)</x:f>
        <x:v>2</x:v>
      </x:c>
      <x:c r="L41" s="150"/>
      <x:c r="M41" s="153"/>
    </x:row>
    <x:row r="42" spans="2:13" s="18" customFormat="1" ht="24.949999999999999" customHeight="1">
      <x:c r="B42" s="36" t="str">
        <x:f>$B8</x:f>
        <x:v>김 미 란</x:v>
      </x:c>
      <x:c r="C42" s="41">
        <x:f>IF($T$2=0,$C8,$I8)</x:f>
        <x:v>20</x:v>
      </x:c>
      <x:c r="D42" s="41">
        <x:f>IF($T$2=0,$D8,$J8)</x:f>
        <x:v>-4</x:v>
      </x:c>
      <x:c r="E42" s="41">
        <x:f>IF($T$2=0,$E8,$K8)</x:f>
        <x:v>-11</x:v>
      </x:c>
      <x:c r="F42" s="142"/>
      <x:c r="G42" s="145"/>
      <x:c r="H42" s="36" t="str">
        <x:f>$B13</x:f>
        <x:v>송 정 현</x:v>
      </x:c>
      <x:c r="I42" s="41">
        <x:f>IF($T$2=0,$C13,$I13)</x:f>
        <x:v>4</x:v>
      </x:c>
      <x:c r="J42" s="41">
        <x:f>IF($T$2=0,$D13,$J13)</x:f>
        <x:v>16</x:v>
      </x:c>
      <x:c r="K42" s="41">
        <x:f>IF($T$2=0,$E13,$K13)</x:f>
        <x:v>7</x:v>
      </x:c>
      <x:c r="L42" s="150"/>
      <x:c r="M42" s="153"/>
    </x:row>
    <x:row r="43" spans="2:13" s="18" customFormat="1" ht="24.949999999999999" customHeight="1">
      <x:c r="B43" s="37"/>
      <x:c r="C43" s="42">
        <x:f>SUM(C38:C42)</x:f>
        <x:v>191</x:v>
      </x:c>
      <x:c r="D43" s="42">
        <x:f>SUM(D38:D42)</x:f>
        <x:v>115</x:v>
      </x:c>
      <x:c r="E43" s="42">
        <x:f>SUM(E38:E42)</x:f>
        <x:v>28</x:v>
      </x:c>
      <x:c r="F43" s="143"/>
      <x:c r="G43" s="146"/>
      <x:c r="H43" s="37"/>
      <x:c r="I43" s="42">
        <x:f>SUM(I38:I42)</x:f>
        <x:v>5</x:v>
      </x:c>
      <x:c r="J43" s="42">
        <x:f>SUM(J38:J42)</x:f>
        <x:v>12</x:v>
      </x:c>
      <x:c r="K43" s="42">
        <x:f>SUM(K38:K42)</x:f>
        <x:v>49</x:v>
      </x:c>
      <x:c r="L43" s="151"/>
      <x:c r="M43" s="154"/>
    </x:row>
    <x:row r="44" s="18" customFormat="1" ht="24.949999999999999" customHeight="1"/>
    <x:row r="45" spans="2:13" s="18" customFormat="1" ht="24.949999999999999" customHeight="1">
      <x:c r="B45" s="35" t="str">
        <x:f>$B14</x:f>
        <x:v>김 선 미</x:v>
      </x:c>
      <x:c r="C45" s="40">
        <x:f>IF($T$2=0,$C14,$I14)</x:f>
        <x:v>13</x:v>
      </x:c>
      <x:c r="D45" s="40">
        <x:f>IF($T$2=0,$D14,$J14)</x:f>
        <x:v>17</x:v>
      </x:c>
      <x:c r="E45" s="40">
        <x:f>IF($T$2=0,$E14,$K14)</x:f>
        <x:v>-21</x:v>
      </x:c>
      <x:c r="F45" s="141">
        <x:f>E50+D50+C50</x:f>
        <x:v>36</x:v>
      </x:c>
      <x:c r="G45" s="144"/>
      <x:c r="H45" s="79" t="str">
        <x:f>$B19</x:f>
        <x:v>지 옥 명</x:v>
      </x:c>
      <x:c r="I45" s="40">
        <x:f>IF($T$2=0,$C19,$I19)</x:f>
        <x:v>-13</x:v>
      </x:c>
      <x:c r="J45" s="40">
        <x:f>IF($T$2=0,$D19,$J19)</x:f>
        <x:v>-11</x:v>
      </x:c>
      <x:c r="K45" s="40">
        <x:f>IF($T$2=0,$E19,$K19)</x:f>
        <x:v>-54</x:v>
      </x:c>
      <x:c r="L45" s="149">
        <x:f>K50+J50+I50</x:f>
        <x:v>-52</x:v>
      </x:c>
      <x:c r="M45" s="152"/>
    </x:row>
    <x:row r="46" spans="2:13" s="17" customFormat="1" ht="24.949999999999999" customHeight="1">
      <x:c r="B46" s="36" t="str">
        <x:f>$B15</x:f>
        <x:v>임 연 진</x:v>
      </x:c>
      <x:c r="C46" s="41">
        <x:f>IF($T$2=0,$C15,$I15)</x:f>
        <x:v>12</x:v>
      </x:c>
      <x:c r="D46" s="41">
        <x:f>IF($T$2=0,$D15,$J15)</x:f>
        <x:v>19</x:v>
      </x:c>
      <x:c r="E46" s="41">
        <x:f>IF($T$2=0,$E15,$K15)</x:f>
        <x:v>14</x:v>
      </x:c>
      <x:c r="F46" s="142"/>
      <x:c r="G46" s="145"/>
      <x:c r="H46" s="36" t="str">
        <x:f>$B20</x:f>
        <x:v>강 완 규</x:v>
      </x:c>
      <x:c r="I46" s="41">
        <x:f>IF($T$2=0,$C20,$I20)</x:f>
        <x:v>-26</x:v>
      </x:c>
      <x:c r="J46" s="41">
        <x:f>IF($T$2=0,$D20,$J20)</x:f>
        <x:v>-27</x:v>
      </x:c>
      <x:c r="K46" s="41">
        <x:f>IF($T$2=0,$E20,$K20)</x:f>
        <x:v>42</x:v>
      </x:c>
      <x:c r="L46" s="150"/>
      <x:c r="M46" s="153"/>
    </x:row>
    <x:row r="47" spans="2:13" s="17" customFormat="1" ht="24.949999999999999" customHeight="1">
      <x:c r="B47" s="36" t="str">
        <x:f>$B16</x:f>
        <x:v>변 상 필</x:v>
      </x:c>
      <x:c r="C47" s="41">
        <x:f>IF($T$2=0,$C16,$I16)</x:f>
        <x:v>-14</x:v>
      </x:c>
      <x:c r="D47" s="41">
        <x:f>IF($T$2=0,$D16,$J16)</x:f>
        <x:v>-16</x:v>
      </x:c>
      <x:c r="E47" s="41">
        <x:f>IF($T$2=0,$E16,$K16)</x:f>
        <x:v>10</x:v>
      </x:c>
      <x:c r="F47" s="142"/>
      <x:c r="G47" s="145"/>
      <x:c r="H47" s="36" t="str">
        <x:f>$B21</x:f>
        <x:v>임 승 기</x:v>
      </x:c>
      <x:c r="I47" s="41">
        <x:f>IF($T$2=0,$C21,$I21)</x:f>
        <x:v>0</x:v>
      </x:c>
      <x:c r="J47" s="41">
        <x:f>IF($T$2=0,$D21,$J21)</x:f>
        <x:v>0</x:v>
      </x:c>
      <x:c r="K47" s="41">
        <x:f>IF($T$2=0,$E21,$K21)</x:f>
        <x:v>0</x:v>
      </x:c>
      <x:c r="L47" s="150"/>
      <x:c r="M47" s="153"/>
    </x:row>
    <x:row r="48" spans="2:13" s="17" customFormat="1" ht="24.949999999999999" customHeight="1">
      <x:c r="B48" s="36" t="str">
        <x:f>$B17</x:f>
        <x:v>최  진</x:v>
      </x:c>
      <x:c r="C48" s="41">
        <x:f>IF($T$2=0,$C17,$I17)</x:f>
        <x:v>0</x:v>
      </x:c>
      <x:c r="D48" s="41">
        <x:f>IF($T$2=0,$D17,$J17)</x:f>
        <x:v>0</x:v>
      </x:c>
      <x:c r="E48" s="41">
        <x:f>IF($T$2=0,$E17,$K17)</x:f>
        <x:v>0</x:v>
      </x:c>
      <x:c r="F48" s="142"/>
      <x:c r="G48" s="145"/>
      <x:c r="H48" s="36" t="str">
        <x:f>$B22</x:f>
        <x:v>나 경 주</x:v>
      </x:c>
      <x:c r="I48" s="41">
        <x:f>IF($T$2=0,$C22,$I22)</x:f>
        <x:v>-22</x:v>
      </x:c>
      <x:c r="J48" s="41">
        <x:f>IF($T$2=0,$D22,$J22)</x:f>
        <x:v>54</x:v>
      </x:c>
      <x:c r="K48" s="41">
        <x:f>IF($T$2=0,$E22,$K22)</x:f>
        <x:v>-27</x:v>
      </x:c>
      <x:c r="L48" s="150"/>
      <x:c r="M48" s="153"/>
    </x:row>
    <x:row r="49" spans="2:13" s="17" customFormat="1" ht="24.949999999999999" customHeight="1">
      <x:c r="B49" s="36" t="str">
        <x:f>$B18</x:f>
        <x:v>엄 정 도</x:v>
      </x:c>
      <x:c r="C49" s="41">
        <x:f>IF($T$2=0,$C18,$I18)</x:f>
        <x:v>13</x:v>
      </x:c>
      <x:c r="D49" s="41">
        <x:f>IF($T$2=0,$D18,$J18)</x:f>
        <x:v>-1</x:v>
      </x:c>
      <x:c r="E49" s="41">
        <x:f>IF($T$2=0,$E18,$K18)</x:f>
        <x:v>-10</x:v>
      </x:c>
      <x:c r="F49" s="142"/>
      <x:c r="G49" s="145"/>
      <x:c r="H49" s="36" t="str">
        <x:f>$B23</x:f>
        <x:v>황 인 교</x:v>
      </x:c>
      <x:c r="I49" s="41">
        <x:f>IF($T$2=0,$C23,$I23)</x:f>
        <x:v>-5</x:v>
      </x:c>
      <x:c r="J49" s="41">
        <x:f>IF($T$2=0,$D23,$J23)</x:f>
        <x:v>31</x:v>
      </x:c>
      <x:c r="K49" s="41">
        <x:f>IF($T$2=0,$E23,$K23)</x:f>
        <x:v>6</x:v>
      </x:c>
      <x:c r="L49" s="150"/>
      <x:c r="M49" s="153"/>
    </x:row>
    <x:row r="50" spans="2:13" s="17" customFormat="1" ht="24.949999999999999" customHeight="1">
      <x:c r="B50" s="37"/>
      <x:c r="C50" s="42">
        <x:f>SUM(C45:C49)</x:f>
        <x:v>24</x:v>
      </x:c>
      <x:c r="D50" s="42">
        <x:f>SUM(D45:D49)</x:f>
        <x:v>19</x:v>
      </x:c>
      <x:c r="E50" s="42">
        <x:f>SUM(E45:E49)</x:f>
        <x:v>-7</x:v>
      </x:c>
      <x:c r="F50" s="143"/>
      <x:c r="G50" s="146"/>
      <x:c r="H50" s="37"/>
      <x:c r="I50" s="42">
        <x:f>SUM(I45:I49)</x:f>
        <x:v>-66</x:v>
      </x:c>
      <x:c r="J50" s="42">
        <x:f>SUM(J45:J49)</x:f>
        <x:v>47</x:v>
      </x:c>
      <x:c r="K50" s="42">
        <x:f>SUM(K45:K49)</x:f>
        <x:v>-33</x:v>
      </x:c>
      <x:c r="L50" s="151"/>
      <x:c r="M50" s="154"/>
    </x:row>
    <x:row r="51" spans="7:14" ht="24.949999999999999" customHeight="1">
      <x:c r="G51" s="8"/>
      <x:c r="H51" s="8"/>
      <x:c r="I51" s="8"/>
      <x:c r="J51" s="8"/>
      <x:c r="K51" s="8"/>
      <x:c r="L51" s="8"/>
      <x:c r="M51" s="8"/>
      <x:c r="N51" s="8"/>
    </x:row>
    <x:row r="52" spans="2:14" ht="24.949999999999999" customHeight="1">
      <x:c r="B52" s="35" t="str">
        <x:f>$B24</x:f>
        <x:v>이 승 미</x:v>
      </x:c>
      <x:c r="C52" s="40">
        <x:f>IF($T$2=0,$C24,$I24)</x:f>
        <x:v>15</x:v>
      </x:c>
      <x:c r="D52" s="40">
        <x:f>IF($T$2=0,$D24,$J24)</x:f>
        <x:v>-34</x:v>
      </x:c>
      <x:c r="E52" s="40">
        <x:f>IF($T$2=0,$E24,$K24)</x:f>
        <x:v>-10</x:v>
      </x:c>
      <x:c r="F52" s="141">
        <x:f>E57+D57+C57</x:f>
        <x:v>120</x:v>
      </x:c>
      <x:c r="G52" s="190"/>
      <x:c r="H52" s="139"/>
      <x:c r="I52" s="131"/>
      <x:c r="J52" s="131"/>
      <x:c r="K52" s="131"/>
      <x:c r="L52" s="124"/>
      <x:c r="M52" s="125"/>
      <x:c r="N52" s="8"/>
    </x:row>
    <x:row r="53" spans="2:14" ht="24.949999999999999" customHeight="1">
      <x:c r="B53" s="36" t="str">
        <x:f>$B25</x:f>
        <x:v>이 범 수</x:v>
      </x:c>
      <x:c r="C53" s="41">
        <x:f>IF($T$2=0,$C25,$I25)</x:f>
        <x:v>15</x:v>
      </x:c>
      <x:c r="D53" s="41">
        <x:f>IF($T$2=0,$D25,$J25)</x:f>
        <x:v>28</x:v>
      </x:c>
      <x:c r="E53" s="41">
        <x:f>IF($T$2=0,$E25,$K25)</x:f>
        <x:v>35</x:v>
      </x:c>
      <x:c r="F53" s="142"/>
      <x:c r="G53" s="191"/>
      <x:c r="H53" s="139"/>
      <x:c r="I53" s="131"/>
      <x:c r="J53" s="131"/>
      <x:c r="K53" s="131"/>
      <x:c r="L53" s="124"/>
      <x:c r="M53" s="125"/>
      <x:c r="N53" s="8"/>
    </x:row>
    <x:row r="54" spans="2:14" ht="24.949999999999999" customHeight="1">
      <x:c r="B54" s="36" t="str">
        <x:f>$B26</x:f>
        <x:v>최 현 수</x:v>
      </x:c>
      <x:c r="C54" s="41">
        <x:f>IF($T$2=0,$C26,$I26)</x:f>
        <x:v>76</x:v>
      </x:c>
      <x:c r="D54" s="41">
        <x:f>IF($T$2=0,$D26,$J26)</x:f>
        <x:v>-23</x:v>
      </x:c>
      <x:c r="E54" s="41">
        <x:f>IF($T$2=0,$E26,$K26)</x:f>
        <x:v>-22</x:v>
      </x:c>
      <x:c r="F54" s="142"/>
      <x:c r="G54" s="191"/>
      <x:c r="H54" s="139"/>
      <x:c r="I54" s="131"/>
      <x:c r="J54" s="131"/>
      <x:c r="K54" s="131"/>
      <x:c r="L54" s="124"/>
      <x:c r="M54" s="125"/>
      <x:c r="N54" s="8"/>
    </x:row>
    <x:row r="55" spans="2:14" ht="24.949999999999999" customHeight="1">
      <x:c r="B55" s="36" t="str">
        <x:f>$B27</x:f>
        <x:v>이 정 석</x:v>
      </x:c>
      <x:c r="C55" s="41">
        <x:f>IF($T$2=0,$C27,$I27)</x:f>
        <x:v>-7</x:v>
      </x:c>
      <x:c r="D55" s="41">
        <x:f>IF($T$2=0,$D27,$J27)</x:f>
        <x:v>9</x:v>
      </x:c>
      <x:c r="E55" s="41">
        <x:f>IF($T$2=0,$E27,$K27)</x:f>
        <x:v>21</x:v>
      </x:c>
      <x:c r="F55" s="142"/>
      <x:c r="G55" s="191"/>
      <x:c r="H55" s="139"/>
      <x:c r="I55" s="131"/>
      <x:c r="J55" s="131"/>
      <x:c r="K55" s="131"/>
      <x:c r="L55" s="124"/>
      <x:c r="M55" s="125"/>
      <x:c r="N55" s="8"/>
    </x:row>
    <x:row r="56" spans="2:14" ht="24.949999999999999" customHeight="1">
      <x:c r="B56" s="36" t="str">
        <x:f>$B28</x:f>
        <x:v>박 성 현</x:v>
      </x:c>
      <x:c r="C56" s="41">
        <x:f>IF($T$2=0,$C28,$I28)</x:f>
        <x:v>-13</x:v>
      </x:c>
      <x:c r="D56" s="41">
        <x:f>IF($T$2=0,$D28,$J28)</x:f>
        <x:v>-7</x:v>
      </x:c>
      <x:c r="E56" s="41">
        <x:f>IF($T$2=0,$E28,$K28)</x:f>
        <x:v>37</x:v>
      </x:c>
      <x:c r="F56" s="142"/>
      <x:c r="G56" s="191"/>
      <x:c r="H56" s="139"/>
      <x:c r="I56" s="131"/>
      <x:c r="J56" s="131"/>
      <x:c r="K56" s="131"/>
      <x:c r="L56" s="124"/>
      <x:c r="M56" s="125"/>
      <x:c r="N56" s="8"/>
    </x:row>
    <x:row r="57" spans="2:14" ht="24.949999999999999" customHeight="1">
      <x:c r="B57" s="37"/>
      <x:c r="C57" s="42">
        <x:f>SUM(C52:C56)</x:f>
        <x:v>86</x:v>
      </x:c>
      <x:c r="D57" s="42">
        <x:f>SUM(D52:D56)</x:f>
        <x:v>-27</x:v>
      </x:c>
      <x:c r="E57" s="42">
        <x:f>SUM(E52:E56)</x:f>
        <x:v>61</x:v>
      </x:c>
      <x:c r="F57" s="143"/>
      <x:c r="G57" s="192"/>
      <x:c r="H57" s="139"/>
      <x:c r="I57" s="132"/>
      <x:c r="J57" s="132"/>
      <x:c r="K57" s="132"/>
      <x:c r="L57" s="124"/>
      <x:c r="M57" s="125"/>
      <x:c r="N57" s="8"/>
    </x:row>
    <x:row r="58" spans="7:14" ht="24.949999999999999" customHeight="1">
      <x:c r="G58" s="8"/>
      <x:c r="H58" s="8"/>
      <x:c r="I58" s="8"/>
      <x:c r="J58" s="8"/>
      <x:c r="K58" s="8"/>
      <x:c r="L58" s="8"/>
      <x:c r="M58" s="8"/>
      <x:c r="N58" s="8"/>
    </x:row>
    <x:row r="59" ht="24.949999999999999" customHeight="1"/>
    <x:row r="60" ht="24.949999999999999" customHeight="1"/>
    <x:row r="61" spans="1:13" ht="60" customHeight="1">
      <x:c r="A61" s="185" t="str">
        <x:f>A1</x:f>
        <x:v>2026 아르케 존 05회 정기 모임 점수</x:v>
      </x:c>
      <x:c r="B61" s="185"/>
      <x:c r="C61" s="185"/>
      <x:c r="D61" s="185"/>
      <x:c r="E61" s="185"/>
      <x:c r="F61" s="185"/>
      <x:c r="G61" s="185"/>
      <x:c r="H61" s="185"/>
      <x:c r="I61" s="185"/>
      <x:c r="J61" s="185"/>
      <x:c r="K61" s="185"/>
      <x:c r="L61" s="185"/>
      <x:c r="M61" s="185"/>
    </x:row>
    <x:row r="62" spans="1:13" ht="24.949999999999999" customHeight="1">
      <x:c r="A62" s="77"/>
      <x:c r="B62" s="77"/>
      <x:c r="C62" s="77"/>
      <x:c r="D62" s="77"/>
      <x:c r="E62" s="77"/>
      <x:c r="F62" s="77"/>
      <x:c r="G62" s="77"/>
      <x:c r="H62" s="77"/>
      <x:c r="I62" s="77"/>
      <x:c r="J62" s="77"/>
      <x:c r="K62" s="78" t="s">
        <x:v>8</x:v>
      </x:c>
      <x:c r="L62" s="166">
        <x:f>L2</x:f>
        <x:v>46086</x:v>
      </x:c>
      <x:c r="M62" s="167"/>
    </x:row>
    <x:row r="63" spans="1:13" ht="24.949999999999999" customHeight="1">
      <x:c r="A63" s="20"/>
      <x:c r="B63" s="14" t="s">
        <x:v>53</x:v>
      </x:c>
      <x:c r="C63" s="14" t="s">
        <x:v>2</x:v>
      </x:c>
      <x:c r="D63" s="14" t="s">
        <x:v>0</x:v>
      </x:c>
      <x:c r="E63" s="14" t="s">
        <x:v>10</x:v>
      </x:c>
      <x:c r="F63" s="14" t="s">
        <x:v>9</x:v>
      </x:c>
      <x:c r="G63" s="14" t="s">
        <x:v>6</x:v>
      </x:c>
      <x:c r="H63" s="16" t="s">
        <x:v>57</x:v>
      </x:c>
      <x:c r="I63" s="14" t="s">
        <x:v>2</x:v>
      </x:c>
      <x:c r="J63" s="14" t="s">
        <x:v>0</x:v>
      </x:c>
      <x:c r="K63" s="14" t="s">
        <x:v>10</x:v>
      </x:c>
      <x:c r="L63" s="15" t="s">
        <x:v>9</x:v>
      </x:c>
      <x:c r="M63" s="22" t="s">
        <x:v>13</x:v>
      </x:c>
    </x:row>
    <x:row r="64" spans="1:13" ht="24.949999999999999" customHeight="1">
      <x:c r="A64" s="12">
        <x:v>1</x:v>
      </x:c>
      <x:c r="B64" s="13" t="str">
        <x:f t="array" ref="B64:B64">INDEX($B$4:$M$28,MATCH($A64,$U$4:$U$28,0),COLUMN(A$1))</x:f>
        <x:v>장 영 민</x:v>
      </x:c>
      <x:c r="C64" s="62">
        <x:f t="array" ref="C64:C64">INDEX($B$4:$M$28,MATCH($A64,$U$4:$U$28,0),COLUMN(B$1))</x:f>
        <x:v>279</x:v>
      </x:c>
      <x:c r="D64" s="62">
        <x:f t="array" ref="D64:D64">INDEX($B$4:$M$28,MATCH($A64,$U$4:$U$28,0),COLUMN(C$1))</x:f>
        <x:v>256</x:v>
      </x:c>
      <x:c r="E64" s="62">
        <x:f t="array" ref="E64:E64">INDEX($B$4:$M$28,MATCH($A64,$U$4:$U$28,0),COLUMN(D$1))</x:f>
        <x:v>202</x:v>
      </x:c>
      <x:c r="F64" s="44">
        <x:f>SUM(C64:E64)</x:f>
        <x:v>737</x:v>
      </x:c>
      <x:c r="G64" s="45">
        <x:f>F64/3</x:f>
        <x:v>245.66666666666666</x:v>
      </x:c>
      <x:c r="H64" s="34">
        <x:f t="array" ref="H64:H64">IF(B64="","",IFERROR(INDEX('회원명단 및 기준에버'!D:G,MATCH(B64,'회원명단 및 기준에버'!$C:$C,0),CHOOSE(INT((MONTH($L$2)-1)/3)+1,1,2,3,4)),""))</x:f>
        <x:v>200</x:v>
      </x:c>
      <x:c r="I64" s="38">
        <x:f>IFERROR(C64+-H64,0)</x:f>
        <x:v>79</x:v>
      </x:c>
      <x:c r="J64" s="38">
        <x:f>IFERROR(D64+-H64,0)</x:f>
        <x:v>56</x:v>
      </x:c>
      <x:c r="K64" s="38">
        <x:f>IFERROR(E64+-H64,0)</x:f>
        <x:v>2</x:v>
      </x:c>
      <x:c r="L64" s="63">
        <x:f>SUM(I64:K64)</x:f>
        <x:v>137</x:v>
      </x:c>
      <x:c r="M64" s="39">
        <x:f>IFERROR(G64+-H64,0)</x:f>
        <x:v>45.666666666666657</x:v>
      </x:c>
    </x:row>
    <x:row r="65" spans="1:13" ht="24.949999999999999" customHeight="1">
      <x:c r="A65" s="12">
        <x:v>2</x:v>
      </x:c>
      <x:c r="B65" s="13" t="str">
        <x:f t="array" ref="B65:B65">INDEX($B$4:$M$28,MATCH($A65,$U$4:$U$28,0),COLUMN(A$1))</x:f>
        <x:v>진 명 옥</x:v>
      </x:c>
      <x:c r="C65" s="62">
        <x:f t="array" ref="C65:C65">INDEX($B$4:$M$28,MATCH($A65,$U$4:$U$28,0),COLUMN(B$1))</x:f>
        <x:v>190</x:v>
      </x:c>
      <x:c r="D65" s="62">
        <x:f t="array" ref="D65:D65">INDEX($B$4:$M$28,MATCH($A65,$U$4:$U$28,0),COLUMN(C$1))</x:f>
        <x:v>224</x:v>
      </x:c>
      <x:c r="E65" s="62">
        <x:f t="array" ref="E65:E65">INDEX($B$4:$M$28,MATCH($A65,$U$4:$U$28,0),COLUMN(D$1))</x:f>
        <x:v>184</x:v>
      </x:c>
      <x:c r="F65" s="44">
        <x:f>SUM(C65:E65)</x:f>
        <x:v>598</x:v>
      </x:c>
      <x:c r="G65" s="45">
        <x:f>F65/3</x:f>
        <x:v>199.33333333333334</x:v>
      </x:c>
      <x:c r="H65" s="34">
        <x:f t="array" ref="H65:H65">IF(B65="","",IFERROR(INDEX('회원명단 및 기준에버'!D:G,MATCH(B65,'회원명단 및 기준에버'!$C:$C,0),CHOOSE(INT((MONTH($L$2)-1)/3)+1,1,2,3,4)),""))</x:f>
        <x:v>171</x:v>
      </x:c>
      <x:c r="I65" s="38">
        <x:f>IFERROR(C65+-H65,0)</x:f>
        <x:v>19</x:v>
      </x:c>
      <x:c r="J65" s="38">
        <x:f>IFERROR(D65+-H65,0)</x:f>
        <x:v>53</x:v>
      </x:c>
      <x:c r="K65" s="38">
        <x:f>IFERROR(E65+-H65,0)</x:f>
        <x:v>13</x:v>
      </x:c>
      <x:c r="L65" s="63">
        <x:f>SUM(I65:K65)</x:f>
        <x:v>85</x:v>
      </x:c>
      <x:c r="M65" s="39">
        <x:f>IFERROR(G65+-H65,0)</x:f>
        <x:v>28.333333333333343</x:v>
      </x:c>
    </x:row>
    <x:row r="66" spans="1:13" ht="24.949999999999999" customHeight="1">
      <x:c r="A66" s="12">
        <x:v>3</x:v>
      </x:c>
      <x:c r="B66" s="13" t="str">
        <x:f t="array" ref="B66:B66">INDEX($B$4:$M$28,MATCH($A66,$U$4:$U$28,0),COLUMN(A$1))</x:f>
        <x:v>이 범 수</x:v>
      </x:c>
      <x:c r="C66" s="62">
        <x:f t="array" ref="C66:C66">INDEX($B$4:$M$28,MATCH($A66,$U$4:$U$28,0),COLUMN(B$1))</x:f>
        <x:v>208</x:v>
      </x:c>
      <x:c r="D66" s="62">
        <x:f t="array" ref="D66:D66">INDEX($B$4:$M$28,MATCH($A66,$U$4:$U$28,0),COLUMN(C$1))</x:f>
        <x:v>221</x:v>
      </x:c>
      <x:c r="E66" s="62">
        <x:f t="array" ref="E66:E66">INDEX($B$4:$M$28,MATCH($A66,$U$4:$U$28,0),COLUMN(D$1))</x:f>
        <x:v>228</x:v>
      </x:c>
      <x:c r="F66" s="44">
        <x:f>SUM(C66:E66)</x:f>
        <x:v>657</x:v>
      </x:c>
      <x:c r="G66" s="45">
        <x:f>F66/3</x:f>
        <x:v>219</x:v>
      </x:c>
      <x:c r="H66" s="34">
        <x:f t="array" ref="H66:H66">IF(B66="","",IFERROR(INDEX('회원명단 및 기준에버'!D:G,MATCH(B66,'회원명단 및 기준에버'!$C:$C,0),CHOOSE(INT((MONTH($L$2)-1)/3)+1,1,2,3,4)),""))</x:f>
        <x:v>193</x:v>
      </x:c>
      <x:c r="I66" s="38">
        <x:f t="shared" ref="I66:I88" si="10">IFERROR(C66+-H66,0)</x:f>
        <x:v>15</x:v>
      </x:c>
      <x:c r="J66" s="38">
        <x:f t="shared" ref="J66:J88" si="11">IFERROR(D66+-H66,0)</x:f>
        <x:v>28</x:v>
      </x:c>
      <x:c r="K66" s="38">
        <x:f t="shared" ref="K66:K88" si="12">IFERROR(E66+-H66,0)</x:f>
        <x:v>35</x:v>
      </x:c>
      <x:c r="L66" s="63">
        <x:f t="shared" ref="L66:L88" si="13">SUM(I66:K66)</x:f>
        <x:v>78</x:v>
      </x:c>
      <x:c r="M66" s="39">
        <x:f t="shared" ref="M66:M88" si="14">IFERROR(G66+-H66,0)</x:f>
        <x:v>26</x:v>
      </x:c>
    </x:row>
    <x:row r="67" spans="1:13" ht="24.949999999999999" customHeight="1">
      <x:c r="A67" s="12">
        <x:v>4</x:v>
      </x:c>
      <x:c r="B67" s="13" t="str">
        <x:f t="array" ref="B67:B67">INDEX($B$4:$M$28,MATCH($A67,$U$4:$U$28,0),COLUMN(A$1))</x:f>
        <x:v>김 남 주</x:v>
      </x:c>
      <x:c r="C67" s="62">
        <x:f t="array" ref="C67:C67">INDEX($B$4:$M$28,MATCH($A67,$U$4:$U$28,0),COLUMN(B$1))</x:f>
        <x:v>258</x:v>
      </x:c>
      <x:c r="D67" s="62">
        <x:f t="array" ref="D67:D67">INDEX($B$4:$M$28,MATCH($A67,$U$4:$U$28,0),COLUMN(C$1))</x:f>
        <x:v>173</x:v>
      </x:c>
      <x:c r="E67" s="62">
        <x:f t="array" ref="E67:E67">INDEX($B$4:$M$28,MATCH($A67,$U$4:$U$28,0),COLUMN(D$1))</x:f>
        <x:v>228</x:v>
      </x:c>
      <x:c r="F67" s="44">
        <x:f>SUM(C67:E67)</x:f>
        <x:v>659</x:v>
      </x:c>
      <x:c r="G67" s="45">
        <x:f>F67/3</x:f>
        <x:v>219.66666666666666</x:v>
      </x:c>
      <x:c r="H67" s="34">
        <x:f t="array" ref="H67:H67">IF(B67="","",IFERROR(INDEX('회원명단 및 기준에버'!D:G,MATCH(B67,'회원명단 및 기준에버'!$C:$C,0),CHOOSE(INT((MONTH($L$2)-1)/3)+1,1,2,3,4)),""))</x:f>
        <x:v>195</x:v>
      </x:c>
      <x:c r="I67" s="38">
        <x:f t="shared" si="10"/>
        <x:v>63</x:v>
      </x:c>
      <x:c r="J67" s="38">
        <x:f t="shared" si="11"/>
        <x:v>-22</x:v>
      </x:c>
      <x:c r="K67" s="38">
        <x:f t="shared" si="12"/>
        <x:v>33</x:v>
      </x:c>
      <x:c r="L67" s="63">
        <x:f t="shared" si="13"/>
        <x:v>74</x:v>
      </x:c>
      <x:c r="M67" s="39">
        <x:f t="shared" si="14"/>
        <x:v>24.666666666666657</x:v>
      </x:c>
    </x:row>
    <x:row r="68" spans="1:13" ht="24.949999999999999" customHeight="1">
      <x:c r="A68" s="12">
        <x:v>5</x:v>
      </x:c>
      <x:c r="B68" s="13" t="str">
        <x:f t="array" ref="B68:B68">INDEX($B$4:$M$28,MATCH($A68,$U$4:$U$28,0),COLUMN(A$1))</x:f>
        <x:v>이 우 석</x:v>
      </x:c>
      <x:c r="C68" s="62">
        <x:f t="array" ref="C68:C68">INDEX($B$4:$M$28,MATCH($A68,$U$4:$U$28,0),COLUMN(B$1))</x:f>
        <x:v>223</x:v>
      </x:c>
      <x:c r="D68" s="62">
        <x:f t="array" ref="D68:D68">INDEX($B$4:$M$28,MATCH($A68,$U$4:$U$28,0),COLUMN(C$1))</x:f>
        <x:v>196</x:v>
      </x:c>
      <x:c r="E68" s="62">
        <x:f t="array" ref="E68:E68">INDEX($B$4:$M$28,MATCH($A68,$U$4:$U$28,0),COLUMN(D$1))</x:f>
        <x:v>229</x:v>
      </x:c>
      <x:c r="F68" s="44">
        <x:f t="shared" ref="F68:F88" si="15">SUM(C68:E68)</x:f>
        <x:v>648</x:v>
      </x:c>
      <x:c r="G68" s="45">
        <x:f t="shared" ref="G68:G88" si="16">F68/3</x:f>
        <x:v>216</x:v>
      </x:c>
      <x:c r="H68" s="34">
        <x:f t="array" ref="H68:H68">IF(B68="","",IFERROR(INDEX('회원명단 및 기준에버'!D:G,MATCH(B68,'회원명단 및 기준에버'!$C:$C,0),CHOOSE(INT((MONTH($L$2)-1)/3)+1,1,2,3,4)),""))</x:f>
        <x:v>200</x:v>
      </x:c>
      <x:c r="I68" s="38">
        <x:f t="shared" si="10"/>
        <x:v>23</x:v>
      </x:c>
      <x:c r="J68" s="38">
        <x:f t="shared" si="11"/>
        <x:v>-4</x:v>
      </x:c>
      <x:c r="K68" s="38">
        <x:f t="shared" si="12"/>
        <x:v>29</x:v>
      </x:c>
      <x:c r="L68" s="63">
        <x:f t="shared" si="13"/>
        <x:v>48</x:v>
      </x:c>
      <x:c r="M68" s="39">
        <x:f t="shared" si="14"/>
        <x:v>16</x:v>
      </x:c>
    </x:row>
    <x:row r="69" spans="1:13" ht="24.949999999999999" customHeight="1">
      <x:c r="A69" s="12">
        <x:v>6</x:v>
      </x:c>
      <x:c r="B69" s="13" t="str">
        <x:f t="array" ref="B69:B69">INDEX($B$4:$M$28,MATCH($A69,$U$4:$U$28,0),COLUMN(A$1))</x:f>
        <x:v>임 연 진</x:v>
      </x:c>
      <x:c r="C69" s="62">
        <x:f t="array" ref="C69:C69">INDEX($B$4:$M$28,MATCH($A69,$U$4:$U$28,0),COLUMN(B$1))</x:f>
        <x:v>206</x:v>
      </x:c>
      <x:c r="D69" s="62">
        <x:f t="array" ref="D69:D69">INDEX($B$4:$M$28,MATCH($A69,$U$4:$U$28,0),COLUMN(C$1))</x:f>
        <x:v>213</x:v>
      </x:c>
      <x:c r="E69" s="62">
        <x:f t="array" ref="E69:E69">INDEX($B$4:$M$28,MATCH($A69,$U$4:$U$28,0),COLUMN(D$1))</x:f>
        <x:v>208</x:v>
      </x:c>
      <x:c r="F69" s="44">
        <x:f t="shared" si="15"/>
        <x:v>627</x:v>
      </x:c>
      <x:c r="G69" s="45">
        <x:f t="shared" si="16"/>
        <x:v>209</x:v>
      </x:c>
      <x:c r="H69" s="34">
        <x:f t="array" ref="H69:H69">IF(B69="","",IFERROR(INDEX('회원명단 및 기준에버'!D:G,MATCH(B69,'회원명단 및 기준에버'!$C:$C,0),CHOOSE(INT((MONTH($L$2)-1)/3)+1,1,2,3,4)),""))</x:f>
        <x:v>194</x:v>
      </x:c>
      <x:c r="I69" s="38">
        <x:f t="shared" si="10"/>
        <x:v>12</x:v>
      </x:c>
      <x:c r="J69" s="38">
        <x:f t="shared" si="11"/>
        <x:v>19</x:v>
      </x:c>
      <x:c r="K69" s="38">
        <x:f t="shared" si="12"/>
        <x:v>14</x:v>
      </x:c>
      <x:c r="L69" s="63">
        <x:f t="shared" si="13"/>
        <x:v>45</x:v>
      </x:c>
      <x:c r="M69" s="39">
        <x:f t="shared" si="14"/>
        <x:v>15</x:v>
      </x:c>
    </x:row>
    <x:row r="70" spans="1:13" ht="24.949999999999999" customHeight="1">
      <x:c r="A70" s="12">
        <x:v>7</x:v>
      </x:c>
      <x:c r="B70" s="13" t="str">
        <x:f t="array" ref="B70:B70">INDEX($B$4:$M$28,MATCH($A70,$U$4:$U$28,0),COLUMN(A$1))</x:f>
        <x:v>김 정 희</x:v>
      </x:c>
      <x:c r="C70" s="62">
        <x:f t="array" ref="C70:C70">INDEX($B$4:$M$28,MATCH($A70,$U$4:$U$28,0),COLUMN(B$1))</x:f>
        <x:v>210</x:v>
      </x:c>
      <x:c r="D70" s="62">
        <x:f t="array" ref="D70:D70">INDEX($B$4:$M$28,MATCH($A70,$U$4:$U$28,0),COLUMN(C$1))</x:f>
        <x:v>232</x:v>
      </x:c>
      <x:c r="E70" s="62">
        <x:f t="array" ref="E70:E70">INDEX($B$4:$M$28,MATCH($A70,$U$4:$U$28,0),COLUMN(D$1))</x:f>
        <x:v>191</x:v>
      </x:c>
      <x:c r="F70" s="44">
        <x:f t="shared" si="15"/>
        <x:v>633</x:v>
      </x:c>
      <x:c r="G70" s="45">
        <x:f t="shared" si="16"/>
        <x:v>211</x:v>
      </x:c>
      <x:c r="H70" s="34">
        <x:f t="array" ref="H70:H70">IF(B70="","",IFERROR(INDEX('회원명단 및 기준에버'!D:G,MATCH(B70,'회원명단 및 기준에버'!$C:$C,0),CHOOSE(INT((MONTH($L$2)-1)/3)+1,1,2,3,4)),""))</x:f>
        <x:v>200</x:v>
      </x:c>
      <x:c r="I70" s="38">
        <x:f t="shared" si="10"/>
        <x:v>10</x:v>
      </x:c>
      <x:c r="J70" s="38">
        <x:f t="shared" si="11"/>
        <x:v>32</x:v>
      </x:c>
      <x:c r="K70" s="38">
        <x:f t="shared" si="12"/>
        <x:v>-9</x:v>
      </x:c>
      <x:c r="L70" s="63">
        <x:f t="shared" si="13"/>
        <x:v>33</x:v>
      </x:c>
      <x:c r="M70" s="39">
        <x:f t="shared" si="14"/>
        <x:v>11</x:v>
      </x:c>
    </x:row>
    <x:row r="71" spans="1:13" ht="24.949999999999999" customHeight="1">
      <x:c r="A71" s="12">
        <x:v>8</x:v>
      </x:c>
      <x:c r="B71" s="13" t="str">
        <x:f t="array" ref="B71:B71">INDEX($B$4:$M$28,MATCH($A71,$U$4:$U$28,0),COLUMN(A$1))</x:f>
        <x:v>황 인 교</x:v>
      </x:c>
      <x:c r="C71" s="62">
        <x:f t="array" ref="C71:C71">INDEX($B$4:$M$28,MATCH($A71,$U$4:$U$28,0),COLUMN(B$1))</x:f>
        <x:v>179</x:v>
      </x:c>
      <x:c r="D71" s="62">
        <x:f t="array" ref="D71:D71">INDEX($B$4:$M$28,MATCH($A71,$U$4:$U$28,0),COLUMN(C$1))</x:f>
        <x:v>215</x:v>
      </x:c>
      <x:c r="E71" s="62">
        <x:f t="array" ref="E71:E71">INDEX($B$4:$M$28,MATCH($A71,$U$4:$U$28,0),COLUMN(D$1))</x:f>
        <x:v>190</x:v>
      </x:c>
      <x:c r="F71" s="44">
        <x:f t="shared" si="15"/>
        <x:v>584</x:v>
      </x:c>
      <x:c r="G71" s="45">
        <x:f t="shared" si="16"/>
        <x:v>194.66666666666666</x:v>
      </x:c>
      <x:c r="H71" s="34">
        <x:f t="array" ref="H71:H71">IF(B71="","",IFERROR(INDEX('회원명단 및 기준에버'!D:G,MATCH(B71,'회원명단 및 기준에버'!$C:$C,0),CHOOSE(INT((MONTH($L$2)-1)/3)+1,1,2,3,4)),""))</x:f>
        <x:v>184</x:v>
      </x:c>
      <x:c r="I71" s="38">
        <x:f t="shared" si="10"/>
        <x:v>-5</x:v>
      </x:c>
      <x:c r="J71" s="38">
        <x:f t="shared" si="11"/>
        <x:v>31</x:v>
      </x:c>
      <x:c r="K71" s="38">
        <x:f t="shared" si="12"/>
        <x:v>6</x:v>
      </x:c>
      <x:c r="L71" s="63">
        <x:f t="shared" si="13"/>
        <x:v>32</x:v>
      </x:c>
      <x:c r="M71" s="39">
        <x:f t="shared" si="14"/>
        <x:v>10.666666666666657</x:v>
      </x:c>
    </x:row>
    <x:row r="72" spans="1:13" ht="24.949999999999999" customHeight="1">
      <x:c r="A72" s="12">
        <x:v>9</x:v>
      </x:c>
      <x:c r="B72" s="13" t="str">
        <x:f t="array" ref="B72:B72">INDEX($B$4:$M$28,MATCH($A72,$U$4:$U$28,0),COLUMN(A$1))</x:f>
        <x:v>최 현 수</x:v>
      </x:c>
      <x:c r="C72" s="62">
        <x:f t="array" ref="C72:C72">INDEX($B$4:$M$28,MATCH($A72,$U$4:$U$28,0),COLUMN(B$1))</x:f>
        <x:v>276</x:v>
      </x:c>
      <x:c r="D72" s="62">
        <x:f t="array" ref="D72:D72">INDEX($B$4:$M$28,MATCH($A72,$U$4:$U$28,0),COLUMN(C$1))</x:f>
        <x:v>177</x:v>
      </x:c>
      <x:c r="E72" s="62">
        <x:f t="array" ref="E72:E72">INDEX($B$4:$M$28,MATCH($A72,$U$4:$U$28,0),COLUMN(D$1))</x:f>
        <x:v>178</x:v>
      </x:c>
      <x:c r="F72" s="44">
        <x:f t="shared" si="15"/>
        <x:v>631</x:v>
      </x:c>
      <x:c r="G72" s="45">
        <x:f t="shared" si="16"/>
        <x:v>210.33333333333334</x:v>
      </x:c>
      <x:c r="H72" s="34">
        <x:f t="array" ref="H72:H72">IF(B72="","",IFERROR(INDEX('회원명단 및 기준에버'!D:G,MATCH(B72,'회원명단 및 기준에버'!$C:$C,0),CHOOSE(INT((MONTH($L$2)-1)/3)+1,1,2,3,4)),""))</x:f>
        <x:v>200</x:v>
      </x:c>
      <x:c r="I72" s="38">
        <x:f t="shared" si="10"/>
        <x:v>76</x:v>
      </x:c>
      <x:c r="J72" s="38">
        <x:f t="shared" si="11"/>
        <x:v>-23</x:v>
      </x:c>
      <x:c r="K72" s="38">
        <x:f t="shared" si="12"/>
        <x:v>-22</x:v>
      </x:c>
      <x:c r="L72" s="63">
        <x:f t="shared" si="13"/>
        <x:v>31</x:v>
      </x:c>
      <x:c r="M72" s="39">
        <x:f t="shared" si="14"/>
        <x:v>10.333333333333343</x:v>
      </x:c>
    </x:row>
    <x:row r="73" spans="1:13" ht="24.949999999999999" customHeight="1">
      <x:c r="A73" s="12">
        <x:v>10</x:v>
      </x:c>
      <x:c r="B73" s="13" t="str">
        <x:f t="array" ref="B73:B73">INDEX($B$4:$M$28,MATCH($A73,$U$4:$U$28,0),COLUMN(A$1))</x:f>
        <x:v>이 대 용</x:v>
      </x:c>
      <x:c r="C73" s="62">
        <x:f t="array" ref="C73:C73">INDEX($B$4:$M$28,MATCH($A73,$U$4:$U$28,0),COLUMN(B$1))</x:f>
        <x:v>174</x:v>
      </x:c>
      <x:c r="D73" s="62">
        <x:f t="array" ref="D73:D73">INDEX($B$4:$M$28,MATCH($A73,$U$4:$U$28,0),COLUMN(C$1))</x:f>
        <x:v>226</x:v>
      </x:c>
      <x:c r="E73" s="62">
        <x:f t="array" ref="E73:E73">INDEX($B$4:$M$28,MATCH($A73,$U$4:$U$28,0),COLUMN(D$1))</x:f>
        <x:v>227</x:v>
      </x:c>
      <x:c r="F73" s="44">
        <x:f t="shared" si="15"/>
        <x:v>627</x:v>
      </x:c>
      <x:c r="G73" s="45">
        <x:f t="shared" si="16"/>
        <x:v>209</x:v>
      </x:c>
      <x:c r="H73" s="34">
        <x:f t="array" ref="H73:H73">IF(B73="","",IFERROR(INDEX('회원명단 및 기준에버'!D:G,MATCH(B73,'회원명단 및 기준에버'!$C:$C,0),CHOOSE(INT((MONTH($L$2)-1)/3)+1,1,2,3,4)),""))</x:f>
        <x:v>200</x:v>
      </x:c>
      <x:c r="I73" s="38">
        <x:f t="shared" si="10"/>
        <x:v>-26</x:v>
      </x:c>
      <x:c r="J73" s="38">
        <x:f t="shared" si="11"/>
        <x:v>26</x:v>
      </x:c>
      <x:c r="K73" s="38">
        <x:f t="shared" si="12"/>
        <x:v>27</x:v>
      </x:c>
      <x:c r="L73" s="63">
        <x:f t="shared" si="13"/>
        <x:v>27</x:v>
      </x:c>
      <x:c r="M73" s="39">
        <x:f t="shared" si="14"/>
        <x:v>9</x:v>
      </x:c>
    </x:row>
    <x:row r="74" spans="1:13" ht="24.949999999999999" customHeight="1">
      <x:c r="A74" s="12">
        <x:v>11</x:v>
      </x:c>
      <x:c r="B74" s="13" t="str">
        <x:f t="array" ref="B74:B74">INDEX($B$4:$M$28,MATCH($A74,$U$4:$U$28,0),COLUMN(A$1))</x:f>
        <x:v>송 정 현</x:v>
      </x:c>
      <x:c r="C74" s="62">
        <x:f t="array" ref="C74:C74">INDEX($B$4:$M$28,MATCH($A74,$U$4:$U$28,0),COLUMN(B$1))</x:f>
        <x:v>191</x:v>
      </x:c>
      <x:c r="D74" s="62">
        <x:f t="array" ref="D74:D74">INDEX($B$4:$M$28,MATCH($A74,$U$4:$U$28,0),COLUMN(C$1))</x:f>
        <x:v>203</x:v>
      </x:c>
      <x:c r="E74" s="62">
        <x:f t="array" ref="E74:E74">INDEX($B$4:$M$28,MATCH($A74,$U$4:$U$28,0),COLUMN(D$1))</x:f>
        <x:v>194</x:v>
      </x:c>
      <x:c r="F74" s="44">
        <x:f t="shared" si="15"/>
        <x:v>588</x:v>
      </x:c>
      <x:c r="G74" s="45">
        <x:f t="shared" si="16"/>
        <x:v>196</x:v>
      </x:c>
      <x:c r="H74" s="34">
        <x:f t="array" ref="H74:H74">IF(B74="","",IFERROR(INDEX('회원명단 및 기준에버'!D:G,MATCH(B74,'회원명단 및 기준에버'!$C:$C,0),CHOOSE(INT((MONTH($L$2)-1)/3)+1,1,2,3,4)),""))</x:f>
        <x:v>187</x:v>
      </x:c>
      <x:c r="I74" s="38">
        <x:f t="shared" si="10"/>
        <x:v>4</x:v>
      </x:c>
      <x:c r="J74" s="38">
        <x:f t="shared" si="11"/>
        <x:v>16</x:v>
      </x:c>
      <x:c r="K74" s="38">
        <x:f t="shared" si="12"/>
        <x:v>7</x:v>
      </x:c>
      <x:c r="L74" s="63">
        <x:f t="shared" si="13"/>
        <x:v>27</x:v>
      </x:c>
      <x:c r="M74" s="39">
        <x:f t="shared" si="14"/>
        <x:v>9</x:v>
      </x:c>
    </x:row>
    <x:row r="75" spans="1:13" ht="24.949999999999999" customHeight="1">
      <x:c r="A75" s="12">
        <x:v>12</x:v>
      </x:c>
      <x:c r="B75" s="13" t="str">
        <x:f t="array" ref="B75:B75">INDEX($B$4:$M$28,MATCH($A75,$U$4:$U$28,0),COLUMN(A$1))</x:f>
        <x:v>이 정 석</x:v>
      </x:c>
      <x:c r="C75" s="62">
        <x:f t="array" ref="C75:C75">INDEX($B$4:$M$28,MATCH($A75,$U$4:$U$28,0),COLUMN(B$1))</x:f>
        <x:v>189</x:v>
      </x:c>
      <x:c r="D75" s="62">
        <x:f t="array" ref="D75:D75">INDEX($B$4:$M$28,MATCH($A75,$U$4:$U$28,0),COLUMN(C$1))</x:f>
        <x:v>205</x:v>
      </x:c>
      <x:c r="E75" s="62">
        <x:f t="array" ref="E75:E75">INDEX($B$4:$M$28,MATCH($A75,$U$4:$U$28,0),COLUMN(D$1))</x:f>
        <x:v>217</x:v>
      </x:c>
      <x:c r="F75" s="44">
        <x:f t="shared" si="15"/>
        <x:v>611</x:v>
      </x:c>
      <x:c r="G75" s="45">
        <x:f t="shared" si="16"/>
        <x:v>203.66666666666666</x:v>
      </x:c>
      <x:c r="H75" s="34">
        <x:f t="array" ref="H75:H75">IF(B75="","",IFERROR(INDEX('회원명단 및 기준에버'!D:G,MATCH(B75,'회원명단 및 기준에버'!$C:$C,0),CHOOSE(INT((MONTH($L$2)-1)/3)+1,1,2,3,4)),""))</x:f>
        <x:v>196</x:v>
      </x:c>
      <x:c r="I75" s="38">
        <x:f t="shared" si="10"/>
        <x:v>-7</x:v>
      </x:c>
      <x:c r="J75" s="38">
        <x:f t="shared" si="11"/>
        <x:v>9</x:v>
      </x:c>
      <x:c r="K75" s="38">
        <x:f t="shared" si="12"/>
        <x:v>21</x:v>
      </x:c>
      <x:c r="L75" s="63">
        <x:f t="shared" si="13"/>
        <x:v>23</x:v>
      </x:c>
      <x:c r="M75" s="39">
        <x:f t="shared" si="14"/>
        <x:v>7.6666666666666572</x:v>
      </x:c>
    </x:row>
    <x:row r="76" spans="1:13" ht="24.949999999999999" customHeight="1">
      <x:c r="A76" s="12">
        <x:v>13</x:v>
      </x:c>
      <x:c r="B76" s="13" t="str">
        <x:f t="array" ref="B76:B76">INDEX($B$4:$M$28,MATCH($A76,$U$4:$U$28,0),COLUMN(A$1))</x:f>
        <x:v>박 성 현</x:v>
      </x:c>
      <x:c r="C76" s="62">
        <x:f t="array" ref="C76:C76">INDEX($B$4:$M$28,MATCH($A76,$U$4:$U$28,0),COLUMN(B$1))</x:f>
        <x:v>177</x:v>
      </x:c>
      <x:c r="D76" s="62">
        <x:f t="array" ref="D76:D76">INDEX($B$4:$M$28,MATCH($A76,$U$4:$U$28,0),COLUMN(C$1))</x:f>
        <x:v>183</x:v>
      </x:c>
      <x:c r="E76" s="62">
        <x:f t="array" ref="E76:E76">INDEX($B$4:$M$28,MATCH($A76,$U$4:$U$28,0),COLUMN(D$1))</x:f>
        <x:v>227</x:v>
      </x:c>
      <x:c r="F76" s="44">
        <x:f t="shared" si="15"/>
        <x:v>587</x:v>
      </x:c>
      <x:c r="G76" s="45">
        <x:f t="shared" si="16"/>
        <x:v>195.66666666666666</x:v>
      </x:c>
      <x:c r="H76" s="34">
        <x:f t="array" ref="H76:H76">IF(B76="","",IFERROR(INDEX('회원명단 및 기준에버'!D:G,MATCH(B76,'회원명단 및 기준에버'!$C:$C,0),CHOOSE(INT((MONTH($L$2)-1)/3)+1,1,2,3,4)),""))</x:f>
        <x:v>190</x:v>
      </x:c>
      <x:c r="I76" s="38">
        <x:f t="shared" si="10"/>
        <x:v>-13</x:v>
      </x:c>
      <x:c r="J76" s="38">
        <x:f t="shared" si="11"/>
        <x:v>-7</x:v>
      </x:c>
      <x:c r="K76" s="38">
        <x:f t="shared" si="12"/>
        <x:v>37</x:v>
      </x:c>
      <x:c r="L76" s="63">
        <x:f t="shared" si="13"/>
        <x:v>17</x:v>
      </x:c>
      <x:c r="M76" s="39">
        <x:f t="shared" si="14"/>
        <x:v>5.6666666666666572</x:v>
      </x:c>
    </x:row>
    <x:row r="77" spans="1:13" ht="24.949999999999999" customHeight="1">
      <x:c r="A77" s="12">
        <x:v>14</x:v>
      </x:c>
      <x:c r="B77" s="13" t="str">
        <x:f t="array" ref="B77:B77">INDEX($B$4:$M$28,MATCH($A77,$U$4:$U$28,0),COLUMN(A$1))</x:f>
        <x:v>김 선 미</x:v>
      </x:c>
      <x:c r="C77" s="62">
        <x:f t="array" ref="C77:C77">INDEX($B$4:$M$28,MATCH($A77,$U$4:$U$28,0),COLUMN(B$1))</x:f>
        <x:v>174</x:v>
      </x:c>
      <x:c r="D77" s="62">
        <x:f t="array" ref="D77:D77">INDEX($B$4:$M$28,MATCH($A77,$U$4:$U$28,0),COLUMN(C$1))</x:f>
        <x:v>178</x:v>
      </x:c>
      <x:c r="E77" s="62">
        <x:f t="array" ref="E77:E77">INDEX($B$4:$M$28,MATCH($A77,$U$4:$U$28,0),COLUMN(D$1))</x:f>
        <x:v>140</x:v>
      </x:c>
      <x:c r="F77" s="44">
        <x:f t="shared" si="15"/>
        <x:v>492</x:v>
      </x:c>
      <x:c r="G77" s="45">
        <x:f t="shared" si="16"/>
        <x:v>164</x:v>
      </x:c>
      <x:c r="H77" s="34">
        <x:f t="array" ref="H77:H77">IF(B77="","",IFERROR(INDEX('회원명단 및 기준에버'!D:G,MATCH(B77,'회원명단 및 기준에버'!$C:$C,0),CHOOSE(INT((MONTH($L$2)-1)/3)+1,1,2,3,4)),""))</x:f>
        <x:v>161</x:v>
      </x:c>
      <x:c r="I77" s="38">
        <x:f t="shared" si="10"/>
        <x:v>13</x:v>
      </x:c>
      <x:c r="J77" s="38">
        <x:f t="shared" si="11"/>
        <x:v>17</x:v>
      </x:c>
      <x:c r="K77" s="38">
        <x:f t="shared" si="12"/>
        <x:v>-21</x:v>
      </x:c>
      <x:c r="L77" s="63">
        <x:f t="shared" si="13"/>
        <x:v>9</x:v>
      </x:c>
      <x:c r="M77" s="39">
        <x:f t="shared" si="14"/>
        <x:v>3</x:v>
      </x:c>
    </x:row>
    <x:row r="78" spans="1:13" ht="24.949999999999999" customHeight="1">
      <x:c r="A78" s="12">
        <x:v>15</x:v>
      </x:c>
      <x:c r="B78" s="13" t="str">
        <x:f t="array" ref="B78:B78">INDEX($B$4:$M$28,MATCH($A78,$U$4:$U$28,0),COLUMN(A$1))</x:f>
        <x:v>나 경 주</x:v>
      </x:c>
      <x:c r="C78" s="62">
        <x:f t="array" ref="C78:C78">INDEX($B$4:$M$28,MATCH($A78,$U$4:$U$28,0),COLUMN(B$1))</x:f>
        <x:v>170</x:v>
      </x:c>
      <x:c r="D78" s="62">
        <x:f t="array" ref="D78:D78">INDEX($B$4:$M$28,MATCH($A78,$U$4:$U$28,0),COLUMN(C$1))</x:f>
        <x:v>246</x:v>
      </x:c>
      <x:c r="E78" s="62">
        <x:f t="array" ref="E78:E78">INDEX($B$4:$M$28,MATCH($A78,$U$4:$U$28,0),COLUMN(D$1))</x:f>
        <x:v>165</x:v>
      </x:c>
      <x:c r="F78" s="44">
        <x:f t="shared" si="15"/>
        <x:v>581</x:v>
      </x:c>
      <x:c r="G78" s="45">
        <x:f t="shared" si="16"/>
        <x:v>193.66666666666666</x:v>
      </x:c>
      <x:c r="H78" s="34">
        <x:f t="array" ref="H78:H78">IF(B78="","",IFERROR(INDEX('회원명단 및 기준에버'!D:G,MATCH(B78,'회원명단 및 기준에버'!$C:$C,0),CHOOSE(INT((MONTH($L$2)-1)/3)+1,1,2,3,4)),""))</x:f>
        <x:v>192</x:v>
      </x:c>
      <x:c r="I78" s="38">
        <x:f t="shared" si="10"/>
        <x:v>-22</x:v>
      </x:c>
      <x:c r="J78" s="38">
        <x:f t="shared" si="11"/>
        <x:v>54</x:v>
      </x:c>
      <x:c r="K78" s="38">
        <x:f t="shared" si="12"/>
        <x:v>-27</x:v>
      </x:c>
      <x:c r="L78" s="63">
        <x:f t="shared" si="13"/>
        <x:v>5</x:v>
      </x:c>
      <x:c r="M78" s="39">
        <x:f t="shared" si="14"/>
        <x:v>1.6666666666666572</x:v>
      </x:c>
    </x:row>
    <x:row r="79" spans="1:13" ht="24.949999999999999" customHeight="1">
      <x:c r="A79" s="12">
        <x:v>16</x:v>
      </x:c>
      <x:c r="B79" s="13" t="str">
        <x:f t="array" ref="B79:B79">INDEX($B$4:$M$28,MATCH($A79,$U$4:$U$28,0),COLUMN(A$1))</x:f>
        <x:v>김 미 란</x:v>
      </x:c>
      <x:c r="C79" s="62">
        <x:f t="array" ref="C79:C79">INDEX($B$4:$M$28,MATCH($A79,$U$4:$U$28,0),COLUMN(B$1))</x:f>
        <x:v>202</x:v>
      </x:c>
      <x:c r="D79" s="62">
        <x:f t="array" ref="D79:D79">INDEX($B$4:$M$28,MATCH($A79,$U$4:$U$28,0),COLUMN(C$1))</x:f>
        <x:v>178</x:v>
      </x:c>
      <x:c r="E79" s="62">
        <x:f t="array" ref="E79:E79">INDEX($B$4:$M$28,MATCH($A79,$U$4:$U$28,0),COLUMN(D$1))</x:f>
        <x:v>171</x:v>
      </x:c>
      <x:c r="F79" s="44">
        <x:f t="shared" si="15"/>
        <x:v>551</x:v>
      </x:c>
      <x:c r="G79" s="45">
        <x:f t="shared" si="16"/>
        <x:v>183.66666666666666</x:v>
      </x:c>
      <x:c r="H79" s="34">
        <x:f t="array" ref="H79:H79">IF(B79="","",IFERROR(INDEX('회원명단 및 기준에버'!D:G,MATCH(B79,'회원명단 및 기준에버'!$C:$C,0),CHOOSE(INT((MONTH($L$2)-1)/3)+1,1,2,3,4)),""))</x:f>
        <x:v>182</x:v>
      </x:c>
      <x:c r="I79" s="38">
        <x:f t="shared" si="10"/>
        <x:v>20</x:v>
      </x:c>
      <x:c r="J79" s="38">
        <x:f t="shared" si="11"/>
        <x:v>-4</x:v>
      </x:c>
      <x:c r="K79" s="38">
        <x:f t="shared" si="12"/>
        <x:v>-11</x:v>
      </x:c>
      <x:c r="L79" s="63">
        <x:f t="shared" si="13"/>
        <x:v>5</x:v>
      </x:c>
      <x:c r="M79" s="39">
        <x:f t="shared" si="14"/>
        <x:v>1.6666666666666572</x:v>
      </x:c>
    </x:row>
    <x:row r="80" spans="1:13" ht="24.949999999999999" customHeight="1">
      <x:c r="A80" s="12">
        <x:v>17</x:v>
      </x:c>
      <x:c r="B80" s="13" t="str">
        <x:f t="array" ref="B80:B80">INDEX($B$4:$M$28,MATCH($A80,$U$4:$U$28,0),COLUMN(A$1))</x:f>
        <x:v>손 은 주</x:v>
      </x:c>
      <x:c r="C80" s="62">
        <x:f t="array" ref="C80:C80">INDEX($B$4:$M$28,MATCH($A80,$U$4:$U$28,0),COLUMN(B$1))</x:f>
        <x:v>166</x:v>
      </x:c>
      <x:c r="D80" s="62">
        <x:f t="array" ref="D80:D80">INDEX($B$4:$M$28,MATCH($A80,$U$4:$U$28,0),COLUMN(C$1))</x:f>
        <x:v>154</x:v>
      </x:c>
      <x:c r="E80" s="62">
        <x:f t="array" ref="E80:E80">INDEX($B$4:$M$28,MATCH($A80,$U$4:$U$28,0),COLUMN(D$1))</x:f>
        <x:v>135</x:v>
      </x:c>
      <x:c r="F80" s="44">
        <x:f t="shared" si="15"/>
        <x:v>455</x:v>
      </x:c>
      <x:c r="G80" s="45">
        <x:f t="shared" si="16"/>
        <x:v>151.66666666666666</x:v>
      </x:c>
      <x:c r="H80" s="34">
        <x:f t="array" ref="H80:H80">IF(B80="","",IFERROR(INDEX('회원명단 및 기준에버'!D:G,MATCH(B80,'회원명단 및 기준에버'!$C:$C,0),CHOOSE(INT((MONTH($L$2)-1)/3)+1,1,2,3,4)),""))</x:f>
        <x:v>151</x:v>
      </x:c>
      <x:c r="I80" s="38">
        <x:f t="shared" si="10"/>
        <x:v>15</x:v>
      </x:c>
      <x:c r="J80" s="38">
        <x:f t="shared" si="11"/>
        <x:v>3</x:v>
      </x:c>
      <x:c r="K80" s="38">
        <x:f t="shared" si="12"/>
        <x:v>-16</x:v>
      </x:c>
      <x:c r="L80" s="63">
        <x:f t="shared" si="13"/>
        <x:v>2</x:v>
      </x:c>
      <x:c r="M80" s="39">
        <x:f t="shared" si="14"/>
        <x:v>0.66666666666665719</x:v>
      </x:c>
    </x:row>
    <x:row r="81" spans="1:13" ht="24.949999999999999" customHeight="1">
      <x:c r="A81" s="12">
        <x:v>18</x:v>
      </x:c>
      <x:c r="B81" s="13" t="str">
        <x:f t="array" ref="B81:B81">INDEX($B$4:$M$28,MATCH($A81,$U$4:$U$28,0),COLUMN(A$1))</x:f>
        <x:v>엄 정 도</x:v>
      </x:c>
      <x:c r="C81" s="62">
        <x:f t="array" ref="C81:C81">INDEX($B$4:$M$28,MATCH($A81,$U$4:$U$28,0),COLUMN(B$1))</x:f>
        <x:v>197</x:v>
      </x:c>
      <x:c r="D81" s="62">
        <x:f t="array" ref="D81:D81">INDEX($B$4:$M$28,MATCH($A81,$U$4:$U$28,0),COLUMN(C$1))</x:f>
        <x:v>183</x:v>
      </x:c>
      <x:c r="E81" s="62">
        <x:f t="array" ref="E81:E81">INDEX($B$4:$M$28,MATCH($A81,$U$4:$U$28,0),COLUMN(D$1))</x:f>
        <x:v>174</x:v>
      </x:c>
      <x:c r="F81" s="44">
        <x:f t="shared" si="15"/>
        <x:v>554</x:v>
      </x:c>
      <x:c r="G81" s="45">
        <x:f t="shared" si="16"/>
        <x:v>184.66666666666666</x:v>
      </x:c>
      <x:c r="H81" s="34">
        <x:f t="array" ref="H81:H81">IF(B81="","",IFERROR(INDEX('회원명단 및 기준에버'!D:G,MATCH(B81,'회원명단 및 기준에버'!$C:$C,0),CHOOSE(INT((MONTH($L$2)-1)/3)+1,1,2,3,4)),""))</x:f>
        <x:v>184</x:v>
      </x:c>
      <x:c r="I81" s="38">
        <x:f t="shared" si="10"/>
        <x:v>13</x:v>
      </x:c>
      <x:c r="J81" s="38">
        <x:f t="shared" si="11"/>
        <x:v>-1</x:v>
      </x:c>
      <x:c r="K81" s="38">
        <x:f t="shared" si="12"/>
        <x:v>-10</x:v>
      </x:c>
      <x:c r="L81" s="63">
        <x:f t="shared" si="13"/>
        <x:v>2</x:v>
      </x:c>
      <x:c r="M81" s="39">
        <x:f t="shared" si="14"/>
        <x:v>0.66666666666665719</x:v>
      </x:c>
    </x:row>
    <x:row r="82" spans="1:13" ht="24.949999999999999" customHeight="1">
      <x:c r="A82" s="12">
        <x:v>19</x:v>
      </x:c>
      <x:c r="B82" s="13" t="str">
        <x:f t="array" ref="B82:B82">INDEX($B$4:$M$28,MATCH($A82,$U$4:$U$28,0),COLUMN(A$1))</x:f>
        <x:v>임 승 기</x:v>
      </x:c>
      <x:c r="C82" s="62">
        <x:f t="array" ref="C82:C82">INDEX($B$4:$M$28,MATCH($A82,$U$4:$U$28,0),COLUMN(B$1))</x:f>
        <x:v>202</x:v>
      </x:c>
      <x:c r="D82" s="62">
        <x:f t="array" ref="D82:D82">INDEX($B$4:$M$28,MATCH($A82,$U$4:$U$28,0),COLUMN(C$1))</x:f>
        <x:v>167</x:v>
      </x:c>
      <x:c r="E82" s="62">
        <x:f t="array" ref="E82:E82">INDEX($B$4:$M$28,MATCH($A82,$U$4:$U$28,0),COLUMN(D$1))</x:f>
        <x:v>222</x:v>
      </x:c>
      <x:c r="F82" s="44">
        <x:f t="shared" si="15"/>
        <x:v>591</x:v>
      </x:c>
      <x:c r="G82" s="45">
        <x:f t="shared" si="16"/>
        <x:v>197</x:v>
      </x:c>
      <x:c r="H82" s="34">
        <x:f t="array" ref="H82:H82">IF(B82="","",IFERROR(INDEX('회원명단 및 기준에버'!D:G,MATCH(B82,'회원명단 및 기준에버'!$C:$C,0),CHOOSE(INT((MONTH($L$2)-1)/3)+1,1,2,3,4)),""))</x:f>
        <x:v>200</x:v>
      </x:c>
      <x:c r="I82" s="38">
        <x:f t="shared" si="10"/>
        <x:v>2</x:v>
      </x:c>
      <x:c r="J82" s="38">
        <x:f t="shared" si="11"/>
        <x:v>-33</x:v>
      </x:c>
      <x:c r="K82" s="38">
        <x:f t="shared" si="12"/>
        <x:v>22</x:v>
      </x:c>
      <x:c r="L82" s="63">
        <x:f t="shared" si="13"/>
        <x:v>-9</x:v>
      </x:c>
      <x:c r="M82" s="39">
        <x:f t="shared" si="14"/>
        <x:v>-3</x:v>
      </x:c>
    </x:row>
    <x:row r="83" spans="1:13" ht="24.949999999999999" customHeight="1">
      <x:c r="A83" s="12">
        <x:v>20</x:v>
      </x:c>
      <x:c r="B83" s="13" t="str">
        <x:f t="array" ref="B83:B83">INDEX($B$4:$M$28,MATCH($A83,$U$4:$U$28,0),COLUMN(A$1))</x:f>
        <x:v>최  진</x:v>
      </x:c>
      <x:c r="C83" s="62">
        <x:f t="array" ref="C83:C83">INDEX($B$4:$M$28,MATCH($A83,$U$4:$U$28,0),COLUMN(B$1))</x:f>
        <x:v>198</x:v>
      </x:c>
      <x:c r="D83" s="62">
        <x:f t="array" ref="D83:D83">INDEX($B$4:$M$28,MATCH($A83,$U$4:$U$28,0),COLUMN(C$1))</x:f>
        <x:v>193</x:v>
      </x:c>
      <x:c r="E83" s="62">
        <x:f t="array" ref="E83:E83">INDEX($B$4:$M$28,MATCH($A83,$U$4:$U$28,0),COLUMN(D$1))</x:f>
        <x:v>230</x:v>
      </x:c>
      <x:c r="F83" s="44">
        <x:f t="shared" si="15"/>
        <x:v>621</x:v>
      </x:c>
      <x:c r="G83" s="45">
        <x:f t="shared" si="16"/>
        <x:v>207</x:v>
      </x:c>
      <x:c r="H83" s="34" t="str">
        <x:f t="array" ref="H83:H83">IF(B83="","",IFERROR(INDEX('회원명단 및 기준에버'!D:G,MATCH(B83,'회원명단 및 기준에버'!$C:$C,0),CHOOSE(INT((MONTH($L$2)-1)/3)+1,1,2,3,4)),""))</x:f>
        <x:v/>
      </x:c>
      <x:c r="I83" s="38">
        <x:f t="shared" si="10"/>
        <x:v>0</x:v>
      </x:c>
      <x:c r="J83" s="38">
        <x:f t="shared" si="11"/>
        <x:v>0</x:v>
      </x:c>
      <x:c r="K83" s="38">
        <x:f t="shared" si="12"/>
        <x:v>0</x:v>
      </x:c>
      <x:c r="L83" s="63">
        <x:f t="shared" si="13"/>
        <x:v>0</x:v>
      </x:c>
      <x:c r="M83" s="39">
        <x:f t="shared" si="14"/>
        <x:v>0</x:v>
      </x:c>
    </x:row>
    <x:row r="84" spans="1:13" ht="24.949999999999999" customHeight="1">
      <x:c r="A84" s="12">
        <x:v>21</x:v>
      </x:c>
      <x:c r="B84" s="13" t="str">
        <x:f t="array" ref="B84:B84">INDEX($B$4:$M$28,MATCH($A84,$U$4:$U$28,0),COLUMN(A$1))</x:f>
        <x:v>강 완 규</x:v>
      </x:c>
      <x:c r="C84" s="62">
        <x:f t="array" ref="C84:C84">INDEX($B$4:$M$28,MATCH($A84,$U$4:$U$28,0),COLUMN(B$1))</x:f>
        <x:v>168</x:v>
      </x:c>
      <x:c r="D84" s="62">
        <x:f t="array" ref="D84:D84">INDEX($B$4:$M$28,MATCH($A84,$U$4:$U$28,0),COLUMN(C$1))</x:f>
        <x:v>167</x:v>
      </x:c>
      <x:c r="E84" s="62">
        <x:f t="array" ref="E84:E84">INDEX($B$4:$M$28,MATCH($A84,$U$4:$U$28,0),COLUMN(D$1))</x:f>
        <x:v>236</x:v>
      </x:c>
      <x:c r="F84" s="44">
        <x:f t="shared" si="15"/>
        <x:v>571</x:v>
      </x:c>
      <x:c r="G84" s="45">
        <x:f t="shared" si="16"/>
        <x:v>190.33333333333334</x:v>
      </x:c>
      <x:c r="H84" s="34">
        <x:f t="array" ref="H84:H84">IF(B84="","",IFERROR(INDEX('회원명단 및 기준에버'!D:G,MATCH(B84,'회원명단 및 기준에버'!$C:$C,0),CHOOSE(INT((MONTH($L$2)-1)/3)+1,1,2,3,4)),""))</x:f>
        <x:v>194</x:v>
      </x:c>
      <x:c r="I84" s="38">
        <x:f t="shared" si="10"/>
        <x:v>-26</x:v>
      </x:c>
      <x:c r="J84" s="38">
        <x:f t="shared" si="11"/>
        <x:v>-27</x:v>
      </x:c>
      <x:c r="K84" s="38">
        <x:f t="shared" si="12"/>
        <x:v>42</x:v>
      </x:c>
      <x:c r="L84" s="63">
        <x:f t="shared" si="13"/>
        <x:v>-11</x:v>
      </x:c>
      <x:c r="M84" s="39">
        <x:f t="shared" si="14"/>
        <x:v>-3.6666666666666572</x:v>
      </x:c>
    </x:row>
    <x:row r="85" spans="1:13" ht="24.949999999999999" customHeight="1">
      <x:c r="A85" s="12">
        <x:v>22</x:v>
      </x:c>
      <x:c r="B85" s="13" t="str">
        <x:f t="array" ref="B85:B85">INDEX($B$4:$M$28,MATCH($A85,$U$4:$U$28,0),COLUMN(A$1))</x:f>
        <x:v>변 상 필</x:v>
      </x:c>
      <x:c r="C85" s="62">
        <x:f t="array" ref="C85:C85">INDEX($B$4:$M$28,MATCH($A85,$U$4:$U$28,0),COLUMN(B$1))</x:f>
        <x:v>186</x:v>
      </x:c>
      <x:c r="D85" s="62">
        <x:f t="array" ref="D85:D85">INDEX($B$4:$M$28,MATCH($A85,$U$4:$U$28,0),COLUMN(C$1))</x:f>
        <x:v>184</x:v>
      </x:c>
      <x:c r="E85" s="62">
        <x:f t="array" ref="E85:E85">INDEX($B$4:$M$28,MATCH($A85,$U$4:$U$28,0),COLUMN(D$1))</x:f>
        <x:v>210</x:v>
      </x:c>
      <x:c r="F85" s="44">
        <x:f t="shared" si="15"/>
        <x:v>580</x:v>
      </x:c>
      <x:c r="G85" s="45">
        <x:f t="shared" si="16"/>
        <x:v>193.33333333333334</x:v>
      </x:c>
      <x:c r="H85" s="34">
        <x:f t="array" ref="H85:H85">IF(B85="","",IFERROR(INDEX('회원명단 및 기준에버'!D:G,MATCH(B85,'회원명단 및 기준에버'!$C:$C,0),CHOOSE(INT((MONTH($L$2)-1)/3)+1,1,2,3,4)),""))</x:f>
        <x:v>200</x:v>
      </x:c>
      <x:c r="I85" s="38">
        <x:f t="shared" si="10"/>
        <x:v>-14</x:v>
      </x:c>
      <x:c r="J85" s="38">
        <x:f t="shared" si="11"/>
        <x:v>-16</x:v>
      </x:c>
      <x:c r="K85" s="38">
        <x:f t="shared" si="12"/>
        <x:v>10</x:v>
      </x:c>
      <x:c r="L85" s="63">
        <x:f t="shared" si="13"/>
        <x:v>-20</x:v>
      </x:c>
      <x:c r="M85" s="39">
        <x:f t="shared" si="14"/>
        <x:v>-6.6666666666666572</x:v>
      </x:c>
    </x:row>
    <x:row r="86" spans="1:13" ht="24.949999999999999" customHeight="1">
      <x:c r="A86" s="12">
        <x:v>23</x:v>
      </x:c>
      <x:c r="B86" s="13" t="str">
        <x:f t="array" ref="B86:B86">INDEX($B$4:$M$28,MATCH($A86,$U$4:$U$28,0),COLUMN(A$1))</x:f>
        <x:v>이 승 미</x:v>
      </x:c>
      <x:c r="C86" s="62">
        <x:f t="array" ref="C86:C86">INDEX($B$4:$M$28,MATCH($A86,$U$4:$U$28,0),COLUMN(B$1))</x:f>
        <x:v>180</x:v>
      </x:c>
      <x:c r="D86" s="62">
        <x:f t="array" ref="D86:D86">INDEX($B$4:$M$28,MATCH($A86,$U$4:$U$28,0),COLUMN(C$1))</x:f>
        <x:v>131</x:v>
      </x:c>
      <x:c r="E86" s="62">
        <x:f t="array" ref="E86:E86">INDEX($B$4:$M$28,MATCH($A86,$U$4:$U$28,0),COLUMN(D$1))</x:f>
        <x:v>155</x:v>
      </x:c>
      <x:c r="F86" s="44">
        <x:f t="shared" si="15"/>
        <x:v>466</x:v>
      </x:c>
      <x:c r="G86" s="45">
        <x:f t="shared" si="16"/>
        <x:v>155.33333333333334</x:v>
      </x:c>
      <x:c r="H86" s="34">
        <x:f t="array" ref="H86:H86">IF(B86="","",IFERROR(INDEX('회원명단 및 기준에버'!D:G,MATCH(B86,'회원명단 및 기준에버'!$C:$C,0),CHOOSE(INT((MONTH($L$2)-1)/3)+1,1,2,3,4)),""))</x:f>
        <x:v>165</x:v>
      </x:c>
      <x:c r="I86" s="38">
        <x:f t="shared" si="10"/>
        <x:v>15</x:v>
      </x:c>
      <x:c r="J86" s="38">
        <x:f t="shared" si="11"/>
        <x:v>-34</x:v>
      </x:c>
      <x:c r="K86" s="38">
        <x:f t="shared" si="12"/>
        <x:v>-10</x:v>
      </x:c>
      <x:c r="L86" s="63">
        <x:f t="shared" si="13"/>
        <x:v>-29</x:v>
      </x:c>
      <x:c r="M86" s="39">
        <x:f t="shared" si="14"/>
        <x:v>-9.6666666666666572</x:v>
      </x:c>
    </x:row>
    <x:row r="87" spans="1:13" ht="24.949999999999999" customHeight="1">
      <x:c r="A87" s="12">
        <x:v>24</x:v>
      </x:c>
      <x:c r="B87" s="13" t="str">
        <x:f t="array" ref="B87:B87">INDEX($B$4:$M$28,MATCH($A87,$U$4:$U$28,0),COLUMN(A$1))</x:f>
        <x:v>김 태 환</x:v>
      </x:c>
      <x:c r="C87" s="62">
        <x:f t="array" ref="C87:C87">INDEX($B$4:$M$28,MATCH($A87,$U$4:$U$28,0),COLUMN(B$1))</x:f>
        <x:v>187</x:v>
      </x:c>
      <x:c r="D87" s="62">
        <x:f t="array" ref="D87:D87">INDEX($B$4:$M$28,MATCH($A87,$U$4:$U$28,0),COLUMN(C$1))</x:f>
        <x:v>169</x:v>
      </x:c>
      <x:c r="E87" s="62">
        <x:f t="array" ref="E87:E87">INDEX($B$4:$M$28,MATCH($A87,$U$4:$U$28,0),COLUMN(D$1))</x:f>
        <x:v>200</x:v>
      </x:c>
      <x:c r="F87" s="44">
        <x:f t="shared" si="15"/>
        <x:v>556</x:v>
      </x:c>
      <x:c r="G87" s="45">
        <x:f t="shared" si="16"/>
        <x:v>185.33333333333334</x:v>
      </x:c>
      <x:c r="H87" s="34">
        <x:f t="array" ref="H87:H87">IF(B87="","",IFERROR(INDEX('회원명단 및 기준에버'!D:G,MATCH(B87,'회원명단 및 기준에버'!$C:$C,0),CHOOSE(INT((MONTH($L$2)-1)/3)+1,1,2,3,4)),""))</x:f>
        <x:v>198</x:v>
      </x:c>
      <x:c r="I87" s="38">
        <x:f t="shared" si="10"/>
        <x:v>-11</x:v>
      </x:c>
      <x:c r="J87" s="38">
        <x:f t="shared" si="11"/>
        <x:v>-29</x:v>
      </x:c>
      <x:c r="K87" s="38">
        <x:f t="shared" si="12"/>
        <x:v>2</x:v>
      </x:c>
      <x:c r="L87" s="63">
        <x:f t="shared" si="13"/>
        <x:v>-38</x:v>
      </x:c>
      <x:c r="M87" s="39">
        <x:f t="shared" si="14"/>
        <x:v>-12.666666666666657</x:v>
      </x:c>
    </x:row>
    <x:row r="88" spans="1:13" ht="24.949999999999999" customHeight="1">
      <x:c r="A88" s="12">
        <x:v>25</x:v>
      </x:c>
      <x:c r="B88" s="13" t="str">
        <x:f t="array" ref="B88:B88">INDEX($B$4:$M$28,MATCH($A88,$U$4:$U$28,0),COLUMN(A$1))</x:f>
        <x:v>지 옥 명</x:v>
      </x:c>
      <x:c r="C88" s="62">
        <x:f t="array" ref="C88:C88">INDEX($B$4:$M$28,MATCH($A88,$U$4:$U$28,0),COLUMN(B$1))</x:f>
        <x:v>170</x:v>
      </x:c>
      <x:c r="D88" s="62">
        <x:f t="array" ref="D88:D88">INDEX($B$4:$M$28,MATCH($A88,$U$4:$U$28,0),COLUMN(C$1))</x:f>
        <x:v>172</x:v>
      </x:c>
      <x:c r="E88" s="62">
        <x:f t="array" ref="E88:E88">INDEX($B$4:$M$28,MATCH($A88,$U$4:$U$28,0),COLUMN(D$1))</x:f>
        <x:v>129</x:v>
      </x:c>
      <x:c r="F88" s="44">
        <x:f t="shared" si="15"/>
        <x:v>471</x:v>
      </x:c>
      <x:c r="G88" s="45">
        <x:f t="shared" si="16"/>
        <x:v>157</x:v>
      </x:c>
      <x:c r="H88" s="34">
        <x:f t="array" ref="H88:H88">IF(B88="","",IFERROR(INDEX('회원명단 및 기준에버'!D:G,MATCH(B88,'회원명단 및 기준에버'!$C:$C,0),CHOOSE(INT((MONTH($L$2)-1)/3)+1,1,2,3,4)),""))</x:f>
        <x:v>183</x:v>
      </x:c>
      <x:c r="I88" s="38">
        <x:f t="shared" si="10"/>
        <x:v>-13</x:v>
      </x:c>
      <x:c r="J88" s="38">
        <x:f t="shared" si="11"/>
        <x:v>-11</x:v>
      </x:c>
      <x:c r="K88" s="38">
        <x:f t="shared" si="12"/>
        <x:v>-54</x:v>
      </x:c>
      <x:c r="L88" s="63">
        <x:f t="shared" si="13"/>
        <x:v>-78</x:v>
      </x:c>
      <x:c r="M88" s="39">
        <x:f t="shared" si="14"/>
        <x:v>-26</x:v>
      </x:c>
    </x:row>
    <x:row r="89" spans="2:13" ht="24.949999999999999" customHeight="1">
      <x:c r="B89" s="168" t="s">
        <x:v>63</x:v>
      </x:c>
      <x:c r="C89" s="169"/>
      <x:c r="D89" s="169"/>
      <x:c r="E89" s="169"/>
      <x:c r="F89" s="169"/>
      <x:c r="G89" s="169"/>
      <x:c r="H89" s="169"/>
      <x:c r="I89" s="169"/>
      <x:c r="J89" s="169"/>
      <x:c r="K89" s="169"/>
      <x:c r="L89" s="169"/>
      <x:c r="M89" s="170"/>
    </x:row>
    <x:row r="90" spans="2:13" ht="24.949999999999999" customHeight="1">
      <x:c r="B90" s="171" t="s">
        <x:v>68</x:v>
      </x:c>
      <x:c r="C90" s="172"/>
      <x:c r="D90" s="172"/>
      <x:c r="E90" s="173"/>
      <x:c r="F90" s="174" t="s">
        <x:v>28</x:v>
      </x:c>
      <x:c r="G90" s="176" t="s">
        <x:v>14</x:v>
      </x:c>
      <x:c r="H90" s="177"/>
      <x:c r="I90" s="178"/>
      <x:c r="J90" s="179" t="s">
        <x:v>55</x:v>
      </x:c>
      <x:c r="K90" s="180"/>
      <x:c r="L90" s="180"/>
      <x:c r="M90" s="181"/>
    </x:row>
    <x:row r="91" spans="2:13" ht="24.949999999999999" customHeight="1">
      <x:c r="B91" s="54" t="str">
        <x:f>IF(B31="","",B31)</x:f>
        <x:v>장 영 민</x:v>
      </x:c>
      <x:c r="C91" s="24">
        <x:f>IF(C31="","",C31)</x:f>
        <x:v>45.700000000000003</x:v>
      </x:c>
      <x:c r="D91" s="24" t="str">
        <x:f>IF(D31="","",D31)</x:f>
        <x:v>진 명 옥</x:v>
      </x:c>
      <x:c r="E91" s="25">
        <x:f>IF(E31="","",E31)</x:f>
        <x:v>28.300000000000001</x:v>
      </x:c>
      <x:c r="F91" s="175"/>
      <x:c r="G91" s="182" t="s">
        <x:v>62</x:v>
      </x:c>
      <x:c r="H91" s="183"/>
      <x:c r="I91" s="184"/>
      <x:c r="J91" s="26" t="str">
        <x:f>IF(J31="","",J31)</x:f>
        <x:v/>
      </x:c>
      <x:c r="K91" s="27" t="str">
        <x:f>IF(K31="","",K31)</x:f>
        <x:v/>
      </x:c>
      <x:c r="L91" s="27" t="str">
        <x:f>IF(L31="","",L31)</x:f>
        <x:v/>
      </x:c>
      <x:c r="M91" s="28" t="str">
        <x:f>IF(M31="","",M31)</x:f>
        <x:v/>
      </x:c>
    </x:row>
    <x:row r="92" spans="2:13" ht="24.949999999999999" customHeight="1">
      <x:c r="B92" s="155" t="s">
        <x:v>29</x:v>
      </x:c>
      <x:c r="C92" s="156"/>
      <x:c r="D92" s="156"/>
      <x:c r="E92" s="156"/>
      <x:c r="F92" s="156"/>
      <x:c r="G92" s="156"/>
      <x:c r="H92" s="157"/>
      <x:c r="I92" s="158" t="s">
        <x:v>66</x:v>
      </x:c>
      <x:c r="J92" s="159"/>
      <x:c r="K92" s="160" t="s">
        <x:v>67</x:v>
      </x:c>
      <x:c r="L92" s="161"/>
      <x:c r="M92" s="162"/>
    </x:row>
    <x:row r="93" spans="2:13" ht="24.949999999999999" customHeight="1">
      <x:c r="B93" s="21" t="str">
        <x:f t="shared" ref="B93:G94" si="17">IF(B33="","",B33)</x:f>
        <x:v>장 영 민</x:v>
      </x:c>
      <x:c r="C93" s="64">
        <x:f t="shared" si="17"/>
        <x:v>279</x:v>
      </x:c>
      <x:c r="D93" s="32" t="str">
        <x:f t="shared" si="17"/>
        <x:v>나 경 주</x:v>
      </x:c>
      <x:c r="E93" s="67">
        <x:f t="shared" si="17"/>
        <x:v>246</x:v>
      </x:c>
      <x:c r="F93" s="30" t="str">
        <x:f t="shared" si="17"/>
        <x:v>박 성 현</x:v>
      </x:c>
      <x:c r="G93" s="70">
        <x:f t="shared" si="17"/>
        <x:v>227</x:v>
      </x:c>
      <x:c r="H93" s="157"/>
      <x:c r="I93" s="23" t="str">
        <x:f>IF(I33="","",I33)</x:f>
        <x:v>손 은 주</x:v>
      </x:c>
      <x:c r="J93" s="50" t="str">
        <x:f>IF(J33="","",J33)</x:f>
        <x:v/>
      </x:c>
      <x:c r="K93" s="57" t="str">
        <x:f>IF(K33="","",K33)</x:f>
        <x:v/>
      </x:c>
      <x:c r="L93" s="58" t="str">
        <x:f t="shared" ref="L93:M93" si="18">IF(L33="","",L33)</x:f>
        <x:v/>
      </x:c>
      <x:c r="M93" s="59" t="str">
        <x:f t="shared" si="18"/>
        <x:v/>
      </x:c>
    </x:row>
    <x:row r="94" spans="2:13" ht="24.949999999999999" customHeight="1">
      <x:c r="B94" s="46" t="str">
        <x:f t="shared" si="17"/>
        <x:v>이 우 석</x:v>
      </x:c>
      <x:c r="C94" s="65">
        <x:f t="shared" si="17"/>
        <x:v>233</x:v>
      </x:c>
      <x:c r="D94" s="47" t="str">
        <x:f t="shared" si="17"/>
        <x:v>김 정 희</x:v>
      </x:c>
      <x:c r="E94" s="68">
        <x:f t="shared" si="17"/>
        <x:v>232</x:v>
      </x:c>
      <x:c r="F94" s="48" t="str">
        <x:f t="shared" si="17"/>
        <x:v>강 완 규</x:v>
      </x:c>
      <x:c r="G94" s="71">
        <x:f t="shared" si="17"/>
        <x:v>236</x:v>
      </x:c>
      <x:c r="H94" s="157"/>
      <x:c r="I94" s="49" t="str">
        <x:f>IF(I34="","",I34)</x:f>
        <x:v/>
      </x:c>
      <x:c r="J94" s="51" t="str">
        <x:f>IF(J34="","",J34)</x:f>
        <x:v/>
      </x:c>
      <x:c r="K94" s="57" t="str">
        <x:f t="shared" ref="K94:M94" si="19">IF(K34="","",K34)</x:f>
        <x:v/>
      </x:c>
      <x:c r="L94" s="58" t="str">
        <x:f t="shared" si="19"/>
        <x:v/>
      </x:c>
      <x:c r="M94" s="59" t="str">
        <x:f t="shared" si="19"/>
        <x:v/>
      </x:c>
    </x:row>
    <x:row r="95" spans="1:21" s="5" customFormat="1" ht="24.949999999999999" customHeight="1">
      <x:c r="A95" s="8"/>
      <x:c r="B95" s="46" t="str">
        <x:f>IF(B35="","",B35)</x:f>
        <x:v>김 남 주</x:v>
      </x:c>
      <x:c r="C95" s="65">
        <x:f>IF(C35="","",C35)</x:f>
        <x:v>258</x:v>
      </x:c>
      <x:c r="D95" s="47" t="str">
        <x:f>IF(D35="","",D35)</x:f>
        <x:v>이 정 석</x:v>
      </x:c>
      <x:c r="E95" s="68">
        <x:f>IF(E35="","",E35)</x:f>
        <x:v>205</x:v>
      </x:c>
      <x:c r="F95" s="48"/>
      <x:c r="G95" s="71"/>
      <x:c r="H95" s="157"/>
      <x:c r="I95" s="49"/>
      <x:c r="J95" s="51"/>
      <x:c r="K95" s="136"/>
      <x:c r="L95" s="137"/>
      <x:c r="M95" s="138"/>
      <x:c r="N95" s="8"/>
      <x:c r="O95" s="8"/>
      <x:c r="Q95" s="8"/>
      <x:c r="S95" s="8"/>
      <x:c r="U95" s="8"/>
    </x:row>
    <x:row r="96" spans="2:13" ht="24.949999999999999" customHeight="1">
      <x:c r="B96" s="29" t="str">
        <x:f t="shared" ref="B96:G96" si="20">IF(B36="","",B36)</x:f>
        <x:v>최    진</x:v>
      </x:c>
      <x:c r="C96" s="66">
        <x:f t="shared" si="20"/>
        <x:v>198</x:v>
      </x:c>
      <x:c r="D96" s="33" t="str">
        <x:f t="shared" si="20"/>
        <x:v>이 대 용</x:v>
      </x:c>
      <x:c r="E96" s="69">
        <x:f t="shared" si="20"/>
        <x:v>227</x:v>
      </x:c>
      <x:c r="F96" s="31" t="str">
        <x:f t="shared" si="20"/>
        <x:v/>
      </x:c>
      <x:c r="G96" s="72" t="str">
        <x:f t="shared" si="20"/>
        <x:v/>
      </x:c>
      <x:c r="H96" s="157"/>
      <x:c r="I96" s="24" t="str">
        <x:f>IF(I36="","",I36)</x:f>
        <x:v/>
      </x:c>
      <x:c r="J96" s="52" t="str">
        <x:f>IF(J36="","",J36)</x:f>
        <x:v/>
      </x:c>
      <x:c r="K96" s="60" t="str">
        <x:f t="shared" ref="K96:M96" si="21">IF(K36="","",K36)</x:f>
        <x:v/>
      </x:c>
      <x:c r="L96" s="53" t="str">
        <x:f t="shared" si="21"/>
        <x:v/>
      </x:c>
      <x:c r="M96" s="61" t="str">
        <x:f t="shared" si="21"/>
        <x:v/>
      </x:c>
    </x:row>
    <x:row r="97" spans="2:13" ht="24.949999999999999" customHeight="1">
      <x:c r="B97" s="163" t="s">
        <x:v>51</x:v>
      </x:c>
      <x:c r="C97" s="164"/>
      <x:c r="D97" s="164"/>
      <x:c r="E97" s="164"/>
      <x:c r="F97" s="164"/>
      <x:c r="G97" s="164"/>
      <x:c r="H97" s="164"/>
      <x:c r="I97" s="164"/>
      <x:c r="J97" s="164"/>
      <x:c r="K97" s="164"/>
      <x:c r="L97" s="164"/>
      <x:c r="M97" s="165"/>
    </x:row>
    <x:row r="98" spans="2:13" ht="24.949999999999999" customHeight="1">
      <x:c r="B98" s="35" t="str">
        <x:f t="shared" ref="B98:F102" si="22">IF(B38="","",B38)</x:f>
        <x:v>장 영 민</x:v>
      </x:c>
      <x:c r="C98" s="40">
        <x:f t="shared" si="22"/>
        <x:v>79</x:v>
      </x:c>
      <x:c r="D98" s="40">
        <x:f t="shared" si="22"/>
        <x:v>56</x:v>
      </x:c>
      <x:c r="E98" s="40">
        <x:f t="shared" si="22"/>
        <x:v>2</x:v>
      </x:c>
      <x:c r="F98" s="141">
        <x:f t="shared" si="22"/>
        <x:v>334</x:v>
      </x:c>
      <x:c r="G98" s="144"/>
      <x:c r="H98" s="79" t="str">
        <x:f t="shared" ref="H98:L102" si="23">IF(H38="","",H38)</x:f>
        <x:v>손 은 주</x:v>
      </x:c>
      <x:c r="I98" s="40">
        <x:f t="shared" si="23"/>
        <x:v>15</x:v>
      </x:c>
      <x:c r="J98" s="40">
        <x:f t="shared" si="23"/>
        <x:v>3</x:v>
      </x:c>
      <x:c r="K98" s="40">
        <x:f t="shared" si="23"/>
        <x:v>-16</x:v>
      </x:c>
      <x:c r="L98" s="149">
        <x:f t="shared" si="23"/>
        <x:v>66</x:v>
      </x:c>
      <x:c r="M98" s="152"/>
    </x:row>
    <x:row r="99" spans="2:13" ht="24.949999999999999" customHeight="1">
      <x:c r="B99" s="36" t="str">
        <x:f t="shared" si="22"/>
        <x:v>김 정 희</x:v>
      </x:c>
      <x:c r="C99" s="41">
        <x:f t="shared" si="22"/>
        <x:v>10</x:v>
      </x:c>
      <x:c r="D99" s="41">
        <x:f t="shared" si="22"/>
        <x:v>32</x:v>
      </x:c>
      <x:c r="E99" s="41">
        <x:f t="shared" si="22"/>
        <x:v>-9</x:v>
      </x:c>
      <x:c r="F99" s="142" t="str">
        <x:f t="shared" si="22"/>
        <x:v/>
      </x:c>
      <x:c r="G99" s="145"/>
      <x:c r="H99" s="36" t="str">
        <x:f t="shared" si="23"/>
        <x:v>이 우 석</x:v>
      </x:c>
      <x:c r="I99" s="41">
        <x:f t="shared" si="23"/>
        <x:v>23</x:v>
      </x:c>
      <x:c r="J99" s="41">
        <x:f t="shared" si="23"/>
        <x:v>-4</x:v>
      </x:c>
      <x:c r="K99" s="41">
        <x:f t="shared" si="23"/>
        <x:v>29</x:v>
      </x:c>
      <x:c r="L99" s="150" t="str">
        <x:f t="shared" si="23"/>
        <x:v/>
      </x:c>
      <x:c r="M99" s="153"/>
    </x:row>
    <x:row r="100" spans="2:13" ht="24.949999999999999" customHeight="1">
      <x:c r="B100" s="36" t="str">
        <x:f t="shared" si="22"/>
        <x:v>진 명 옥</x:v>
      </x:c>
      <x:c r="C100" s="41">
        <x:f t="shared" si="22"/>
        <x:v>19</x:v>
      </x:c>
      <x:c r="D100" s="41">
        <x:f t="shared" si="22"/>
        <x:v>53</x:v>
      </x:c>
      <x:c r="E100" s="41">
        <x:f t="shared" si="22"/>
        <x:v>13</x:v>
      </x:c>
      <x:c r="F100" s="142" t="str">
        <x:f t="shared" si="22"/>
        <x:v/>
      </x:c>
      <x:c r="G100" s="145"/>
      <x:c r="H100" s="36" t="str">
        <x:f t="shared" si="23"/>
        <x:v>이 대 용</x:v>
      </x:c>
      <x:c r="I100" s="41">
        <x:f t="shared" si="23"/>
        <x:v>-26</x:v>
      </x:c>
      <x:c r="J100" s="41">
        <x:f t="shared" si="23"/>
        <x:v>26</x:v>
      </x:c>
      <x:c r="K100" s="41">
        <x:f t="shared" si="23"/>
        <x:v>27</x:v>
      </x:c>
      <x:c r="L100" s="150" t="str">
        <x:f t="shared" si="23"/>
        <x:v/>
      </x:c>
      <x:c r="M100" s="153"/>
    </x:row>
    <x:row r="101" spans="2:13" ht="24.949999999999999" customHeight="1">
      <x:c r="B101" s="36" t="str">
        <x:f t="shared" si="22"/>
        <x:v>김 남 주</x:v>
      </x:c>
      <x:c r="C101" s="41">
        <x:f t="shared" si="22"/>
        <x:v>63</x:v>
      </x:c>
      <x:c r="D101" s="41">
        <x:f t="shared" si="22"/>
        <x:v>-22</x:v>
      </x:c>
      <x:c r="E101" s="41">
        <x:f t="shared" si="22"/>
        <x:v>33</x:v>
      </x:c>
      <x:c r="F101" s="142" t="str">
        <x:f t="shared" si="22"/>
        <x:v/>
      </x:c>
      <x:c r="G101" s="145"/>
      <x:c r="H101" s="36" t="str">
        <x:f t="shared" si="23"/>
        <x:v>김 태 환</x:v>
      </x:c>
      <x:c r="I101" s="41">
        <x:f t="shared" si="23"/>
        <x:v>-11</x:v>
      </x:c>
      <x:c r="J101" s="41">
        <x:f t="shared" si="23"/>
        <x:v>-29</x:v>
      </x:c>
      <x:c r="K101" s="41">
        <x:f t="shared" si="23"/>
        <x:v>2</x:v>
      </x:c>
      <x:c r="L101" s="150" t="str">
        <x:f t="shared" si="23"/>
        <x:v/>
      </x:c>
      <x:c r="M101" s="153"/>
    </x:row>
    <x:row r="102" spans="2:13" ht="24.949999999999999" customHeight="1">
      <x:c r="B102" s="36" t="str">
        <x:f t="shared" si="22"/>
        <x:v>김 미 란</x:v>
      </x:c>
      <x:c r="C102" s="41">
        <x:f t="shared" si="22"/>
        <x:v>20</x:v>
      </x:c>
      <x:c r="D102" s="41">
        <x:f t="shared" si="22"/>
        <x:v>-4</x:v>
      </x:c>
      <x:c r="E102" s="41">
        <x:f t="shared" si="22"/>
        <x:v>-11</x:v>
      </x:c>
      <x:c r="F102" s="142" t="str">
        <x:f t="shared" si="22"/>
        <x:v/>
      </x:c>
      <x:c r="G102" s="145"/>
      <x:c r="H102" s="36" t="str">
        <x:f t="shared" si="23"/>
        <x:v>송 정 현</x:v>
      </x:c>
      <x:c r="I102" s="41">
        <x:f t="shared" si="23"/>
        <x:v>4</x:v>
      </x:c>
      <x:c r="J102" s="41">
        <x:f t="shared" si="23"/>
        <x:v>16</x:v>
      </x:c>
      <x:c r="K102" s="41">
        <x:f t="shared" si="23"/>
        <x:v>7</x:v>
      </x:c>
      <x:c r="L102" s="150" t="str">
        <x:f t="shared" si="23"/>
        <x:v/>
      </x:c>
      <x:c r="M102" s="153"/>
    </x:row>
    <x:row r="103" spans="2:13" ht="24.949999999999999" customHeight="1">
      <x:c r="B103" s="37" t="str">
        <x:f t="shared" ref="B103:F103" si="24">IF(B43="","",B43)</x:f>
        <x:v/>
      </x:c>
      <x:c r="C103" s="42">
        <x:f t="shared" si="24"/>
        <x:v>191</x:v>
      </x:c>
      <x:c r="D103" s="42">
        <x:f t="shared" si="24"/>
        <x:v>115</x:v>
      </x:c>
      <x:c r="E103" s="42">
        <x:f t="shared" si="24"/>
        <x:v>28</x:v>
      </x:c>
      <x:c r="F103" s="143" t="str">
        <x:f t="shared" si="24"/>
        <x:v/>
      </x:c>
      <x:c r="G103" s="146"/>
      <x:c r="H103" s="37" t="str">
        <x:f t="shared" ref="H103:L103" si="25">IF(H43="","",H43)</x:f>
        <x:v/>
      </x:c>
      <x:c r="I103" s="42">
        <x:f t="shared" si="25"/>
        <x:v>5</x:v>
      </x:c>
      <x:c r="J103" s="42">
        <x:f t="shared" si="25"/>
        <x:v>12</x:v>
      </x:c>
      <x:c r="K103" s="42">
        <x:f t="shared" si="25"/>
        <x:v>49</x:v>
      </x:c>
      <x:c r="L103" s="151" t="str">
        <x:f t="shared" si="25"/>
        <x:v/>
      </x:c>
      <x:c r="M103" s="154"/>
    </x:row>
    <x:row r="104" spans="2:13" ht="24.949999999999999" customHeight="1"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</x:row>
    <x:row r="105" spans="2:13" ht="24.949999999999999" customHeight="1">
      <x:c r="B105" s="35" t="str">
        <x:f t="shared" ref="B105:M109" si="26">IF(B45="","",B45)</x:f>
        <x:v>김 선 미</x:v>
      </x:c>
      <x:c r="C105" s="40">
        <x:f t="shared" si="26"/>
        <x:v>13</x:v>
      </x:c>
      <x:c r="D105" s="40">
        <x:f t="shared" si="26"/>
        <x:v>17</x:v>
      </x:c>
      <x:c r="E105" s="40">
        <x:f t="shared" si="26"/>
        <x:v>-21</x:v>
      </x:c>
      <x:c r="F105" s="149">
        <x:f t="shared" si="26"/>
        <x:v>36</x:v>
      </x:c>
      <x:c r="G105" s="152" t="str">
        <x:f t="shared" si="26"/>
        <x:v/>
      </x:c>
      <x:c r="H105" s="79" t="str">
        <x:f t="shared" si="26"/>
        <x:v>지 옥 명</x:v>
      </x:c>
      <x:c r="I105" s="40">
        <x:f t="shared" si="26"/>
        <x:v>-13</x:v>
      </x:c>
      <x:c r="J105" s="40">
        <x:f t="shared" si="26"/>
        <x:v>-11</x:v>
      </x:c>
      <x:c r="K105" s="40">
        <x:f t="shared" si="26"/>
        <x:v>-54</x:v>
      </x:c>
      <x:c r="L105" s="149">
        <x:f t="shared" si="26"/>
        <x:v>-52</x:v>
      </x:c>
      <x:c r="M105" s="152" t="str">
        <x:f t="shared" si="26"/>
        <x:v/>
      </x:c>
    </x:row>
    <x:row r="106" spans="2:13" ht="24.949999999999999" customHeight="1">
      <x:c r="B106" s="36" t="str">
        <x:f t="shared" si="26"/>
        <x:v>임 연 진</x:v>
      </x:c>
      <x:c r="C106" s="41">
        <x:f t="shared" si="26"/>
        <x:v>12</x:v>
      </x:c>
      <x:c r="D106" s="41">
        <x:f t="shared" si="26"/>
        <x:v>19</x:v>
      </x:c>
      <x:c r="E106" s="41">
        <x:f t="shared" si="26"/>
        <x:v>14</x:v>
      </x:c>
      <x:c r="F106" s="150" t="str">
        <x:f t="shared" si="26"/>
        <x:v/>
      </x:c>
      <x:c r="G106" s="153" t="str">
        <x:f t="shared" si="26"/>
        <x:v/>
      </x:c>
      <x:c r="H106" s="36" t="str">
        <x:f t="shared" si="26"/>
        <x:v>강 완 규</x:v>
      </x:c>
      <x:c r="I106" s="41">
        <x:f t="shared" si="26"/>
        <x:v>-26</x:v>
      </x:c>
      <x:c r="J106" s="41">
        <x:f t="shared" si="26"/>
        <x:v>-27</x:v>
      </x:c>
      <x:c r="K106" s="41">
        <x:f t="shared" si="26"/>
        <x:v>42</x:v>
      </x:c>
      <x:c r="L106" s="150" t="str">
        <x:f t="shared" si="26"/>
        <x:v/>
      </x:c>
      <x:c r="M106" s="153" t="str">
        <x:f t="shared" si="26"/>
        <x:v/>
      </x:c>
    </x:row>
    <x:row r="107" spans="2:13" ht="24.949999999999999" customHeight="1">
      <x:c r="B107" s="36" t="str">
        <x:f t="shared" si="26"/>
        <x:v>변 상 필</x:v>
      </x:c>
      <x:c r="C107" s="41">
        <x:f t="shared" si="26"/>
        <x:v>-14</x:v>
      </x:c>
      <x:c r="D107" s="41">
        <x:f t="shared" si="26"/>
        <x:v>-16</x:v>
      </x:c>
      <x:c r="E107" s="41">
        <x:f t="shared" si="26"/>
        <x:v>10</x:v>
      </x:c>
      <x:c r="F107" s="150" t="str">
        <x:f t="shared" si="26"/>
        <x:v/>
      </x:c>
      <x:c r="G107" s="153" t="str">
        <x:f t="shared" si="26"/>
        <x:v/>
      </x:c>
      <x:c r="H107" s="36" t="str">
        <x:f t="shared" si="26"/>
        <x:v>임 승 기</x:v>
      </x:c>
      <x:c r="I107" s="41">
        <x:f t="shared" si="26"/>
        <x:v>0</x:v>
      </x:c>
      <x:c r="J107" s="41">
        <x:f t="shared" si="26"/>
        <x:v>0</x:v>
      </x:c>
      <x:c r="K107" s="41">
        <x:f t="shared" si="26"/>
        <x:v>0</x:v>
      </x:c>
      <x:c r="L107" s="150" t="str">
        <x:f t="shared" si="26"/>
        <x:v/>
      </x:c>
      <x:c r="M107" s="153" t="str">
        <x:f t="shared" si="26"/>
        <x:v/>
      </x:c>
    </x:row>
    <x:row r="108" spans="2:13" ht="24.949999999999999" customHeight="1">
      <x:c r="B108" s="36" t="str">
        <x:f t="shared" si="26"/>
        <x:v>최  진</x:v>
      </x:c>
      <x:c r="C108" s="41">
        <x:f t="shared" si="26"/>
        <x:v>0</x:v>
      </x:c>
      <x:c r="D108" s="41">
        <x:f t="shared" si="26"/>
        <x:v>0</x:v>
      </x:c>
      <x:c r="E108" s="41">
        <x:f t="shared" si="26"/>
        <x:v>0</x:v>
      </x:c>
      <x:c r="F108" s="150" t="str">
        <x:f t="shared" si="26"/>
        <x:v/>
      </x:c>
      <x:c r="G108" s="153" t="str">
        <x:f t="shared" si="26"/>
        <x:v/>
      </x:c>
      <x:c r="H108" s="36" t="str">
        <x:f t="shared" si="26"/>
        <x:v>나 경 주</x:v>
      </x:c>
      <x:c r="I108" s="41">
        <x:f t="shared" si="26"/>
        <x:v>-22</x:v>
      </x:c>
      <x:c r="J108" s="41">
        <x:f t="shared" si="26"/>
        <x:v>54</x:v>
      </x:c>
      <x:c r="K108" s="41">
        <x:f t="shared" si="26"/>
        <x:v>-27</x:v>
      </x:c>
      <x:c r="L108" s="150" t="str">
        <x:f t="shared" si="26"/>
        <x:v/>
      </x:c>
      <x:c r="M108" s="153" t="str">
        <x:f t="shared" si="26"/>
        <x:v/>
      </x:c>
    </x:row>
    <x:row r="109" spans="2:13" ht="24.949999999999999" customHeight="1">
      <x:c r="B109" s="36" t="str">
        <x:f t="shared" si="26"/>
        <x:v>엄 정 도</x:v>
      </x:c>
      <x:c r="C109" s="41">
        <x:f t="shared" si="26"/>
        <x:v>13</x:v>
      </x:c>
      <x:c r="D109" s="41">
        <x:f t="shared" si="26"/>
        <x:v>-1</x:v>
      </x:c>
      <x:c r="E109" s="41">
        <x:f t="shared" si="26"/>
        <x:v>-10</x:v>
      </x:c>
      <x:c r="F109" s="150" t="str">
        <x:f t="shared" si="26"/>
        <x:v/>
      </x:c>
      <x:c r="G109" s="153" t="str">
        <x:f t="shared" si="26"/>
        <x:v/>
      </x:c>
      <x:c r="H109" s="36" t="str">
        <x:f t="shared" si="26"/>
        <x:v>황 인 교</x:v>
      </x:c>
      <x:c r="I109" s="41">
        <x:f t="shared" si="26"/>
        <x:v>-5</x:v>
      </x:c>
      <x:c r="J109" s="41">
        <x:f t="shared" si="26"/>
        <x:v>31</x:v>
      </x:c>
      <x:c r="K109" s="41">
        <x:f t="shared" si="26"/>
        <x:v>6</x:v>
      </x:c>
      <x:c r="L109" s="150" t="str">
        <x:f t="shared" si="26"/>
        <x:v/>
      </x:c>
      <x:c r="M109" s="153" t="str">
        <x:f t="shared" si="26"/>
        <x:v/>
      </x:c>
    </x:row>
    <x:row r="110" spans="2:13" ht="24.949999999999999" customHeight="1">
      <x:c r="B110" s="37" t="str">
        <x:f t="shared" ref="B110:M110" si="27">IF(B50="","",B50)</x:f>
        <x:v/>
      </x:c>
      <x:c r="C110" s="42">
        <x:f t="shared" si="27"/>
        <x:v>24</x:v>
      </x:c>
      <x:c r="D110" s="42">
        <x:f t="shared" si="27"/>
        <x:v>19</x:v>
      </x:c>
      <x:c r="E110" s="42">
        <x:f t="shared" si="27"/>
        <x:v>-7</x:v>
      </x:c>
      <x:c r="F110" s="151" t="str">
        <x:f t="shared" si="27"/>
        <x:v/>
      </x:c>
      <x:c r="G110" s="154" t="str">
        <x:f t="shared" si="27"/>
        <x:v/>
      </x:c>
      <x:c r="H110" s="37" t="str">
        <x:f t="shared" si="27"/>
        <x:v/>
      </x:c>
      <x:c r="I110" s="42">
        <x:f t="shared" si="27"/>
        <x:v>-66</x:v>
      </x:c>
      <x:c r="J110" s="42">
        <x:f t="shared" si="27"/>
        <x:v>47</x:v>
      </x:c>
      <x:c r="K110" s="42">
        <x:f t="shared" si="27"/>
        <x:v>-33</x:v>
      </x:c>
      <x:c r="L110" s="151" t="str">
        <x:f t="shared" si="27"/>
        <x:v/>
      </x:c>
      <x:c r="M110" s="154" t="str">
        <x:f t="shared" si="27"/>
        <x:v/>
      </x:c>
    </x:row>
    <x:row r="111" ht="24.949999999999999" customHeight="1"/>
    <x:row r="112" spans="2:13" ht="24.949999999999999" customHeight="1">
      <x:c r="B112" s="35" t="str">
        <x:f t="shared" ref="B112:G116" si="28">IF(B52="","",B52)</x:f>
        <x:v>이 승 미</x:v>
      </x:c>
      <x:c r="C112" s="40">
        <x:f t="shared" si="28"/>
        <x:v>15</x:v>
      </x:c>
      <x:c r="D112" s="40">
        <x:f t="shared" si="28"/>
        <x:v>-34</x:v>
      </x:c>
      <x:c r="E112" s="40">
        <x:f t="shared" si="28"/>
        <x:v>-10</x:v>
      </x:c>
      <x:c r="F112" s="141">
        <x:f t="shared" si="28"/>
        <x:v>120</x:v>
      </x:c>
      <x:c r="G112" s="144" t="str">
        <x:f t="shared" si="28"/>
        <x:v/>
      </x:c>
      <x:c r="H112" s="18"/>
      <x:c r="I112" s="80"/>
      <x:c r="J112" s="80"/>
      <x:c r="K112" s="80"/>
      <x:c r="L112" s="147"/>
      <x:c r="M112" s="148"/>
    </x:row>
    <x:row r="113" spans="2:13" ht="24.949999999999999" customHeight="1">
      <x:c r="B113" s="36" t="str">
        <x:f t="shared" si="28"/>
        <x:v>이 범 수</x:v>
      </x:c>
      <x:c r="C113" s="41">
        <x:f t="shared" si="28"/>
        <x:v>15</x:v>
      </x:c>
      <x:c r="D113" s="41">
        <x:f t="shared" si="28"/>
        <x:v>28</x:v>
      </x:c>
      <x:c r="E113" s="41">
        <x:f t="shared" si="28"/>
        <x:v>35</x:v>
      </x:c>
      <x:c r="F113" s="142" t="str">
        <x:f t="shared" si="28"/>
        <x:v/>
      </x:c>
      <x:c r="G113" s="145" t="str">
        <x:f t="shared" si="28"/>
        <x:v/>
      </x:c>
      <x:c r="H113" s="18"/>
      <x:c r="I113" s="80"/>
      <x:c r="J113" s="80"/>
      <x:c r="K113" s="80"/>
      <x:c r="L113" s="147"/>
      <x:c r="M113" s="148"/>
    </x:row>
    <x:row r="114" spans="2:13" ht="24.949999999999999" customHeight="1">
      <x:c r="B114" s="36" t="str">
        <x:f t="shared" si="28"/>
        <x:v>최 현 수</x:v>
      </x:c>
      <x:c r="C114" s="41">
        <x:f t="shared" si="28"/>
        <x:v>76</x:v>
      </x:c>
      <x:c r="D114" s="41">
        <x:f t="shared" si="28"/>
        <x:v>-23</x:v>
      </x:c>
      <x:c r="E114" s="41">
        <x:f t="shared" si="28"/>
        <x:v>-22</x:v>
      </x:c>
      <x:c r="F114" s="142" t="str">
        <x:f t="shared" si="28"/>
        <x:v/>
      </x:c>
      <x:c r="G114" s="145" t="str">
        <x:f t="shared" si="28"/>
        <x:v/>
      </x:c>
      <x:c r="H114" s="18"/>
      <x:c r="I114" s="80"/>
      <x:c r="J114" s="80"/>
      <x:c r="K114" s="80"/>
      <x:c r="L114" s="147"/>
      <x:c r="M114" s="148"/>
    </x:row>
    <x:row r="115" spans="2:13" ht="24.949999999999999" customHeight="1">
      <x:c r="B115" s="36" t="str">
        <x:f t="shared" si="28"/>
        <x:v>이 정 석</x:v>
      </x:c>
      <x:c r="C115" s="41">
        <x:f t="shared" si="28"/>
        <x:v>-7</x:v>
      </x:c>
      <x:c r="D115" s="41">
        <x:f t="shared" si="28"/>
        <x:v>9</x:v>
      </x:c>
      <x:c r="E115" s="41">
        <x:f t="shared" si="28"/>
        <x:v>21</x:v>
      </x:c>
      <x:c r="F115" s="142" t="str">
        <x:f t="shared" si="28"/>
        <x:v/>
      </x:c>
      <x:c r="G115" s="145" t="str">
        <x:f t="shared" si="28"/>
        <x:v/>
      </x:c>
      <x:c r="H115" s="18"/>
      <x:c r="I115" s="80"/>
      <x:c r="J115" s="80"/>
      <x:c r="K115" s="80"/>
      <x:c r="L115" s="147"/>
      <x:c r="M115" s="148"/>
    </x:row>
    <x:row r="116" spans="2:13" ht="24.949999999999999" customHeight="1">
      <x:c r="B116" s="36" t="str">
        <x:f t="shared" si="28"/>
        <x:v>박 성 현</x:v>
      </x:c>
      <x:c r="C116" s="41">
        <x:f t="shared" si="28"/>
        <x:v>-13</x:v>
      </x:c>
      <x:c r="D116" s="41">
        <x:f t="shared" si="28"/>
        <x:v>-7</x:v>
      </x:c>
      <x:c r="E116" s="41">
        <x:f t="shared" si="28"/>
        <x:v>37</x:v>
      </x:c>
      <x:c r="F116" s="142" t="str">
        <x:f t="shared" si="28"/>
        <x:v/>
      </x:c>
      <x:c r="G116" s="145" t="str">
        <x:f t="shared" si="28"/>
        <x:v/>
      </x:c>
      <x:c r="H116" s="18"/>
      <x:c r="I116" s="80"/>
      <x:c r="J116" s="80"/>
      <x:c r="K116" s="80"/>
      <x:c r="L116" s="147"/>
      <x:c r="M116" s="148"/>
    </x:row>
    <x:row r="117" spans="2:13" ht="24.949999999999999" customHeight="1">
      <x:c r="B117" s="37" t="str">
        <x:f t="shared" ref="B117:G117" si="29">IF(B57="","",B57)</x:f>
        <x:v/>
      </x:c>
      <x:c r="C117" s="42">
        <x:f t="shared" si="29"/>
        <x:v>86</x:v>
      </x:c>
      <x:c r="D117" s="42">
        <x:f t="shared" si="29"/>
        <x:v>-27</x:v>
      </x:c>
      <x:c r="E117" s="42">
        <x:f t="shared" si="29"/>
        <x:v>61</x:v>
      </x:c>
      <x:c r="F117" s="143" t="str">
        <x:f t="shared" si="29"/>
        <x:v/>
      </x:c>
      <x:c r="G117" s="146" t="str">
        <x:f t="shared" si="29"/>
        <x:v/>
      </x:c>
      <x:c r="H117" s="18"/>
      <x:c r="I117" s="81"/>
      <x:c r="J117" s="81"/>
      <x:c r="K117" s="81"/>
      <x:c r="L117" s="147"/>
      <x:c r="M117" s="148"/>
    </x:row>
  </x:sheetData>
  <x:mergeCells count="48">
    <x:mergeCell ref="F112:F117"/>
    <x:mergeCell ref="G112:G117"/>
    <x:mergeCell ref="L112:L117"/>
    <x:mergeCell ref="M112:M117"/>
    <x:mergeCell ref="F98:F103"/>
    <x:mergeCell ref="G98:G103"/>
    <x:mergeCell ref="L98:L103"/>
    <x:mergeCell ref="M98:M103"/>
    <x:mergeCell ref="F105:F110"/>
    <x:mergeCell ref="G105:G110"/>
    <x:mergeCell ref="L105:L110"/>
    <x:mergeCell ref="M105:M110"/>
    <x:mergeCell ref="B92:G92"/>
    <x:mergeCell ref="H92:H96"/>
    <x:mergeCell ref="I92:J92"/>
    <x:mergeCell ref="K92:M92"/>
    <x:mergeCell ref="B97:M97"/>
    <x:mergeCell ref="L62:M62"/>
    <x:mergeCell ref="B89:M89"/>
    <x:mergeCell ref="B90:E90"/>
    <x:mergeCell ref="F90:F91"/>
    <x:mergeCell ref="G90:I90"/>
    <x:mergeCell ref="J90:M90"/>
    <x:mergeCell ref="G91:I91"/>
    <x:mergeCell ref="F52:F57"/>
    <x:mergeCell ref="G52:G57"/>
    <x:mergeCell ref="A61:M61"/>
    <x:mergeCell ref="F38:F43"/>
    <x:mergeCell ref="G38:G43"/>
    <x:mergeCell ref="L38:L43"/>
    <x:mergeCell ref="M38:M43"/>
    <x:mergeCell ref="F45:F50"/>
    <x:mergeCell ref="G45:G50"/>
    <x:mergeCell ref="L45:L50"/>
    <x:mergeCell ref="M45:M50"/>
    <x:mergeCell ref="B32:G32"/>
    <x:mergeCell ref="H32:H36"/>
    <x:mergeCell ref="I32:J32"/>
    <x:mergeCell ref="K32:M32"/>
    <x:mergeCell ref="B37:M37"/>
    <x:mergeCell ref="A1:M1"/>
    <x:mergeCell ref="L2:M2"/>
    <x:mergeCell ref="B29:M29"/>
    <x:mergeCell ref="B30:E30"/>
    <x:mergeCell ref="F30:F31"/>
    <x:mergeCell ref="G30:I30"/>
    <x:mergeCell ref="J30:M30"/>
    <x:mergeCell ref="G31:I31"/>
  </x:mergeCells>
  <x:conditionalFormatting sqref="C33:C36">
    <x:cfRule type="cellIs" dxfId="134" priority="19" operator="greaterThan">
      <x:formula>199</x:formula>
    </x:cfRule>
  </x:conditionalFormatting>
  <x:conditionalFormatting sqref="C93:C96">
    <x:cfRule type="cellIs" dxfId="133" priority="3" operator="greaterThan">
      <x:formula>199</x:formula>
    </x:cfRule>
  </x:conditionalFormatting>
  <x:conditionalFormatting sqref="C4:E28">
    <x:cfRule type="cellIs" dxfId="132" priority="14" operator="between">
      <x:formula>200</x:formula>
      <x:formula>200</x:formula>
    </x:cfRule>
    <x:cfRule type="cellIs" dxfId="131" priority="13" operator="between">
      <x:formula>200</x:formula>
      <x:formula>300</x:formula>
    </x:cfRule>
  </x:conditionalFormatting>
  <x:conditionalFormatting sqref="C64:E88">
    <x:cfRule type="cellIs" dxfId="130" priority="7" operator="between">
      <x:formula>200</x:formula>
      <x:formula>200</x:formula>
    </x:cfRule>
    <x:cfRule type="cellIs" dxfId="129" priority="6" operator="between">
      <x:formula>200</x:formula>
      <x:formula>300</x:formula>
    </x:cfRule>
  </x:conditionalFormatting>
  <x:conditionalFormatting sqref="E33:E36">
    <x:cfRule type="cellIs" dxfId="128" priority="18" operator="greaterThan">
      <x:formula>199</x:formula>
    </x:cfRule>
  </x:conditionalFormatting>
  <x:conditionalFormatting sqref="E93:E96">
    <x:cfRule type="cellIs" dxfId="127" priority="2" operator="greaterThan">
      <x:formula>199</x:formula>
    </x:cfRule>
  </x:conditionalFormatting>
  <x:conditionalFormatting sqref="F4:F28">
    <x:cfRule type="cellIs" dxfId="126" priority="22" operator="greaterThan">
      <x:formula>599</x:formula>
    </x:cfRule>
    <x:cfRule type="cellIs" dxfId="125" priority="12" operator="between">
      <x:formula>600</x:formula>
      <x:formula>900</x:formula>
    </x:cfRule>
  </x:conditionalFormatting>
  <x:conditionalFormatting sqref="F64:F88">
    <x:cfRule type="cellIs" dxfId="124" priority="10" operator="greaterThan">
      <x:formula>599</x:formula>
    </x:cfRule>
    <x:cfRule type="cellIs" dxfId="123" priority="5" operator="between">
      <x:formula>600</x:formula>
      <x:formula>900</x:formula>
    </x:cfRule>
  </x:conditionalFormatting>
  <x:conditionalFormatting sqref="G4:G28">
    <x:cfRule type="cellIs" dxfId="122" priority="20" operator="greaterThan">
      <x:formula>199.9</x:formula>
    </x:cfRule>
  </x:conditionalFormatting>
  <x:conditionalFormatting sqref="G33:G36">
    <x:cfRule type="cellIs" dxfId="121" priority="17" operator="greaterThan">
      <x:formula>199</x:formula>
    </x:cfRule>
  </x:conditionalFormatting>
  <x:conditionalFormatting sqref="G64:G88">
    <x:cfRule type="cellIs" dxfId="120" priority="8" operator="greaterThan">
      <x:formula>199.9</x:formula>
    </x:cfRule>
  </x:conditionalFormatting>
  <x:conditionalFormatting sqref="G93:G96">
    <x:cfRule type="cellIs" dxfId="119" priority="1" operator="greaterThan">
      <x:formula>199</x:formula>
    </x:cfRule>
  </x:conditionalFormatting>
  <x:conditionalFormatting sqref="G4:H28">
    <x:cfRule type="cellIs" dxfId="118" priority="11" operator="between">
      <x:formula>200</x:formula>
      <x:formula>300</x:formula>
    </x:cfRule>
  </x:conditionalFormatting>
  <x:conditionalFormatting sqref="G64:H88">
    <x:cfRule type="cellIs" dxfId="117" priority="4" operator="between">
      <x:formula>200</x:formula>
      <x:formula>300</x:formula>
    </x:cfRule>
  </x:conditionalFormatting>
  <x:conditionalFormatting sqref="H4:H28">
    <x:cfRule type="cellIs" dxfId="116" priority="21" operator="greaterThan">
      <x:formula>199</x:formula>
    </x:cfRule>
  </x:conditionalFormatting>
  <x:conditionalFormatting sqref="H64:H88">
    <x:cfRule type="cellIs" dxfId="115" priority="9" operator="greaterThan">
      <x:formula>199</x:formula>
    </x:cfRule>
  </x:conditionalFormatting>
  <x:conditionalFormatting sqref="O32:O32">
    <x:cfRule type="cellIs" dxfId="114" priority="16" operator="greaterThan">
      <x:formula>200</x:formula>
    </x:cfRule>
  </x:conditionalFormatting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  <x:legacyDrawing r:id="rId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V113"/>
  <x:sheetViews>
    <x:sheetView topLeftCell="A10" zoomScale="85" zoomScaleNormal="85" zoomScaleSheetLayoutView="85" workbookViewId="0">
      <x:selection activeCell="A7" activeCellId="0" sqref="A7:XFD7"/>
    </x:sheetView>
  </x:sheetViews>
  <x:sheetFormatPr defaultColWidth="9" defaultRowHeight="16.399999999999999"/>
  <x:cols>
    <x:col min="1" max="1" width="4.625" style="11" customWidth="1"/>
    <x:col min="2" max="2" width="12.75" style="11" customWidth="1"/>
    <x:col min="3" max="7" width="9.625" style="11" customWidth="1"/>
    <x:col min="8" max="8" width="12.75" style="11" customWidth="1"/>
    <x:col min="9" max="11" width="9.625" style="11" customWidth="1"/>
    <x:col min="12" max="12" width="9" style="11" customWidth="1"/>
    <x:col min="13" max="13" width="9" style="11" bestFit="1" customWidth="1"/>
    <x:col min="14" max="14" width="9.875" style="11" bestFit="1" customWidth="1"/>
    <x:col min="15" max="15" width="9.375" style="11" customWidth="1"/>
    <x:col min="17" max="17" width="10.625" style="11" customWidth="1"/>
    <x:col min="19" max="19" width="13.125" style="11" customWidth="1"/>
    <x:col min="20" max="20" width="9" style="6" bestFit="1" customWidth="1"/>
    <x:col min="21" max="21" width="15" style="11" customWidth="1"/>
    <x:col min="22" max="22" width="9" style="6" bestFit="1" customWidth="1"/>
  </x:cols>
  <x:sheetData>
    <x:row r="1" spans="1:13" ht="60" customHeight="1">
      <x:c r="A1" s="185" t="s">
        <x:v>69</x:v>
      </x:c>
      <x:c r="B1" s="185"/>
      <x:c r="C1" s="185"/>
      <x:c r="D1" s="185"/>
      <x:c r="E1" s="185"/>
      <x:c r="F1" s="185"/>
      <x:c r="G1" s="185"/>
      <x:c r="H1" s="185"/>
      <x:c r="I1" s="185"/>
      <x:c r="J1" s="185"/>
      <x:c r="K1" s="185"/>
      <x:c r="L1" s="185"/>
      <x:c r="M1" s="185"/>
    </x:row>
    <x:row r="2" spans="1:22" ht="22.5" customHeight="1">
      <x:c r="A2" s="77"/>
      <x:c r="B2" s="77"/>
      <x:c r="C2" s="77"/>
      <x:c r="D2" s="77"/>
      <x:c r="E2" s="77"/>
      <x:c r="F2" s="77"/>
      <x:c r="G2" s="77"/>
      <x:c r="H2" s="77"/>
      <x:c r="I2" s="77"/>
      <x:c r="J2" s="77"/>
      <x:c r="K2" s="78" t="s">
        <x:v>8</x:v>
      </x:c>
      <x:c r="L2" s="166">
        <x:v>46072</x:v>
      </x:c>
      <x:c r="M2" s="167"/>
      <x:c r="S2" s="89" t="s">
        <x:v>44</x:v>
      </x:c>
      <x:c r="T2" s="90">
        <x:v>1</x:v>
      </x:c>
      <x:c r="U2" s="89" t="s">
        <x:v>61</x:v>
      </x:c>
      <x:c r="V2" s="90">
        <x:v>1</x:v>
      </x:c>
    </x:row>
    <x:row r="3" spans="1:22" ht="24.949999999999999" customHeight="1">
      <x:c r="A3" s="20"/>
      <x:c r="B3" s="14" t="s">
        <x:v>53</x:v>
      </x:c>
      <x:c r="C3" s="14" t="s">
        <x:v>2</x:v>
      </x:c>
      <x:c r="D3" s="14" t="s">
        <x:v>0</x:v>
      </x:c>
      <x:c r="E3" s="14" t="s">
        <x:v>10</x:v>
      </x:c>
      <x:c r="F3" s="14" t="s">
        <x:v>9</x:v>
      </x:c>
      <x:c r="G3" s="14" t="s">
        <x:v>6</x:v>
      </x:c>
      <x:c r="H3" s="16" t="s">
        <x:v>57</x:v>
      </x:c>
      <x:c r="I3" s="14" t="s">
        <x:v>2</x:v>
      </x:c>
      <x:c r="J3" s="14" t="s">
        <x:v>0</x:v>
      </x:c>
      <x:c r="K3" s="14" t="s">
        <x:v>10</x:v>
      </x:c>
      <x:c r="L3" s="15" t="s">
        <x:v>9</x:v>
      </x:c>
      <x:c r="M3" s="22" t="s">
        <x:v>13</x:v>
      </x:c>
      <x:c r="S3" s="92" t="s">
        <x:v>65</x:v>
      </x:c>
      <x:c r="T3" s="93"/>
      <x:c r="U3" s="93"/>
      <x:c r="V3" s="93"/>
    </x:row>
    <x:row r="4" spans="1:22" ht="24.949999999999999" customHeight="1">
      <x:c r="A4" s="12">
        <x:v>1</x:v>
      </x:c>
      <x:c r="B4" s="13" t="s">
        <x:v>39</x:v>
      </x:c>
      <x:c r="C4" s="62">
        <x:v>127</x:v>
      </x:c>
      <x:c r="D4" s="62">
        <x:v>191</x:v>
      </x:c>
      <x:c r="E4" s="62">
        <x:v>191</x:v>
      </x:c>
      <x:c r="F4" s="44">
        <x:f>SUM(C4:E4)</x:f>
        <x:v>509</x:v>
      </x:c>
      <x:c r="G4" s="45">
        <x:f>F4/3</x:f>
        <x:v>169.66666666666666</x:v>
      </x:c>
      <x:c r="H4" s="34">
        <x:f t="array" ref="H4:H4">IF(B4="","",IFERROR(INDEX('회원명단 및 기준에버'!D:G,MATCH(B4,'회원명단 및 기준에버'!$C:$C,0),CHOOSE(INT((MONTH($L$2)-1)/3)+1,1,2,3,4)),""))</x:f>
        <x:v>200</x:v>
      </x:c>
      <x:c r="I4" s="38">
        <x:f>IFERROR(C4+-H4,0)</x:f>
        <x:v>-73</x:v>
      </x:c>
      <x:c r="J4" s="38">
        <x:f>IFERROR(D4+-H4,0)</x:f>
        <x:v>-9</x:v>
      </x:c>
      <x:c r="K4" s="38">
        <x:f>IFERROR(E4+-H4,0)</x:f>
        <x:v>-9</x:v>
      </x:c>
      <x:c r="L4" s="63">
        <x:f>SUM(I4:K4)</x:f>
        <x:v>-91</x:v>
      </x:c>
      <x:c r="M4" s="39">
        <x:f>IFERROR(G4+-H4,0)</x:f>
        <x:v>-30.333333333333343</x:v>
      </x:c>
      <x:c r="N4" s="19"/>
      <x:c r="S4" s="104">
        <x:f t="shared" ref="S4:S27" si="0">MAX(C4:E4)-MIN(C4:E4)</x:f>
        <x:v>64</x:v>
      </x:c>
      <x:c r="T4" s="99">
        <x:f>IF($B4="",-999999999+A4,IF($V$2=0,(F4*10000+S4*1000+A4),(M4*10000+S4*10+A4)))</x:f>
        <x:v>-302692.33333333343</x:v>
      </x:c>
      <x:c r="U4" s="105">
        <x:f t="shared" ref="U4:U27" si="1">_xlfn.RANK.EQ(T4,$T$4:$T$27,0)</x:f>
        <x:v>23</x:v>
      </x:c>
      <x:c r="V4" s="106"/>
    </x:row>
    <x:row r="5" spans="1:22" ht="24.949999999999999" customHeight="1">
      <x:c r="A5" s="12">
        <x:v>2</x:v>
      </x:c>
      <x:c r="B5" s="13" t="s">
        <x:v>21</x:v>
      </x:c>
      <x:c r="C5" s="62">
        <x:v>225</x:v>
      </x:c>
      <x:c r="D5" s="62">
        <x:v>212</x:v>
      </x:c>
      <x:c r="E5" s="62">
        <x:v>194</x:v>
      </x:c>
      <x:c r="F5" s="44">
        <x:f>SUM(C5:E5)</x:f>
        <x:v>631</x:v>
      </x:c>
      <x:c r="G5" s="45">
        <x:f>F5/3</x:f>
        <x:v>210.33333333333334</x:v>
      </x:c>
      <x:c r="H5" s="34">
        <x:f t="array" ref="H5:H5">IF(B5="","",IFERROR(INDEX('회원명단 및 기준에버'!D:G,MATCH(B5,'회원명단 및 기준에버'!$C:$C,0),CHOOSE(INT((MONTH($L$2)-1)/3)+1,1,2,3,4)),""))</x:f>
        <x:v>194</x:v>
      </x:c>
      <x:c r="I5" s="38">
        <x:f>IFERROR(C5+-H5,0)</x:f>
        <x:v>31</x:v>
      </x:c>
      <x:c r="J5" s="38">
        <x:f>IFERROR(D5+-H5,0)</x:f>
        <x:v>18</x:v>
      </x:c>
      <x:c r="K5" s="38">
        <x:f>IFERROR(E5+-H5,0)</x:f>
        <x:v>0</x:v>
      </x:c>
      <x:c r="L5" s="63">
        <x:f>SUM(I5:K5)</x:f>
        <x:v>49</x:v>
      </x:c>
      <x:c r="M5" s="39">
        <x:f>IFERROR(G5+-H5,0)</x:f>
        <x:v>16.333333333333343</x:v>
      </x:c>
      <x:c r="N5" s="19"/>
      <x:c r="S5" s="107">
        <x:f t="shared" si="0"/>
        <x:v>31</x:v>
      </x:c>
      <x:c r="T5" s="97">
        <x:f t="shared" ref="T5:T27" si="2">IF($B5="",-999999999+A5,IF($V$2=0,(F5*10000+S5*1000+A5),(M5*10000+S5*10+A5)))</x:f>
        <x:v>163645.33333333343</x:v>
      </x:c>
      <x:c r="U5" s="91">
        <x:f t="shared" si="1"/>
        <x:v>6</x:v>
      </x:c>
      <x:c r="V5" s="108"/>
    </x:row>
    <x:row r="6" spans="1:22" ht="24.949999999999999" customHeight="1">
      <x:c r="A6" s="12">
        <x:v>3</x:v>
      </x:c>
      <x:c r="B6" s="13" t="s">
        <x:v>38</x:v>
      </x:c>
      <x:c r="C6" s="62">
        <x:v>170</x:v>
      </x:c>
      <x:c r="D6" s="62">
        <x:v>204</x:v>
      </x:c>
      <x:c r="E6" s="62">
        <x:v>211</x:v>
      </x:c>
      <x:c r="F6" s="44">
        <x:f>SUM(C6:E6)</x:f>
        <x:v>585</x:v>
      </x:c>
      <x:c r="G6" s="45">
        <x:f>F6/3</x:f>
        <x:v>195</x:v>
      </x:c>
      <x:c r="H6" s="34">
        <x:f t="array" ref="H6:H6">IF(B6="","",IFERROR(INDEX('회원명단 및 기준에버'!D:G,MATCH(B6,'회원명단 및 기준에버'!$C:$C,0),CHOOSE(INT((MONTH($L$2)-1)/3)+1,1,2,3,4)),""))</x:f>
        <x:v>190</x:v>
      </x:c>
      <x:c r="I6" s="38">
        <x:f t="shared" ref="I6:I27" si="3">IFERROR(C6+-H6,0)</x:f>
        <x:v>-20</x:v>
      </x:c>
      <x:c r="J6" s="38">
        <x:f t="shared" ref="J6:J27" si="4">IFERROR(D6+-H6,0)</x:f>
        <x:v>14</x:v>
      </x:c>
      <x:c r="K6" s="38">
        <x:f t="shared" ref="K6:K27" si="5">IFERROR(E6+-H6,0)</x:f>
        <x:v>21</x:v>
      </x:c>
      <x:c r="L6" s="63">
        <x:f t="shared" ref="L6:L27" si="6">SUM(I6:K6)</x:f>
        <x:v>15</x:v>
      </x:c>
      <x:c r="M6" s="39">
        <x:f t="shared" ref="M6:M27" si="7">IFERROR(G6+-H6,0)</x:f>
        <x:v>5</x:v>
      </x:c>
      <x:c r="S6" s="107">
        <x:f t="shared" si="0"/>
        <x:v>41</x:v>
      </x:c>
      <x:c r="T6" s="97">
        <x:f t="shared" si="2"/>
        <x:v>50413</x:v>
      </x:c>
      <x:c r="U6" s="91">
        <x:f t="shared" si="1"/>
        <x:v>13</x:v>
      </x:c>
      <x:c r="V6" s="108"/>
    </x:row>
    <x:row r="7" spans="1:22" ht="24.949999999999999" customHeight="1">
      <x:c r="A7" s="12">
        <x:v>4</x:v>
      </x:c>
      <x:c r="B7" s="13" t="s">
        <x:v>25</x:v>
      </x:c>
      <x:c r="C7" s="62">
        <x:v>151</x:v>
      </x:c>
      <x:c r="D7" s="62">
        <x:v>247</x:v>
      </x:c>
      <x:c r="E7" s="62">
        <x:v>172</x:v>
      </x:c>
      <x:c r="F7" s="44">
        <x:f>SUM(C7:E7)</x:f>
        <x:v>570</x:v>
      </x:c>
      <x:c r="G7" s="45">
        <x:f>F7/3</x:f>
        <x:v>190</x:v>
      </x:c>
      <x:c r="H7" s="34">
        <x:f t="array" ref="H7:H7">IF(B7="","",IFERROR(INDEX('회원명단 및 기준에버'!D:G,MATCH(B7,'회원명단 및 기준에버'!$C:$C,0),CHOOSE(INT((MONTH($L$2)-1)/3)+1,1,2,3,4)),""))</x:f>
        <x:v>190</x:v>
      </x:c>
      <x:c r="I7" s="38">
        <x:f t="shared" si="3"/>
        <x:v>-39</x:v>
      </x:c>
      <x:c r="J7" s="38">
        <x:f t="shared" si="4"/>
        <x:v>57</x:v>
      </x:c>
      <x:c r="K7" s="38">
        <x:f t="shared" si="5"/>
        <x:v>-18</x:v>
      </x:c>
      <x:c r="L7" s="63">
        <x:f t="shared" si="6"/>
        <x:v>0</x:v>
      </x:c>
      <x:c r="M7" s="39">
        <x:f t="shared" si="7"/>
        <x:v>0</x:v>
      </x:c>
      <x:c r="S7" s="107">
        <x:f t="shared" si="0"/>
        <x:v>96</x:v>
      </x:c>
      <x:c r="T7" s="97">
        <x:f t="shared" si="2"/>
        <x:v>964</x:v>
      </x:c>
      <x:c r="U7" s="91">
        <x:f t="shared" si="1"/>
        <x:v>17</x:v>
      </x:c>
      <x:c r="V7" s="108"/>
    </x:row>
    <x:row r="8" spans="1:22" ht="24.949999999999999" customHeight="1">
      <x:c r="A8" s="12">
        <x:v>5</x:v>
      </x:c>
      <x:c r="B8" s="13" t="s">
        <x:v>41</x:v>
      </x:c>
      <x:c r="C8" s="62">
        <x:v>123</x:v>
      </x:c>
      <x:c r="D8" s="62">
        <x:v>155</x:v>
      </x:c>
      <x:c r="E8" s="62">
        <x:v>129</x:v>
      </x:c>
      <x:c r="F8" s="44">
        <x:f t="shared" ref="F8:F27" si="8">SUM(C8:E8)</x:f>
        <x:v>407</x:v>
      </x:c>
      <x:c r="G8" s="45">
        <x:f t="shared" ref="G8:G27" si="9">F8/3</x:f>
        <x:v>135.66666666666666</x:v>
      </x:c>
      <x:c r="H8" s="34">
        <x:f t="array" ref="H8:H8">IF(B8="","",IFERROR(INDEX('회원명단 및 기준에버'!D:G,MATCH(B8,'회원명단 및 기준에버'!$C:$C,0),CHOOSE(INT((MONTH($L$2)-1)/3)+1,1,2,3,4)),""))</x:f>
        <x:v>161</x:v>
      </x:c>
      <x:c r="I8" s="38">
        <x:f t="shared" si="3"/>
        <x:v>-38</x:v>
      </x:c>
      <x:c r="J8" s="38">
        <x:f t="shared" si="4"/>
        <x:v>-6</x:v>
      </x:c>
      <x:c r="K8" s="38">
        <x:f t="shared" si="5"/>
        <x:v>-32</x:v>
      </x:c>
      <x:c r="L8" s="63">
        <x:f t="shared" si="6"/>
        <x:v>-76</x:v>
      </x:c>
      <x:c r="M8" s="39">
        <x:f t="shared" si="7"/>
        <x:v>-25.333333333333343</x:v>
      </x:c>
      <x:c r="S8" s="107">
        <x:f t="shared" si="0"/>
        <x:v>32</x:v>
      </x:c>
      <x:c r="T8" s="97">
        <x:f t="shared" si="2"/>
        <x:v>-253008.33333333343</x:v>
      </x:c>
      <x:c r="U8" s="91">
        <x:f t="shared" si="1"/>
        <x:v>22</x:v>
      </x:c>
      <x:c r="V8" s="108"/>
    </x:row>
    <x:row r="9" spans="1:22" ht="24.949999999999999" customHeight="1">
      <x:c r="A9" s="12">
        <x:v>6</x:v>
      </x:c>
      <x:c r="B9" s="13" t="s">
        <x:v>47</x:v>
      </x:c>
      <x:c r="C9" s="62">
        <x:v>235</x:v>
      </x:c>
      <x:c r="D9" s="62">
        <x:v>161</x:v>
      </x:c>
      <x:c r="E9" s="62">
        <x:v>170</x:v>
      </x:c>
      <x:c r="F9" s="44">
        <x:f t="shared" si="8"/>
        <x:v>566</x:v>
      </x:c>
      <x:c r="G9" s="45">
        <x:f t="shared" si="9"/>
        <x:v>188.66666666666666</x:v>
      </x:c>
      <x:c r="H9" s="34">
        <x:f t="array" ref="H9:H9">IF(B9="","",IFERROR(INDEX('회원명단 및 기준에버'!D:G,MATCH(B9,'회원명단 및 기준에버'!$C:$C,0),CHOOSE(INT((MONTH($L$2)-1)/3)+1,1,2,3,4)),""))</x:f>
        <x:v>200</x:v>
      </x:c>
      <x:c r="I9" s="38">
        <x:f t="shared" si="3"/>
        <x:v>35</x:v>
      </x:c>
      <x:c r="J9" s="38">
        <x:f t="shared" si="4"/>
        <x:v>-39</x:v>
      </x:c>
      <x:c r="K9" s="38">
        <x:f t="shared" si="5"/>
        <x:v>-30</x:v>
      </x:c>
      <x:c r="L9" s="63">
        <x:f t="shared" si="6"/>
        <x:v>-34</x:v>
      </x:c>
      <x:c r="M9" s="39">
        <x:f t="shared" si="7"/>
        <x:v>-11.333333333333343</x:v>
      </x:c>
      <x:c r="S9" s="107">
        <x:f t="shared" si="0"/>
        <x:v>74</x:v>
      </x:c>
      <x:c r="T9" s="97">
        <x:f t="shared" si="2"/>
        <x:v>-112587.33333333343</x:v>
      </x:c>
      <x:c r="U9" s="91">
        <x:f t="shared" si="1"/>
        <x:v>20</x:v>
      </x:c>
      <x:c r="V9" s="108"/>
    </x:row>
    <x:row r="10" spans="1:22" ht="24.949999999999999" customHeight="1">
      <x:c r="A10" s="12">
        <x:v>7</x:v>
      </x:c>
      <x:c r="B10" s="13" t="s">
        <x:v>58</x:v>
      </x:c>
      <x:c r="C10" s="62">
        <x:v>207</x:v>
      </x:c>
      <x:c r="D10" s="62">
        <x:v>189</x:v>
      </x:c>
      <x:c r="E10" s="62">
        <x:v>255</x:v>
      </x:c>
      <x:c r="F10" s="44">
        <x:f t="shared" si="8"/>
        <x:v>651</x:v>
      </x:c>
      <x:c r="G10" s="45">
        <x:f t="shared" si="9"/>
        <x:v>217</x:v>
      </x:c>
      <x:c r="H10" s="34">
        <x:f t="array" ref="H10:H10">IF(B10="","",IFERROR(INDEX('회원명단 및 기준에버'!D:G,MATCH(B10,'회원명단 및 기준에버'!$C:$C,0),CHOOSE(INT((MONTH($L$2)-1)/3)+1,1,2,3,4)),""))</x:f>
        <x:v>200</x:v>
      </x:c>
      <x:c r="I10" s="38">
        <x:f t="shared" si="3"/>
        <x:v>7</x:v>
      </x:c>
      <x:c r="J10" s="38">
        <x:f t="shared" si="4"/>
        <x:v>-11</x:v>
      </x:c>
      <x:c r="K10" s="38">
        <x:f t="shared" si="5"/>
        <x:v>55</x:v>
      </x:c>
      <x:c r="L10" s="63">
        <x:f t="shared" si="6"/>
        <x:v>51</x:v>
      </x:c>
      <x:c r="M10" s="39">
        <x:f t="shared" si="7"/>
        <x:v>17</x:v>
      </x:c>
      <x:c r="S10" s="107">
        <x:f t="shared" si="0"/>
        <x:v>66</x:v>
      </x:c>
      <x:c r="T10" s="97">
        <x:f t="shared" si="2"/>
        <x:v>170667</x:v>
      </x:c>
      <x:c r="U10" s="91">
        <x:f t="shared" si="1"/>
        <x:v>5</x:v>
      </x:c>
      <x:c r="V10" s="108"/>
    </x:row>
    <x:row r="11" spans="1:22" ht="24.949999999999999" customHeight="1">
      <x:c r="A11" s="12">
        <x:v>8</x:v>
      </x:c>
      <x:c r="B11" s="13" t="s">
        <x:v>48</x:v>
      </x:c>
      <x:c r="C11" s="62">
        <x:v>236</x:v>
      </x:c>
      <x:c r="D11" s="62">
        <x:v>257</x:v>
      </x:c>
      <x:c r="E11" s="62">
        <x:v>209</x:v>
      </x:c>
      <x:c r="F11" s="44">
        <x:f t="shared" si="8"/>
        <x:v>702</x:v>
      </x:c>
      <x:c r="G11" s="45">
        <x:f t="shared" si="9"/>
        <x:v>234</x:v>
      </x:c>
      <x:c r="H11" s="34">
        <x:f t="array" ref="H11:H11">IF(B11="","",IFERROR(INDEX('회원명단 및 기준에버'!D:G,MATCH(B11,'회원명단 및 기준에버'!$C:$C,0),CHOOSE(INT((MONTH($L$2)-1)/3)+1,1,2,3,4)),""))</x:f>
        <x:v>191</x:v>
      </x:c>
      <x:c r="I11" s="38">
        <x:f t="shared" si="3"/>
        <x:v>45</x:v>
      </x:c>
      <x:c r="J11" s="38">
        <x:f t="shared" si="4"/>
        <x:v>66</x:v>
      </x:c>
      <x:c r="K11" s="38">
        <x:f t="shared" si="5"/>
        <x:v>18</x:v>
      </x:c>
      <x:c r="L11" s="63">
        <x:f t="shared" si="6"/>
        <x:v>129</x:v>
      </x:c>
      <x:c r="M11" s="39">
        <x:f t="shared" si="7"/>
        <x:v>43</x:v>
      </x:c>
      <x:c r="S11" s="107">
        <x:f t="shared" si="0"/>
        <x:v>48</x:v>
      </x:c>
      <x:c r="T11" s="97">
        <x:f t="shared" si="2"/>
        <x:v>430488</x:v>
      </x:c>
      <x:c r="U11" s="91">
        <x:f t="shared" si="1"/>
        <x:v>1</x:v>
      </x:c>
      <x:c r="V11" s="108"/>
    </x:row>
    <x:row r="12" spans="1:22" ht="24.949999999999999" customHeight="1">
      <x:c r="A12" s="12">
        <x:v>9</x:v>
      </x:c>
      <x:c r="B12" s="13" t="s">
        <x:v>27</x:v>
      </x:c>
      <x:c r="C12" s="62">
        <x:v>201</x:v>
      </x:c>
      <x:c r="D12" s="62">
        <x:v>167</x:v>
      </x:c>
      <x:c r="E12" s="62">
        <x:v>154</x:v>
      </x:c>
      <x:c r="F12" s="44">
        <x:f t="shared" si="8"/>
        <x:v>522</x:v>
      </x:c>
      <x:c r="G12" s="45">
        <x:f t="shared" si="9"/>
        <x:v>174</x:v>
      </x:c>
      <x:c r="H12" s="34">
        <x:f t="array" ref="H12:H12">IF(B12="","",IFERROR(INDEX('회원명단 및 기준에버'!D:G,MATCH(B12,'회원명단 및 기준에버'!$C:$C,0),CHOOSE(INT((MONTH($L$2)-1)/3)+1,1,2,3,4)),""))</x:f>
        <x:v>171</x:v>
      </x:c>
      <x:c r="I12" s="38">
        <x:f t="shared" si="3"/>
        <x:v>30</x:v>
      </x:c>
      <x:c r="J12" s="38">
        <x:f t="shared" si="4"/>
        <x:v>-4</x:v>
      </x:c>
      <x:c r="K12" s="38">
        <x:f t="shared" si="5"/>
        <x:v>-17</x:v>
      </x:c>
      <x:c r="L12" s="63">
        <x:f t="shared" si="6"/>
        <x:v>9</x:v>
      </x:c>
      <x:c r="M12" s="39">
        <x:f t="shared" si="7"/>
        <x:v>3</x:v>
      </x:c>
      <x:c r="S12" s="107">
        <x:f t="shared" si="0"/>
        <x:v>47</x:v>
      </x:c>
      <x:c r="T12" s="97">
        <x:f t="shared" si="2"/>
        <x:v>30479</x:v>
      </x:c>
      <x:c r="U12" s="91">
        <x:f t="shared" si="1"/>
        <x:v>15</x:v>
      </x:c>
      <x:c r="V12" s="108"/>
    </x:row>
    <x:row r="13" spans="1:22" ht="24.949999999999999" customHeight="1">
      <x:c r="A13" s="12">
        <x:v>10</x:v>
      </x:c>
      <x:c r="B13" s="13"/>
      <x:c r="C13" s="62"/>
      <x:c r="D13" s="62"/>
      <x:c r="E13" s="62"/>
      <x:c r="F13" s="44">
        <x:f t="shared" si="8"/>
        <x:v>0</x:v>
      </x:c>
      <x:c r="G13" s="45">
        <x:f t="shared" si="9"/>
        <x:v>0</x:v>
      </x:c>
      <x:c r="H13" s="34" t="str">
        <x:f t="array" ref="H13:H13">IF(B13="","",IFERROR(INDEX('회원명단 및 기준에버'!D:G,MATCH(B13,'회원명단 및 기준에버'!$C:$C,0),CHOOSE(INT((MONTH($L$2)-1)/3)+1,1,2,3,4)),""))</x:f>
        <x:v/>
      </x:c>
      <x:c r="I13" s="38">
        <x:f t="shared" si="3"/>
        <x:v>0</x:v>
      </x:c>
      <x:c r="J13" s="38">
        <x:f t="shared" si="4"/>
        <x:v>0</x:v>
      </x:c>
      <x:c r="K13" s="38">
        <x:f t="shared" si="5"/>
        <x:v>0</x:v>
      </x:c>
      <x:c r="L13" s="63">
        <x:f t="shared" si="6"/>
        <x:v>0</x:v>
      </x:c>
      <x:c r="M13" s="39">
        <x:f t="shared" si="7"/>
        <x:v>0</x:v>
      </x:c>
      <x:c r="S13" s="107">
        <x:f t="shared" si="0"/>
        <x:v>0</x:v>
      </x:c>
      <x:c r="T13" s="97">
        <x:f t="shared" si="2"/>
        <x:v>-999999989</x:v>
      </x:c>
      <x:c r="U13" s="91">
        <x:f t="shared" si="1"/>
        <x:v>24</x:v>
      </x:c>
      <x:c r="V13" s="108"/>
    </x:row>
    <x:row r="14" spans="1:22" ht="24.949999999999999" customHeight="1">
      <x:c r="A14" s="12">
        <x:v>11</x:v>
      </x:c>
      <x:c r="B14" s="13" t="s">
        <x:v>37</x:v>
      </x:c>
      <x:c r="C14" s="62">
        <x:v>236</x:v>
      </x:c>
      <x:c r="D14" s="62">
        <x:v>189</x:v>
      </x:c>
      <x:c r="E14" s="62">
        <x:v>232</x:v>
      </x:c>
      <x:c r="F14" s="44">
        <x:f t="shared" si="8"/>
        <x:v>657</x:v>
      </x:c>
      <x:c r="G14" s="45">
        <x:f t="shared" si="9"/>
        <x:v>219</x:v>
      </x:c>
      <x:c r="H14" s="34">
        <x:f t="array" ref="H14:H14">IF(B14="","",IFERROR(INDEX('회원명단 및 기준에버'!D:G,MATCH(B14,'회원명단 및 기준에버'!$C:$C,0),CHOOSE(INT((MONTH($L$2)-1)/3)+1,1,2,3,4)),""))</x:f>
        <x:v>200</x:v>
      </x:c>
      <x:c r="I14" s="38">
        <x:f t="shared" si="3"/>
        <x:v>36</x:v>
      </x:c>
      <x:c r="J14" s="38">
        <x:f t="shared" si="4"/>
        <x:v>-11</x:v>
      </x:c>
      <x:c r="K14" s="38">
        <x:f t="shared" si="5"/>
        <x:v>32</x:v>
      </x:c>
      <x:c r="L14" s="63">
        <x:f t="shared" si="6"/>
        <x:v>57</x:v>
      </x:c>
      <x:c r="M14" s="39">
        <x:f t="shared" si="7"/>
        <x:v>19</x:v>
      </x:c>
      <x:c r="S14" s="107">
        <x:f t="shared" si="0"/>
        <x:v>47</x:v>
      </x:c>
      <x:c r="T14" s="97">
        <x:f t="shared" si="2"/>
        <x:v>190481</x:v>
      </x:c>
      <x:c r="U14" s="91">
        <x:f t="shared" si="1"/>
        <x:v>4</x:v>
      </x:c>
      <x:c r="V14" s="108"/>
    </x:row>
    <x:row r="15" spans="1:22" ht="24.949999999999999" customHeight="1">
      <x:c r="A15" s="12">
        <x:v>12</x:v>
      </x:c>
      <x:c r="B15" s="13" t="s">
        <x:v>32</x:v>
      </x:c>
      <x:c r="C15" s="62">
        <x:v>224</x:v>
      </x:c>
      <x:c r="D15" s="62">
        <x:v>215</x:v>
      </x:c>
      <x:c r="E15" s="62">
        <x:v>259</x:v>
      </x:c>
      <x:c r="F15" s="44">
        <x:f t="shared" si="8"/>
        <x:v>698</x:v>
      </x:c>
      <x:c r="G15" s="45">
        <x:f t="shared" si="9"/>
        <x:v>232.66666666666666</x:v>
      </x:c>
      <x:c r="H15" s="34">
        <x:f t="array" ref="H15:H15">IF(B15="","",IFERROR(INDEX('회원명단 및 기준에버'!D:G,MATCH(B15,'회원명단 및 기준에버'!$C:$C,0),CHOOSE(INT((MONTH($L$2)-1)/3)+1,1,2,3,4)),""))</x:f>
        <x:v>198</x:v>
      </x:c>
      <x:c r="I15" s="38">
        <x:f t="shared" si="3"/>
        <x:v>26</x:v>
      </x:c>
      <x:c r="J15" s="38">
        <x:f t="shared" si="4"/>
        <x:v>17</x:v>
      </x:c>
      <x:c r="K15" s="38">
        <x:f t="shared" si="5"/>
        <x:v>61</x:v>
      </x:c>
      <x:c r="L15" s="63">
        <x:f t="shared" si="6"/>
        <x:v>104</x:v>
      </x:c>
      <x:c r="M15" s="39">
        <x:f t="shared" si="7"/>
        <x:v>34.666666666666657</x:v>
      </x:c>
      <x:c r="S15" s="107">
        <x:f t="shared" si="0"/>
        <x:v>44</x:v>
      </x:c>
      <x:c r="T15" s="97">
        <x:f t="shared" si="2"/>
        <x:v>347118.66666666657</x:v>
      </x:c>
      <x:c r="U15" s="91">
        <x:f t="shared" si="1"/>
        <x:v>2</x:v>
      </x:c>
      <x:c r="V15" s="108"/>
    </x:row>
    <x:row r="16" spans="1:22" ht="24.949999999999999" customHeight="1">
      <x:c r="A16" s="12">
        <x:v>13</x:v>
      </x:c>
      <x:c r="B16" s="13" t="s">
        <x:v>20</x:v>
      </x:c>
      <x:c r="C16" s="62">
        <x:v>204</x:v>
      </x:c>
      <x:c r="D16" s="62">
        <x:v>206</x:v>
      </x:c>
      <x:c r="E16" s="62">
        <x:v>245</x:v>
      </x:c>
      <x:c r="F16" s="44">
        <x:f t="shared" si="8"/>
        <x:v>655</x:v>
      </x:c>
      <x:c r="G16" s="45">
        <x:f t="shared" si="9"/>
        <x:v>218.33333333333334</x:v>
      </x:c>
      <x:c r="H16" s="34">
        <x:f t="array" ref="H16:H16">IF(B16="","",IFERROR(INDEX('회원명단 및 기준에버'!D:G,MATCH(B16,'회원명단 및 기준에버'!$C:$C,0),CHOOSE(INT((MONTH($L$2)-1)/3)+1,1,2,3,4)),""))</x:f>
        <x:v>196</x:v>
      </x:c>
      <x:c r="I16" s="38">
        <x:f t="shared" si="3"/>
        <x:v>8</x:v>
      </x:c>
      <x:c r="J16" s="38">
        <x:f t="shared" si="4"/>
        <x:v>10</x:v>
      </x:c>
      <x:c r="K16" s="38">
        <x:f t="shared" si="5"/>
        <x:v>49</x:v>
      </x:c>
      <x:c r="L16" s="63">
        <x:f t="shared" si="6"/>
        <x:v>67</x:v>
      </x:c>
      <x:c r="M16" s="39">
        <x:f t="shared" si="7"/>
        <x:v>22.333333333333343</x:v>
      </x:c>
      <x:c r="S16" s="107">
        <x:f t="shared" si="0"/>
        <x:v>41</x:v>
      </x:c>
      <x:c r="T16" s="97">
        <x:f t="shared" si="2"/>
        <x:v>223756.33333333343</x:v>
      </x:c>
      <x:c r="U16" s="91">
        <x:f t="shared" si="1"/>
        <x:v>3</x:v>
      </x:c>
      <x:c r="V16" s="108"/>
    </x:row>
    <x:row r="17" spans="1:22" ht="24.949999999999999" customHeight="1">
      <x:c r="A17" s="12">
        <x:v>14</x:v>
      </x:c>
      <x:c r="B17" s="13" t="s">
        <x:v>34</x:v>
      </x:c>
      <x:c r="C17" s="62">
        <x:v>166</x:v>
      </x:c>
      <x:c r="D17" s="62">
        <x:v>157</x:v>
      </x:c>
      <x:c r="E17" s="62">
        <x:v>161</x:v>
      </x:c>
      <x:c r="F17" s="44">
        <x:f t="shared" si="8"/>
        <x:v>484</x:v>
      </x:c>
      <x:c r="G17" s="45">
        <x:f t="shared" si="9"/>
        <x:v>161.33333333333334</x:v>
      </x:c>
      <x:c r="H17" s="34">
        <x:f t="array" ref="H17:H17">IF(B17="","",IFERROR(INDEX('회원명단 및 기준에버'!D:G,MATCH(B17,'회원명단 및 기준에버'!$C:$C,0),CHOOSE(INT((MONTH($L$2)-1)/3)+1,1,2,3,4)),""))</x:f>
        <x:v>183</x:v>
      </x:c>
      <x:c r="I17" s="38">
        <x:f t="shared" si="3"/>
        <x:v>-17</x:v>
      </x:c>
      <x:c r="J17" s="38">
        <x:f t="shared" si="4"/>
        <x:v>-26</x:v>
      </x:c>
      <x:c r="K17" s="38">
        <x:f t="shared" si="5"/>
        <x:v>-22</x:v>
      </x:c>
      <x:c r="L17" s="63">
        <x:f t="shared" si="6"/>
        <x:v>-65</x:v>
      </x:c>
      <x:c r="M17" s="39">
        <x:f t="shared" si="7"/>
        <x:v>-21.666666666666657</x:v>
      </x:c>
      <x:c r="S17" s="107">
        <x:f t="shared" si="0"/>
        <x:v>9</x:v>
      </x:c>
      <x:c r="T17" s="97">
        <x:f t="shared" si="2"/>
        <x:v>-216562.66666666657</x:v>
      </x:c>
      <x:c r="U17" s="91">
        <x:f t="shared" si="1"/>
        <x:v>21</x:v>
      </x:c>
      <x:c r="V17" s="108"/>
    </x:row>
    <x:row r="18" spans="1:22" ht="24.949999999999999" customHeight="1">
      <x:c r="A18" s="12">
        <x:v>15</x:v>
      </x:c>
      <x:c r="B18" s="13" t="s">
        <x:v>31</x:v>
      </x:c>
      <x:c r="C18" s="62">
        <x:v>145</x:v>
      </x:c>
      <x:c r="D18" s="62">
        <x:v>183</x:v>
      </x:c>
      <x:c r="E18" s="62">
        <x:v>146</x:v>
      </x:c>
      <x:c r="F18" s="44">
        <x:f t="shared" si="8"/>
        <x:v>474</x:v>
      </x:c>
      <x:c r="G18" s="45">
        <x:f t="shared" si="9"/>
        <x:v>158</x:v>
      </x:c>
      <x:c r="H18" s="34">
        <x:f t="array" ref="H18:H18">IF(B18="","",IFERROR(INDEX('회원명단 및 기준에버'!D:G,MATCH(B18,'회원명단 및 기준에버'!$C:$C,0),CHOOSE(INT((MONTH($L$2)-1)/3)+1,1,2,3,4)),""))</x:f>
        <x:v>151</x:v>
      </x:c>
      <x:c r="I18" s="38">
        <x:f t="shared" si="3"/>
        <x:v>-6</x:v>
      </x:c>
      <x:c r="J18" s="38">
        <x:f t="shared" si="4"/>
        <x:v>32</x:v>
      </x:c>
      <x:c r="K18" s="38">
        <x:f t="shared" si="5"/>
        <x:v>-5</x:v>
      </x:c>
      <x:c r="L18" s="63">
        <x:f t="shared" si="6"/>
        <x:v>21</x:v>
      </x:c>
      <x:c r="M18" s="39">
        <x:f t="shared" si="7"/>
        <x:v>7</x:v>
      </x:c>
      <x:c r="S18" s="107">
        <x:f t="shared" si="0"/>
        <x:v>38</x:v>
      </x:c>
      <x:c r="T18" s="97">
        <x:f t="shared" si="2"/>
        <x:v>70395</x:v>
      </x:c>
      <x:c r="U18" s="91">
        <x:f t="shared" si="1"/>
        <x:v>9</x:v>
      </x:c>
      <x:c r="V18" s="108"/>
    </x:row>
    <x:row r="19" spans="1:22" ht="24.949999999999999" customHeight="1">
      <x:c r="A19" s="12">
        <x:v>16</x:v>
      </x:c>
      <x:c r="B19" s="13" t="s">
        <x:v>36</x:v>
      </x:c>
      <x:c r="C19" s="62">
        <x:v>224</x:v>
      </x:c>
      <x:c r="D19" s="62">
        <x:v>157</x:v>
      </x:c>
      <x:c r="E19" s="62">
        <x:v>256</x:v>
      </x:c>
      <x:c r="F19" s="44">
        <x:f t="shared" si="8"/>
        <x:v>637</x:v>
      </x:c>
      <x:c r="G19" s="45">
        <x:f t="shared" si="9"/>
        <x:v>212.33333333333334</x:v>
      </x:c>
      <x:c r="H19" s="34">
        <x:f t="array" ref="H19:H19">IF(B19="","",IFERROR(INDEX('회원명단 및 기준에버'!D:G,MATCH(B19,'회원명단 및 기준에버'!$C:$C,0),CHOOSE(INT((MONTH($L$2)-1)/3)+1,1,2,3,4)),""))</x:f>
        <x:v>200</x:v>
      </x:c>
      <x:c r="I19" s="38">
        <x:f t="shared" si="3"/>
        <x:v>24</x:v>
      </x:c>
      <x:c r="J19" s="38">
        <x:f t="shared" si="4"/>
        <x:v>-43</x:v>
      </x:c>
      <x:c r="K19" s="38">
        <x:f t="shared" si="5"/>
        <x:v>56</x:v>
      </x:c>
      <x:c r="L19" s="63">
        <x:f t="shared" si="6"/>
        <x:v>37</x:v>
      </x:c>
      <x:c r="M19" s="39">
        <x:f t="shared" si="7"/>
        <x:v>12.333333333333343</x:v>
      </x:c>
      <x:c r="S19" s="107">
        <x:f t="shared" si="0"/>
        <x:v>99</x:v>
      </x:c>
      <x:c r="T19" s="97">
        <x:f t="shared" si="2"/>
        <x:v>124339.33333333343</x:v>
      </x:c>
      <x:c r="U19" s="91">
        <x:f t="shared" si="1"/>
        <x:v>8</x:v>
      </x:c>
      <x:c r="V19" s="108"/>
    </x:row>
    <x:row r="20" spans="1:22" ht="24.949999999999999" customHeight="1">
      <x:c r="A20" s="12">
        <x:v>17</x:v>
      </x:c>
      <x:c r="B20" s="13" t="s">
        <x:v>56</x:v>
      </x:c>
      <x:c r="C20" s="62">
        <x:v>184</x:v>
      </x:c>
      <x:c r="D20" s="62">
        <x:v>257</x:v>
      </x:c>
      <x:c r="E20" s="62">
        <x:v>169</x:v>
      </x:c>
      <x:c r="F20" s="44">
        <x:f t="shared" si="8"/>
        <x:v>610</x:v>
      </x:c>
      <x:c r="G20" s="45">
        <x:f t="shared" si="9"/>
        <x:v>203.33333333333334</x:v>
      </x:c>
      <x:c r="H20" s="34">
        <x:f t="array" ref="H20:H20">IF(B20="","",IFERROR(INDEX('회원명단 및 기준에버'!D:G,MATCH(B20,'회원명단 및 기준에버'!$C:$C,0),CHOOSE(INT((MONTH($L$2)-1)/3)+1,1,2,3,4)),""))</x:f>
        <x:v>198</x:v>
      </x:c>
      <x:c r="I20" s="38">
        <x:f t="shared" si="3"/>
        <x:v>-14</x:v>
      </x:c>
      <x:c r="J20" s="38">
        <x:f t="shared" si="4"/>
        <x:v>59</x:v>
      </x:c>
      <x:c r="K20" s="38">
        <x:f t="shared" si="5"/>
        <x:v>-29</x:v>
      </x:c>
      <x:c r="L20" s="63">
        <x:f t="shared" si="6"/>
        <x:v>16</x:v>
      </x:c>
      <x:c r="M20" s="39">
        <x:f t="shared" si="7"/>
        <x:v>5.3333333333333428</x:v>
      </x:c>
      <x:c r="S20" s="107">
        <x:f t="shared" si="0"/>
        <x:v>88</x:v>
      </x:c>
      <x:c r="T20" s="97">
        <x:f t="shared" si="2"/>
        <x:v>54230.33333333343</x:v>
      </x:c>
      <x:c r="U20" s="91">
        <x:f t="shared" si="1"/>
        <x:v>11</x:v>
      </x:c>
      <x:c r="V20" s="108"/>
    </x:row>
    <x:row r="21" spans="1:22" ht="24.949999999999999" customHeight="1">
      <x:c r="A21" s="12">
        <x:v>18</x:v>
      </x:c>
      <x:c r="B21" s="13" t="s">
        <x:v>42</x:v>
      </x:c>
      <x:c r="C21" s="62">
        <x:v>199</x:v>
      </x:c>
      <x:c r="D21" s="62">
        <x:v>189</x:v>
      </x:c>
      <x:c r="E21" s="62">
        <x:v>167</x:v>
      </x:c>
      <x:c r="F21" s="44">
        <x:f t="shared" si="8"/>
        <x:v>555</x:v>
      </x:c>
      <x:c r="G21" s="45">
        <x:f t="shared" si="9"/>
        <x:v>185</x:v>
      </x:c>
      <x:c r="H21" s="34">
        <x:f t="array" ref="H21:H21">IF(B21="","",IFERROR(INDEX('회원명단 및 기준에버'!D:G,MATCH(B21,'회원명단 및 기준에버'!$C:$C,0),CHOOSE(INT((MONTH($L$2)-1)/3)+1,1,2,3,4)),""))</x:f>
        <x:v>184</x:v>
      </x:c>
      <x:c r="I21" s="38">
        <x:f t="shared" si="3"/>
        <x:v>15</x:v>
      </x:c>
      <x:c r="J21" s="38">
        <x:f t="shared" si="4"/>
        <x:v>5</x:v>
      </x:c>
      <x:c r="K21" s="38">
        <x:f t="shared" si="5"/>
        <x:v>-17</x:v>
      </x:c>
      <x:c r="L21" s="63">
        <x:f t="shared" si="6"/>
        <x:v>3</x:v>
      </x:c>
      <x:c r="M21" s="39">
        <x:f t="shared" si="7"/>
        <x:v>1</x:v>
      </x:c>
      <x:c r="S21" s="107">
        <x:f t="shared" si="0"/>
        <x:v>32</x:v>
      </x:c>
      <x:c r="T21" s="97">
        <x:f t="shared" si="2"/>
        <x:v>10338</x:v>
      </x:c>
      <x:c r="U21" s="91">
        <x:f t="shared" si="1"/>
        <x:v>16</x:v>
      </x:c>
      <x:c r="V21" s="108"/>
    </x:row>
    <x:row r="22" spans="1:22" ht="24.949999999999999" customHeight="1">
      <x:c r="A22" s="12">
        <x:v>19</x:v>
      </x:c>
      <x:c r="B22" s="13" t="s">
        <x:v>16</x:v>
      </x:c>
      <x:c r="C22" s="62">
        <x:v>216</x:v>
      </x:c>
      <x:c r="D22" s="62">
        <x:v>181</x:v>
      </x:c>
      <x:c r="E22" s="62">
        <x:v>194</x:v>
      </x:c>
      <x:c r="F22" s="44">
        <x:f t="shared" si="8"/>
        <x:v>591</x:v>
      </x:c>
      <x:c r="G22" s="45">
        <x:f t="shared" si="9"/>
        <x:v>197</x:v>
      </x:c>
      <x:c r="H22" s="34">
        <x:f t="array" ref="H22:H22">IF(B22="","",IFERROR(INDEX('회원명단 및 기준에버'!D:G,MATCH(B22,'회원명단 및 기준에버'!$C:$C,0),CHOOSE(INT((MONTH($L$2)-1)/3)+1,1,2,3,4)),""))</x:f>
        <x:v>184</x:v>
      </x:c>
      <x:c r="I22" s="38">
        <x:f t="shared" si="3"/>
        <x:v>32</x:v>
      </x:c>
      <x:c r="J22" s="38">
        <x:f t="shared" si="4"/>
        <x:v>-3</x:v>
      </x:c>
      <x:c r="K22" s="38">
        <x:f t="shared" si="5"/>
        <x:v>10</x:v>
      </x:c>
      <x:c r="L22" s="63">
        <x:f t="shared" si="6"/>
        <x:v>39</x:v>
      </x:c>
      <x:c r="M22" s="39">
        <x:f t="shared" si="7"/>
        <x:v>13</x:v>
      </x:c>
      <x:c r="S22" s="107">
        <x:f t="shared" si="0"/>
        <x:v>35</x:v>
      </x:c>
      <x:c r="T22" s="97">
        <x:f t="shared" si="2"/>
        <x:v>130369</x:v>
      </x:c>
      <x:c r="U22" s="91">
        <x:f t="shared" si="1"/>
        <x:v>7</x:v>
      </x:c>
      <x:c r="V22" s="108"/>
    </x:row>
    <x:row r="23" spans="1:22" ht="24.949999999999999" customHeight="1">
      <x:c r="A23" s="12">
        <x:v>20</x:v>
      </x:c>
      <x:c r="B23" s="13" t="s">
        <x:v>45</x:v>
      </x:c>
      <x:c r="C23" s="62">
        <x:v>184</x:v>
      </x:c>
      <x:c r="D23" s="62">
        <x:v>189</x:v>
      </x:c>
      <x:c r="E23" s="62">
        <x:v>193</x:v>
      </x:c>
      <x:c r="F23" s="44">
        <x:f t="shared" si="8"/>
        <x:v>566</x:v>
      </x:c>
      <x:c r="G23" s="45">
        <x:f t="shared" si="9"/>
        <x:v>188.66666666666666</x:v>
      </x:c>
      <x:c r="H23" s="34">
        <x:f t="array" ref="H23:H23">IF(B23="","",IFERROR(INDEX('회원명단 및 기준에버'!D:G,MATCH(B23,'회원명단 및 기준에버'!$C:$C,0),CHOOSE(INT((MONTH($L$2)-1)/3)+1,1,2,3,4)),""))</x:f>
        <x:v>182</x:v>
      </x:c>
      <x:c r="I23" s="38">
        <x:f t="shared" si="3"/>
        <x:v>2</x:v>
      </x:c>
      <x:c r="J23" s="38">
        <x:f t="shared" si="4"/>
        <x:v>7</x:v>
      </x:c>
      <x:c r="K23" s="38">
        <x:f t="shared" si="5"/>
        <x:v>11</x:v>
      </x:c>
      <x:c r="L23" s="63">
        <x:f t="shared" si="6"/>
        <x:v>20</x:v>
      </x:c>
      <x:c r="M23" s="39">
        <x:f t="shared" si="7"/>
        <x:v>6.6666666666666572</x:v>
      </x:c>
      <x:c r="S23" s="107">
        <x:f t="shared" si="0"/>
        <x:v>9</x:v>
      </x:c>
      <x:c r="T23" s="97">
        <x:f t="shared" si="2"/>
        <x:v>66776.66666666657</x:v>
      </x:c>
      <x:c r="U23" s="91">
        <x:f t="shared" si="1"/>
        <x:v>10</x:v>
      </x:c>
      <x:c r="V23" s="108"/>
    </x:row>
    <x:row r="24" spans="1:22" ht="24.949999999999999" customHeight="1">
      <x:c r="A24" s="12">
        <x:v>21</x:v>
      </x:c>
      <x:c r="B24" s="13" t="s">
        <x:v>49</x:v>
      </x:c>
      <x:c r="C24" s="62">
        <x:v>225</x:v>
      </x:c>
      <x:c r="D24" s="62">
        <x:v>205</x:v>
      </x:c>
      <x:c r="E24" s="62">
        <x:v>167</x:v>
      </x:c>
      <x:c r="F24" s="44">
        <x:f t="shared" si="8"/>
        <x:v>597</x:v>
      </x:c>
      <x:c r="G24" s="45">
        <x:f t="shared" si="9"/>
        <x:v>199</x:v>
      </x:c>
      <x:c r="H24" s="34">
        <x:f t="array" ref="H24:H24">IF(B24="","",IFERROR(INDEX('회원명단 및 기준에버'!D:G,MATCH(B24,'회원명단 및 기준에버'!$C:$C,0),CHOOSE(INT((MONTH($L$2)-1)/3)+1,1,2,3,4)),""))</x:f>
        <x:v>196</x:v>
      </x:c>
      <x:c r="I24" s="38">
        <x:f t="shared" si="3"/>
        <x:v>29</x:v>
      </x:c>
      <x:c r="J24" s="38">
        <x:f t="shared" si="4"/>
        <x:v>9</x:v>
      </x:c>
      <x:c r="K24" s="38">
        <x:f t="shared" si="5"/>
        <x:v>-29</x:v>
      </x:c>
      <x:c r="L24" s="63">
        <x:f t="shared" si="6"/>
        <x:v>9</x:v>
      </x:c>
      <x:c r="M24" s="39">
        <x:f t="shared" si="7"/>
        <x:v>3</x:v>
      </x:c>
      <x:c r="S24" s="107">
        <x:f t="shared" si="0"/>
        <x:v>58</x:v>
      </x:c>
      <x:c r="T24" s="97">
        <x:f t="shared" si="2"/>
        <x:v>30601</x:v>
      </x:c>
      <x:c r="U24" s="91">
        <x:f t="shared" si="1"/>
        <x:v>14</x:v>
      </x:c>
      <x:c r="V24" s="108"/>
    </x:row>
    <x:row r="25" spans="1:22" ht="24.949999999999999" customHeight="1">
      <x:c r="A25" s="12">
        <x:v>22</x:v>
      </x:c>
      <x:c r="B25" s="13" t="s">
        <x:v>17</x:v>
      </x:c>
      <x:c r="C25" s="62">
        <x:v>162</x:v>
      </x:c>
      <x:c r="D25" s="62">
        <x:v>168</x:v>
      </x:c>
      <x:c r="E25" s="62">
        <x:v>217</x:v>
      </x:c>
      <x:c r="F25" s="44">
        <x:f t="shared" si="8"/>
        <x:v>547</x:v>
      </x:c>
      <x:c r="G25" s="45">
        <x:f t="shared" si="9"/>
        <x:v>182.33333333333334</x:v>
      </x:c>
      <x:c r="H25" s="34">
        <x:f t="array" ref="H25:H25">IF(B25="","",IFERROR(INDEX('회원명단 및 기준에버'!D:G,MATCH(B25,'회원명단 및 기준에버'!$C:$C,0),CHOOSE(INT((MONTH($L$2)-1)/3)+1,1,2,3,4)),""))</x:f>
        <x:v>184</x:v>
      </x:c>
      <x:c r="I25" s="38">
        <x:f t="shared" si="3"/>
        <x:v>-22</x:v>
      </x:c>
      <x:c r="J25" s="38">
        <x:f t="shared" si="4"/>
        <x:v>-16</x:v>
      </x:c>
      <x:c r="K25" s="38">
        <x:f t="shared" si="5"/>
        <x:v>33</x:v>
      </x:c>
      <x:c r="L25" s="63">
        <x:f t="shared" si="6"/>
        <x:v>-5</x:v>
      </x:c>
      <x:c r="M25" s="39">
        <x:f t="shared" si="7"/>
        <x:v>-1.6666666666666572</x:v>
      </x:c>
      <x:c r="S25" s="107">
        <x:f t="shared" si="0"/>
        <x:v>55</x:v>
      </x:c>
      <x:c r="T25" s="97">
        <x:f t="shared" si="2"/>
        <x:v>-16094.666666666573</x:v>
      </x:c>
      <x:c r="U25" s="91">
        <x:f t="shared" si="1"/>
        <x:v>18</x:v>
      </x:c>
      <x:c r="V25" s="108"/>
    </x:row>
    <x:row r="26" spans="1:22" ht="24.949999999999999" customHeight="1">
      <x:c r="A26" s="12">
        <x:v>23</x:v>
      </x:c>
      <x:c r="B26" s="13" t="s">
        <x:v>18</x:v>
      </x:c>
      <x:c r="C26" s="62">
        <x:v>183</x:v>
      </x:c>
      <x:c r="D26" s="62">
        <x:v>217</x:v>
      </x:c>
      <x:c r="E26" s="62">
        <x:v>160</x:v>
      </x:c>
      <x:c r="F26" s="44">
        <x:f t="shared" si="8"/>
        <x:v>560</x:v>
      </x:c>
      <x:c r="G26" s="45">
        <x:f t="shared" si="9"/>
        <x:v>186.66666666666666</x:v>
      </x:c>
      <x:c r="H26" s="34">
        <x:f t="array" ref="H26:H26">IF(B26="","",IFERROR(INDEX('회원명단 및 기준에버'!D:G,MATCH(B26,'회원명단 및 기준에버'!$C:$C,0),CHOOSE(INT((MONTH($L$2)-1)/3)+1,1,2,3,4)),""))</x:f>
        <x:v>192</x:v>
      </x:c>
      <x:c r="I26" s="38">
        <x:f t="shared" si="3"/>
        <x:v>-9</x:v>
      </x:c>
      <x:c r="J26" s="38">
        <x:f t="shared" si="4"/>
        <x:v>25</x:v>
      </x:c>
      <x:c r="K26" s="38">
        <x:f t="shared" si="5"/>
        <x:v>-32</x:v>
      </x:c>
      <x:c r="L26" s="63">
        <x:f t="shared" si="6"/>
        <x:v>-16</x:v>
      </x:c>
      <x:c r="M26" s="39">
        <x:f t="shared" si="7"/>
        <x:v>-5.3333333333333428</x:v>
      </x:c>
      <x:c r="S26" s="107">
        <x:f t="shared" si="0"/>
        <x:v>57</x:v>
      </x:c>
      <x:c r="T26" s="97">
        <x:f t="shared" si="2"/>
        <x:v>-52740.33333333343</x:v>
      </x:c>
      <x:c r="U26" s="91">
        <x:f t="shared" si="1"/>
        <x:v>19</x:v>
      </x:c>
      <x:c r="V26" s="108"/>
    </x:row>
    <x:row r="27" spans="1:22" ht="24.949999999999999" customHeight="1">
      <x:c r="A27" s="12">
        <x:v>24</x:v>
      </x:c>
      <x:c r="B27" s="13" t="s">
        <x:v>35</x:v>
      </x:c>
      <x:c r="C27" s="62">
        <x:v>145</x:v>
      </x:c>
      <x:c r="D27" s="62">
        <x:v>169</x:v>
      </x:c>
      <x:c r="E27" s="62">
        <x:v>197</x:v>
      </x:c>
      <x:c r="F27" s="44">
        <x:f t="shared" si="8"/>
        <x:v>511</x:v>
      </x:c>
      <x:c r="G27" s="45">
        <x:f t="shared" si="9"/>
        <x:v>170.33333333333334</x:v>
      </x:c>
      <x:c r="H27" s="34">
        <x:f t="array" ref="H27:H27">IF(B27="","",IFERROR(INDEX('회원명단 및 기준에버'!D:G,MATCH(B27,'회원명단 및 기준에버'!$C:$C,0),CHOOSE(INT((MONTH($L$2)-1)/3)+1,1,2,3,4)),""))</x:f>
        <x:v>165</x:v>
      </x:c>
      <x:c r="I27" s="38">
        <x:f t="shared" si="3"/>
        <x:v>-20</x:v>
      </x:c>
      <x:c r="J27" s="38">
        <x:f t="shared" si="4"/>
        <x:v>4</x:v>
      </x:c>
      <x:c r="K27" s="38">
        <x:f t="shared" si="5"/>
        <x:v>32</x:v>
      </x:c>
      <x:c r="L27" s="63">
        <x:f t="shared" si="6"/>
        <x:v>16</x:v>
      </x:c>
      <x:c r="M27" s="39">
        <x:f t="shared" si="7"/>
        <x:v>5.3333333333333428</x:v>
      </x:c>
      <x:c r="S27" s="107">
        <x:f t="shared" si="0"/>
        <x:v>52</x:v>
      </x:c>
      <x:c r="T27" s="97">
        <x:f t="shared" si="2"/>
        <x:v>53877.33333333343</x:v>
      </x:c>
      <x:c r="U27" s="91">
        <x:f t="shared" si="1"/>
        <x:v>12</x:v>
      </x:c>
      <x:c r="V27" s="108"/>
    </x:row>
    <x:row r="28" spans="2:13" s="18" customFormat="1" ht="24.949999999999999" customHeight="1">
      <x:c r="B28" s="168" t="s">
        <x:v>63</x:v>
      </x:c>
      <x:c r="C28" s="169"/>
      <x:c r="D28" s="169"/>
      <x:c r="E28" s="169"/>
      <x:c r="F28" s="169"/>
      <x:c r="G28" s="169"/>
      <x:c r="H28" s="169"/>
      <x:c r="I28" s="169"/>
      <x:c r="J28" s="169"/>
      <x:c r="K28" s="169"/>
      <x:c r="L28" s="169"/>
      <x:c r="M28" s="170"/>
    </x:row>
    <x:row r="29" spans="2:13" s="18" customFormat="1" ht="24.949999999999999" customHeight="1">
      <x:c r="B29" s="171" t="s">
        <x:v>68</x:v>
      </x:c>
      <x:c r="C29" s="172"/>
      <x:c r="D29" s="172"/>
      <x:c r="E29" s="173"/>
      <x:c r="F29" s="174" t="s">
        <x:v>28</x:v>
      </x:c>
      <x:c r="G29" s="176" t="s">
        <x:v>14</x:v>
      </x:c>
      <x:c r="H29" s="177"/>
      <x:c r="I29" s="178"/>
      <x:c r="J29" s="179" t="s">
        <x:v>55</x:v>
      </x:c>
      <x:c r="K29" s="180"/>
      <x:c r="L29" s="180"/>
      <x:c r="M29" s="181"/>
    </x:row>
    <x:row r="30" spans="2:13" s="18" customFormat="1" ht="24.949999999999999" customHeight="1">
      <x:c r="B30" s="54" t="s">
        <x:v>48</x:v>
      </x:c>
      <x:c r="C30" s="24">
        <x:v>43</x:v>
      </x:c>
      <x:c r="D30" s="55" t="s">
        <x:v>21</x:v>
      </x:c>
      <x:c r="E30" s="56">
        <x:v>16.300000000000001</x:v>
      </x:c>
      <x:c r="F30" s="175"/>
      <x:c r="G30" s="182" t="s">
        <x:v>62</x:v>
      </x:c>
      <x:c r="H30" s="183"/>
      <x:c r="I30" s="184"/>
      <x:c r="J30" s="26"/>
      <x:c r="K30" s="27"/>
      <x:c r="L30" s="27"/>
      <x:c r="M30" s="28"/>
    </x:row>
    <x:row r="31" spans="2:13" s="18" customFormat="1" ht="24.949999999999999" customHeight="1">
      <x:c r="B31" s="155" t="s">
        <x:v>29</x:v>
      </x:c>
      <x:c r="C31" s="156"/>
      <x:c r="D31" s="156"/>
      <x:c r="E31" s="156"/>
      <x:c r="F31" s="156"/>
      <x:c r="G31" s="156"/>
      <x:c r="H31" s="157"/>
      <x:c r="I31" s="158" t="s">
        <x:v>66</x:v>
      </x:c>
      <x:c r="J31" s="159"/>
      <x:c r="K31" s="160" t="s">
        <x:v>67</x:v>
      </x:c>
      <x:c r="L31" s="161"/>
      <x:c r="M31" s="162"/>
    </x:row>
    <x:row r="32" spans="2:13" s="18" customFormat="1" ht="24.949999999999999" customHeight="1">
      <x:c r="B32" s="21" t="s">
        <x:v>36</x:v>
      </x:c>
      <x:c r="C32" s="64">
        <x:v>224</x:v>
      </x:c>
      <x:c r="D32" s="32"/>
      <x:c r="E32" s="67"/>
      <x:c r="F32" s="30"/>
      <x:c r="G32" s="70"/>
      <x:c r="H32" s="157"/>
      <x:c r="I32" s="23"/>
      <x:c r="J32" s="50"/>
      <x:c r="K32" s="57"/>
      <x:c r="L32" s="58"/>
      <x:c r="M32" s="59"/>
    </x:row>
    <x:row r="33" spans="2:13" s="18" customFormat="1" ht="24.949999999999999" customHeight="1">
      <x:c r="B33" s="46" t="s">
        <x:v>37</x:v>
      </x:c>
      <x:c r="C33" s="65">
        <x:v>236</x:v>
      </x:c>
      <x:c r="D33" s="47"/>
      <x:c r="E33" s="68"/>
      <x:c r="F33" s="48"/>
      <x:c r="G33" s="71"/>
      <x:c r="H33" s="157"/>
      <x:c r="I33" s="49"/>
      <x:c r="J33" s="51"/>
      <x:c r="K33" s="57"/>
      <x:c r="L33" s="58"/>
      <x:c r="M33" s="59"/>
    </x:row>
    <x:row r="34" spans="2:13" s="18" customFormat="1" ht="24.949999999999999" customHeight="1">
      <x:c r="B34" s="29"/>
      <x:c r="C34" s="66"/>
      <x:c r="D34" s="33"/>
      <x:c r="E34" s="69"/>
      <x:c r="F34" s="31"/>
      <x:c r="G34" s="72"/>
      <x:c r="H34" s="157"/>
      <x:c r="I34" s="24"/>
      <x:c r="J34" s="52"/>
      <x:c r="K34" s="60"/>
      <x:c r="L34" s="53"/>
      <x:c r="M34" s="61"/>
    </x:row>
    <x:row r="35" spans="1:13" s="18" customFormat="1" ht="24.949999999999999" customHeight="1">
      <x:c r="A35" s="17"/>
      <x:c r="B35" s="163" t="s">
        <x:v>51</x:v>
      </x:c>
      <x:c r="C35" s="164"/>
      <x:c r="D35" s="164"/>
      <x:c r="E35" s="164"/>
      <x:c r="F35" s="164"/>
      <x:c r="G35" s="164"/>
      <x:c r="H35" s="164"/>
      <x:c r="I35" s="164"/>
      <x:c r="J35" s="164"/>
      <x:c r="K35" s="164"/>
      <x:c r="L35" s="164"/>
      <x:c r="M35" s="165"/>
    </x:row>
    <x:row r="36" spans="2:13" s="18" customFormat="1" ht="24.949999999999999" customHeight="1">
      <x:c r="B36" s="35" t="str">
        <x:f>$B4</x:f>
        <x:v>이 우 석</x:v>
      </x:c>
      <x:c r="C36" s="40">
        <x:f>IF($T$2=0,$C4,$I4)</x:f>
        <x:v>-73</x:v>
      </x:c>
      <x:c r="D36" s="40">
        <x:f>IF($T$2=0,$D4,$J4)</x:f>
        <x:v>-9</x:v>
      </x:c>
      <x:c r="E36" s="40">
        <x:f>IF($T$2=0,$E4,$K4)</x:f>
        <x:v>-9</x:v>
      </x:c>
      <x:c r="F36" s="141">
        <x:f>E39</x:f>
        <x:v>-18</x:v>
      </x:c>
      <x:c r="G36" s="144">
        <x:v>3</x:v>
      </x:c>
      <x:c r="H36" s="79" t="str">
        <x:f>$B9</x:f>
        <x:v>장 영 민</x:v>
      </x:c>
      <x:c r="I36" s="135">
        <x:f>IF($T$2=0,$C9,$I9)</x:f>
        <x:v>35</x:v>
      </x:c>
      <x:c r="J36" s="40">
        <x:f>IF($T$2=0,$D9,$J9)</x:f>
        <x:v>-39</x:v>
      </x:c>
      <x:c r="K36" s="40">
        <x:f>IF($T$2=0,$E9,$K9)</x:f>
        <x:v>-30</x:v>
      </x:c>
      <x:c r="L36" s="149">
        <x:f>K38</x:f>
        <x:v>18</x:v>
      </x:c>
      <x:c r="M36" s="152">
        <x:v>2</x:v>
      </x:c>
    </x:row>
    <x:row r="37" spans="2:13" s="18" customFormat="1" ht="24.949999999999999" customHeight="1">
      <x:c r="B37" s="36" t="str">
        <x:f>$B5</x:f>
        <x:v>임 연 진</x:v>
      </x:c>
      <x:c r="C37" s="134">
        <x:f>IF($T$2=0,$C5,$I5)</x:f>
        <x:v>31</x:v>
      </x:c>
      <x:c r="D37" s="41">
        <x:f>IF($T$2=0,$D5,$J5)</x:f>
        <x:v>18</x:v>
      </x:c>
      <x:c r="E37" s="41">
        <x:f>IF($T$2=0,$E5,$K5)</x:f>
        <x:v>0</x:v>
      </x:c>
      <x:c r="F37" s="142"/>
      <x:c r="G37" s="145"/>
      <x:c r="H37" s="36" t="str">
        <x:f>$B10</x:f>
        <x:v>김 정 희</x:v>
      </x:c>
      <x:c r="I37" s="41">
        <x:f>IF($T$2=0,$C10,$I10)</x:f>
        <x:v>7</x:v>
      </x:c>
      <x:c r="J37" s="41">
        <x:f>IF($T$2=0,$D10,$J10)</x:f>
        <x:v>-11</x:v>
      </x:c>
      <x:c r="K37" s="41">
        <x:f>IF($T$2=0,$E10,$K10)</x:f>
        <x:v>55</x:v>
      </x:c>
      <x:c r="L37" s="150"/>
      <x:c r="M37" s="153"/>
    </x:row>
    <x:row r="38" spans="2:13" s="18" customFormat="1" ht="24.949999999999999" customHeight="1">
      <x:c r="B38" s="36" t="str">
        <x:f>$B6</x:f>
        <x:v>박 성 현</x:v>
      </x:c>
      <x:c r="C38" s="134">
        <x:f>IF($T$2=0,$C6,$I6)</x:f>
        <x:v>-20</x:v>
      </x:c>
      <x:c r="D38" s="41">
        <x:f>IF($T$2=0,$D6,$J6)</x:f>
        <x:v>14</x:v>
      </x:c>
      <x:c r="E38" s="41">
        <x:f>IF($T$2=0,$E6,$K6)</x:f>
        <x:v>21</x:v>
      </x:c>
      <x:c r="F38" s="142"/>
      <x:c r="G38" s="145"/>
      <x:c r="H38" s="36" t="str">
        <x:f>$B11</x:f>
        <x:v>천 성 일</x:v>
      </x:c>
      <x:c r="I38" s="134">
        <x:f>IF($T$2=0,$C11,$I11)</x:f>
        <x:v>45</x:v>
      </x:c>
      <x:c r="J38" s="134">
        <x:f>IF($T$2=0,$D11,$J11)</x:f>
        <x:v>66</x:v>
      </x:c>
      <x:c r="K38" s="134">
        <x:f>IF($T$2=0,$E11,$K11)</x:f>
        <x:v>18</x:v>
      </x:c>
      <x:c r="L38" s="150"/>
      <x:c r="M38" s="153"/>
    </x:row>
    <x:row r="39" spans="2:13" s="18" customFormat="1" ht="24.949999999999999" customHeight="1">
      <x:c r="B39" s="36" t="str">
        <x:f>$B7</x:f>
        <x:v>이 재 용</x:v>
      </x:c>
      <x:c r="C39" s="134">
        <x:f>IF($T$2=0,$C7,$I7)</x:f>
        <x:v>-39</x:v>
      </x:c>
      <x:c r="D39" s="134">
        <x:f>IF($T$2=0,$D7,$J7)</x:f>
        <x:v>57</x:v>
      </x:c>
      <x:c r="E39" s="134">
        <x:f>IF($T$2=0,$E7,$K7)</x:f>
        <x:v>-18</x:v>
      </x:c>
      <x:c r="F39" s="142"/>
      <x:c r="G39" s="145"/>
      <x:c r="H39" s="36" t="str">
        <x:f>$B12</x:f>
        <x:v>진 명 옥</x:v>
      </x:c>
      <x:c r="I39" s="134">
        <x:f>IF($T$2=0,$C12,$I12)</x:f>
        <x:v>30</x:v>
      </x:c>
      <x:c r="J39" s="41">
        <x:f>IF($T$2=0,$D12,$J12)</x:f>
        <x:v>-4</x:v>
      </x:c>
      <x:c r="K39" s="41">
        <x:f>IF($T$2=0,$E12,$K12)</x:f>
        <x:v>-17</x:v>
      </x:c>
      <x:c r="L39" s="150"/>
      <x:c r="M39" s="153"/>
    </x:row>
    <x:row r="40" spans="2:13" s="18" customFormat="1" ht="24.949999999999999" customHeight="1">
      <x:c r="B40" s="36" t="str">
        <x:f>$B8</x:f>
        <x:v>김 선 미</x:v>
      </x:c>
      <x:c r="C40" s="41">
        <x:f>IF($T$2=0,$C8,$I8)</x:f>
        <x:v>-38</x:v>
      </x:c>
      <x:c r="D40" s="41">
        <x:f>IF($T$2=0,$D8,$J8)</x:f>
        <x:v>-6</x:v>
      </x:c>
      <x:c r="E40" s="41">
        <x:f>IF($T$2=0,$E8,$K8)</x:f>
        <x:v>-32</x:v>
      </x:c>
      <x:c r="F40" s="142"/>
      <x:c r="G40" s="145"/>
      <x:c r="H40" s="36">
        <x:f>$B13</x:f>
        <x:v>0</x:v>
      </x:c>
      <x:c r="I40" s="41">
        <x:f>IF($T$2=0,$C13,$I13)</x:f>
        <x:v>0</x:v>
      </x:c>
      <x:c r="J40" s="41">
        <x:f>IF($T$2=0,$D13,$J13)</x:f>
        <x:v>0</x:v>
      </x:c>
      <x:c r="K40" s="41">
        <x:f>IF($T$2=0,$E13,$K13)</x:f>
        <x:v>0</x:v>
      </x:c>
      <x:c r="L40" s="150"/>
      <x:c r="M40" s="153"/>
    </x:row>
    <x:row r="41" spans="2:13" s="18" customFormat="1" ht="24.949999999999999" customHeight="1">
      <x:c r="B41" s="37"/>
      <x:c r="C41" s="42">
        <x:f>SUM(C36:C40)</x:f>
        <x:v>-139</x:v>
      </x:c>
      <x:c r="D41" s="42">
        <x:f>SUM(D36:D40)</x:f>
        <x:v>74</x:v>
      </x:c>
      <x:c r="E41" s="42">
        <x:f>SUM(E36:E40)</x:f>
        <x:v>-38</x:v>
      </x:c>
      <x:c r="F41" s="143"/>
      <x:c r="G41" s="146"/>
      <x:c r="H41" s="37"/>
      <x:c r="I41" s="42">
        <x:f>SUM(I36:I40)</x:f>
        <x:v>117</x:v>
      </x:c>
      <x:c r="J41" s="42">
        <x:f>SUM(J36:J40)</x:f>
        <x:v>12</x:v>
      </x:c>
      <x:c r="K41" s="42">
        <x:f>SUM(K36:K40)</x:f>
        <x:v>26</x:v>
      </x:c>
      <x:c r="L41" s="151"/>
      <x:c r="M41" s="154"/>
    </x:row>
    <x:row r="42" s="18" customFormat="1" ht="24.949999999999999" customHeight="1"/>
    <x:row r="43" spans="2:13" s="18" customFormat="1" ht="24.949999999999999" customHeight="1">
      <x:c r="B43" s="35" t="str">
        <x:f>$B14</x:f>
        <x:v>이 대 용</x:v>
      </x:c>
      <x:c r="C43" s="135">
        <x:f>IF($T$2=0,$C14,$I14)</x:f>
        <x:v>36</x:v>
      </x:c>
      <x:c r="D43" s="40">
        <x:f>IF($T$2=0,$D14,$J14)</x:f>
        <x:v>-11</x:v>
      </x:c>
      <x:c r="E43" s="40">
        <x:f>IF($T$2=0,$E14,$K14)</x:f>
        <x:v>32</x:v>
      </x:c>
      <x:c r="F43" s="141">
        <x:f>E44</x:f>
        <x:v>61</x:v>
      </x:c>
      <x:c r="G43" s="144">
        <x:v>1</x:v>
      </x:c>
      <x:c r="H43" s="79" t="str">
        <x:f>$B19</x:f>
        <x:v>변 상 필</x:v>
      </x:c>
      <x:c r="I43" s="135">
        <x:f>IF($T$2=0,$C19,$I19)</x:f>
        <x:v>24</x:v>
      </x:c>
      <x:c r="J43" s="40">
        <x:f>IF($T$2=0,$D19,$J19)</x:f>
        <x:v>-43</x:v>
      </x:c>
      <x:c r="K43" s="40">
        <x:f>IF($T$2=0,$E19,$K19)</x:f>
        <x:v>56</x:v>
      </x:c>
      <x:c r="L43" s="149">
        <x:f>K45</x:f>
        <x:v>-17</x:v>
      </x:c>
      <x:c r="M43" s="152">
        <x:v>4</x:v>
      </x:c>
    </x:row>
    <x:row r="44" spans="2:13" s="17" customFormat="1" ht="24.949999999999999" customHeight="1">
      <x:c r="B44" s="36" t="str">
        <x:f>$B15</x:f>
        <x:v>김 태 환</x:v>
      </x:c>
      <x:c r="C44" s="134">
        <x:f>IF($T$2=0,$C15,$I15)</x:f>
        <x:v>26</x:v>
      </x:c>
      <x:c r="D44" s="134">
        <x:f>IF($T$2=0,$D15,$J15)</x:f>
        <x:v>17</x:v>
      </x:c>
      <x:c r="E44" s="134">
        <x:f>IF($T$2=0,$E15,$K15)</x:f>
        <x:v>61</x:v>
      </x:c>
      <x:c r="F44" s="142"/>
      <x:c r="G44" s="145"/>
      <x:c r="H44" s="36" t="str">
        <x:f>$B20</x:f>
        <x:v>김 종 훈</x:v>
      </x:c>
      <x:c r="I44" s="41">
        <x:f>IF($T$2=0,$C20,$I20)</x:f>
        <x:v>-14</x:v>
      </x:c>
      <x:c r="J44" s="41">
        <x:f>IF($T$2=0,$D20,$J20)</x:f>
        <x:v>59</x:v>
      </x:c>
      <x:c r="K44" s="41">
        <x:f>IF($T$2=0,$E20,$K20)</x:f>
        <x:v>-29</x:v>
      </x:c>
      <x:c r="L44" s="150"/>
      <x:c r="M44" s="153"/>
    </x:row>
    <x:row r="45" spans="2:13" s="17" customFormat="1" ht="24.949999999999999" customHeight="1">
      <x:c r="B45" s="36" t="str">
        <x:f>$B16</x:f>
        <x:v>이 정 석</x:v>
      </x:c>
      <x:c r="C45" s="134">
        <x:f>IF($T$2=0,$C16,$I16)</x:f>
        <x:v>8</x:v>
      </x:c>
      <x:c r="D45" s="41">
        <x:f>IF($T$2=0,$D16,$J16)</x:f>
        <x:v>10</x:v>
      </x:c>
      <x:c r="E45" s="41">
        <x:f>IF($T$2=0,$E16,$K16)</x:f>
        <x:v>49</x:v>
      </x:c>
      <x:c r="F45" s="142"/>
      <x:c r="G45" s="145"/>
      <x:c r="H45" s="36" t="str">
        <x:f>$B21</x:f>
        <x:v>황 인 교</x:v>
      </x:c>
      <x:c r="I45" s="134">
        <x:f>IF($T$2=0,$C21,$I21)</x:f>
        <x:v>15</x:v>
      </x:c>
      <x:c r="J45" s="134">
        <x:f>IF($T$2=0,$D21,$J21)</x:f>
        <x:v>5</x:v>
      </x:c>
      <x:c r="K45" s="134">
        <x:f>IF($T$2=0,$E21,$K21)</x:f>
        <x:v>-17</x:v>
      </x:c>
      <x:c r="L45" s="150"/>
      <x:c r="M45" s="153"/>
    </x:row>
    <x:row r="46" spans="2:13" s="17" customFormat="1" ht="24.949999999999999" customHeight="1">
      <x:c r="B46" s="36" t="str">
        <x:f>$B17</x:f>
        <x:v>지 옥 명</x:v>
      </x:c>
      <x:c r="C46" s="41">
        <x:f>IF($T$2=0,$C17,$I17)</x:f>
        <x:v>-17</x:v>
      </x:c>
      <x:c r="D46" s="41">
        <x:f>IF($T$2=0,$D17,$J17)</x:f>
        <x:v>-26</x:v>
      </x:c>
      <x:c r="E46" s="41">
        <x:f>IF($T$2=0,$E17,$K17)</x:f>
        <x:v>-22</x:v>
      </x:c>
      <x:c r="F46" s="142"/>
      <x:c r="G46" s="145"/>
      <x:c r="H46" s="36" t="str">
        <x:f>$B22</x:f>
        <x:v>엄 정 도</x:v>
      </x:c>
      <x:c r="I46" s="134">
        <x:f>IF($T$2=0,$C22,$I22)</x:f>
        <x:v>32</x:v>
      </x:c>
      <x:c r="J46" s="41">
        <x:f>IF($T$2=0,$D22,$J22)</x:f>
        <x:v>-3</x:v>
      </x:c>
      <x:c r="K46" s="41">
        <x:f>IF($T$2=0,$E22,$K22)</x:f>
        <x:v>10</x:v>
      </x:c>
      <x:c r="L46" s="150"/>
      <x:c r="M46" s="153"/>
    </x:row>
    <x:row r="47" spans="2:13" s="17" customFormat="1" ht="24.949999999999999" customHeight="1">
      <x:c r="B47" s="36" t="str">
        <x:f>$B18</x:f>
        <x:v>손 은 주</x:v>
      </x:c>
      <x:c r="C47" s="41">
        <x:f>IF($T$2=0,$C18,$I18)</x:f>
        <x:v>-6</x:v>
      </x:c>
      <x:c r="D47" s="41">
        <x:f>IF($T$2=0,$D18,$J18)</x:f>
        <x:v>32</x:v>
      </x:c>
      <x:c r="E47" s="41">
        <x:f>IF($T$2=0,$E18,$K18)</x:f>
        <x:v>-5</x:v>
      </x:c>
      <x:c r="F47" s="142"/>
      <x:c r="G47" s="145"/>
      <x:c r="H47" s="36" t="str">
        <x:f>$B23</x:f>
        <x:v>김 미 란</x:v>
      </x:c>
      <x:c r="I47" s="41">
        <x:f>IF($T$2=0,$C23,$I23)</x:f>
        <x:v>2</x:v>
      </x:c>
      <x:c r="J47" s="41">
        <x:f>IF($T$2=0,$D23,$J23)</x:f>
        <x:v>7</x:v>
      </x:c>
      <x:c r="K47" s="41">
        <x:f>IF($T$2=0,$E23,$K23)</x:f>
        <x:v>11</x:v>
      </x:c>
      <x:c r="L47" s="150"/>
      <x:c r="M47" s="153"/>
    </x:row>
    <x:row r="48" spans="2:13" s="17" customFormat="1" ht="24.949999999999999" customHeight="1">
      <x:c r="B48" s="37"/>
      <x:c r="C48" s="42">
        <x:f>SUM(C43:C47)</x:f>
        <x:v>47</x:v>
      </x:c>
      <x:c r="D48" s="42">
        <x:f>SUM(D43:D47)</x:f>
        <x:v>22</x:v>
      </x:c>
      <x:c r="E48" s="42">
        <x:f>SUM(E43:E47)</x:f>
        <x:v>115</x:v>
      </x:c>
      <x:c r="F48" s="143"/>
      <x:c r="G48" s="146"/>
      <x:c r="H48" s="37"/>
      <x:c r="I48" s="42">
        <x:f>SUM(I43:I47)</x:f>
        <x:v>59</x:v>
      </x:c>
      <x:c r="J48" s="42">
        <x:f>SUM(J43:J47)</x:f>
        <x:v>25</x:v>
      </x:c>
      <x:c r="K48" s="42">
        <x:f>SUM(K43:K47)</x:f>
        <x:v>31</x:v>
      </x:c>
      <x:c r="L48" s="151"/>
      <x:c r="M48" s="154"/>
    </x:row>
    <x:row r="49" ht="24.949999999999999" customHeight="1"/>
    <x:row r="50" spans="2:13" ht="24.949999999999999" customHeight="1">
      <x:c r="B50" s="35" t="str">
        <x:f>$B24</x:f>
        <x:v>박 시 진</x:v>
      </x:c>
      <x:c r="C50" s="135">
        <x:f>IF($T$2=0,$C24,$I24)</x:f>
        <x:v>29</x:v>
      </x:c>
      <x:c r="D50" s="40">
        <x:f>IF($T$2=0,$D24,$J24)</x:f>
        <x:v>9</x:v>
      </x:c>
      <x:c r="E50" s="40">
        <x:f>IF($T$2=0,$E24,$K24)</x:f>
        <x:v>-29</x:v>
      </x:c>
      <x:c r="F50" s="141">
        <x:f>E52</x:f>
        <x:v>-32</x:v>
      </x:c>
      <x:c r="G50" s="144">
        <x:v>5</x:v>
      </x:c>
      <x:c r="H50" s="130"/>
      <x:c r="I50" s="131"/>
      <x:c r="J50" s="131"/>
      <x:c r="K50" s="131"/>
      <x:c r="L50" s="124"/>
      <x:c r="M50" s="125"/>
    </x:row>
    <x:row r="51" spans="2:13" ht="24.949999999999999" customHeight="1">
      <x:c r="B51" s="36" t="str">
        <x:f>$B25</x:f>
        <x:v>정 영 우</x:v>
      </x:c>
      <x:c r="C51" s="41">
        <x:f>IF($T$2=0,$C25,$I25)</x:f>
        <x:v>-22</x:v>
      </x:c>
      <x:c r="D51" s="41">
        <x:f>IF($T$2=0,$D25,$J25)</x:f>
        <x:v>-16</x:v>
      </x:c>
      <x:c r="E51" s="41">
        <x:f>IF($T$2=0,$E25,$K25)</x:f>
        <x:v>33</x:v>
      </x:c>
      <x:c r="F51" s="142"/>
      <x:c r="G51" s="145"/>
      <x:c r="H51" s="130"/>
      <x:c r="I51" s="131"/>
      <x:c r="J51" s="131"/>
      <x:c r="K51" s="131"/>
      <x:c r="L51" s="124"/>
      <x:c r="M51" s="125"/>
    </x:row>
    <x:row r="52" spans="2:13" ht="24.949999999999999" customHeight="1">
      <x:c r="B52" s="36" t="str">
        <x:f>$B26</x:f>
        <x:v>나 경 주</x:v>
      </x:c>
      <x:c r="C52" s="134">
        <x:f>IF($T$2=0,$C26,$I26)</x:f>
        <x:v>-9</x:v>
      </x:c>
      <x:c r="D52" s="134">
        <x:f>IF($T$2=0,$D26,$J26)</x:f>
        <x:v>25</x:v>
      </x:c>
      <x:c r="E52" s="134">
        <x:f>IF($T$2=0,$E26,$K26)</x:f>
        <x:v>-32</x:v>
      </x:c>
      <x:c r="F52" s="142"/>
      <x:c r="G52" s="145"/>
      <x:c r="H52" s="130"/>
      <x:c r="I52" s="131"/>
      <x:c r="J52" s="131"/>
      <x:c r="K52" s="131"/>
      <x:c r="L52" s="124"/>
      <x:c r="M52" s="125"/>
    </x:row>
    <x:row r="53" spans="2:13" ht="24.949999999999999" customHeight="1">
      <x:c r="B53" s="36" t="str">
        <x:f>$B27</x:f>
        <x:v>이 승 미</x:v>
      </x:c>
      <x:c r="C53" s="134">
        <x:f>IF($T$2=0,$C27,$I27)</x:f>
        <x:v>-20</x:v>
      </x:c>
      <x:c r="D53" s="41">
        <x:f>IF($T$2=0,$D27,$J27)</x:f>
        <x:v>4</x:v>
      </x:c>
      <x:c r="E53" s="41">
        <x:f>IF($T$2=0,$E27,$K27)</x:f>
        <x:v>32</x:v>
      </x:c>
      <x:c r="F53" s="142"/>
      <x:c r="G53" s="145"/>
      <x:c r="H53" s="130"/>
      <x:c r="I53" s="131"/>
      <x:c r="J53" s="131"/>
      <x:c r="K53" s="131"/>
      <x:c r="L53" s="124"/>
      <x:c r="M53" s="125"/>
    </x:row>
    <x:row r="54" spans="2:13" ht="24.949999999999999" customHeight="1">
      <x:c r="B54" s="36"/>
      <x:c r="C54" s="41"/>
      <x:c r="D54" s="41"/>
      <x:c r="E54" s="41"/>
      <x:c r="F54" s="142"/>
      <x:c r="G54" s="145"/>
      <x:c r="H54" s="130"/>
      <x:c r="I54" s="131"/>
      <x:c r="J54" s="131"/>
      <x:c r="K54" s="131"/>
      <x:c r="L54" s="124"/>
      <x:c r="M54" s="125"/>
    </x:row>
    <x:row r="55" spans="2:13" ht="24.949999999999999" customHeight="1">
      <x:c r="B55" s="37"/>
      <x:c r="C55" s="42">
        <x:f>SUM(C50:C54)</x:f>
        <x:v>-22</x:v>
      </x:c>
      <x:c r="D55" s="42">
        <x:f>SUM(D50:D54)</x:f>
        <x:v>22</x:v>
      </x:c>
      <x:c r="E55" s="42">
        <x:f>SUM(E50:E54)</x:f>
        <x:v>4</x:v>
      </x:c>
      <x:c r="F55" s="143"/>
      <x:c r="G55" s="146"/>
      <x:c r="H55" s="130"/>
      <x:c r="I55" s="132"/>
      <x:c r="J55" s="132"/>
      <x:c r="K55" s="132"/>
      <x:c r="L55" s="124"/>
      <x:c r="M55" s="125"/>
    </x:row>
    <x:row r="56" ht="24.949999999999999" customHeight="1"/>
    <x:row r="57" ht="24.949999999999999" customHeight="1"/>
    <x:row r="58" ht="24.949999999999999" customHeight="1"/>
    <x:row r="59" spans="1:13" ht="60" customHeight="1">
      <x:c r="A59" s="185" t="str">
        <x:f>A1</x:f>
        <x:v>2026 아르케 존 00회 정기 모임 점수</x:v>
      </x:c>
      <x:c r="B59" s="185"/>
      <x:c r="C59" s="185"/>
      <x:c r="D59" s="185"/>
      <x:c r="E59" s="185"/>
      <x:c r="F59" s="185"/>
      <x:c r="G59" s="185"/>
      <x:c r="H59" s="185"/>
      <x:c r="I59" s="185"/>
      <x:c r="J59" s="185"/>
      <x:c r="K59" s="185"/>
      <x:c r="L59" s="185"/>
      <x:c r="M59" s="185"/>
    </x:row>
    <x:row r="60" spans="1:13" ht="24.949999999999999" customHeight="1">
      <x:c r="A60" s="77"/>
      <x:c r="B60" s="77"/>
      <x:c r="C60" s="77"/>
      <x:c r="D60" s="77"/>
      <x:c r="E60" s="77"/>
      <x:c r="F60" s="77"/>
      <x:c r="G60" s="77"/>
      <x:c r="H60" s="77"/>
      <x:c r="I60" s="77"/>
      <x:c r="J60" s="77"/>
      <x:c r="K60" s="78" t="s">
        <x:v>8</x:v>
      </x:c>
      <x:c r="L60" s="166">
        <x:f>L2</x:f>
        <x:v>46072</x:v>
      </x:c>
      <x:c r="M60" s="167"/>
    </x:row>
    <x:row r="61" spans="1:13" ht="24.949999999999999" customHeight="1">
      <x:c r="A61" s="20"/>
      <x:c r="B61" s="14" t="s">
        <x:v>53</x:v>
      </x:c>
      <x:c r="C61" s="14" t="s">
        <x:v>2</x:v>
      </x:c>
      <x:c r="D61" s="14" t="s">
        <x:v>0</x:v>
      </x:c>
      <x:c r="E61" s="14" t="s">
        <x:v>10</x:v>
      </x:c>
      <x:c r="F61" s="14" t="s">
        <x:v>9</x:v>
      </x:c>
      <x:c r="G61" s="14" t="s">
        <x:v>6</x:v>
      </x:c>
      <x:c r="H61" s="16" t="s">
        <x:v>57</x:v>
      </x:c>
      <x:c r="I61" s="14" t="s">
        <x:v>2</x:v>
      </x:c>
      <x:c r="J61" s="14" t="s">
        <x:v>0</x:v>
      </x:c>
      <x:c r="K61" s="14" t="s">
        <x:v>10</x:v>
      </x:c>
      <x:c r="L61" s="15" t="s">
        <x:v>9</x:v>
      </x:c>
      <x:c r="M61" s="22" t="s">
        <x:v>13</x:v>
      </x:c>
    </x:row>
    <x:row r="62" spans="1:13" ht="24.949999999999999" customHeight="1">
      <x:c r="A62" s="12">
        <x:v>1</x:v>
      </x:c>
      <x:c r="B62" s="13" t="str">
        <x:f t="array" ref="B62:B62">INDEX($B$4:$M$27,MATCH($A62,$U$4:$U$27,0),COLUMN(A$1))</x:f>
        <x:v>천 성 일</x:v>
      </x:c>
      <x:c r="C62" s="62">
        <x:f t="array" ref="C62:C62">INDEX($B$4:$M$27,MATCH($A62,$U$4:$U$27,0),COLUMN(B$1))</x:f>
        <x:v>236</x:v>
      </x:c>
      <x:c r="D62" s="62">
        <x:f t="array" ref="D62:D62">INDEX($B$4:$M$27,MATCH($A62,$U$4:$U$27,0),COLUMN(C$1))</x:f>
        <x:v>257</x:v>
      </x:c>
      <x:c r="E62" s="62">
        <x:f t="array" ref="E62:E62">INDEX($B$4:$M$27,MATCH($A62,$U$4:$U$27,0),COLUMN(D$1))</x:f>
        <x:v>209</x:v>
      </x:c>
      <x:c r="F62" s="44">
        <x:f>SUM(C62:E62)</x:f>
        <x:v>702</x:v>
      </x:c>
      <x:c r="G62" s="45">
        <x:f>F62/3</x:f>
        <x:v>234</x:v>
      </x:c>
      <x:c r="H62" s="34">
        <x:f t="array" ref="H62:H62">IF(B62="","",IFERROR(INDEX('회원명단 및 기준에버'!D:G,MATCH(B62,'회원명단 및 기준에버'!$C:$C,0),CHOOSE(INT((MONTH($L$2)-1)/3)+1,1,2,3,4)),""))</x:f>
        <x:v>191</x:v>
      </x:c>
      <x:c r="I62" s="38">
        <x:f>IFERROR(C62+-H62,0)</x:f>
        <x:v>45</x:v>
      </x:c>
      <x:c r="J62" s="38">
        <x:f>IFERROR(D62+-H62,0)</x:f>
        <x:v>66</x:v>
      </x:c>
      <x:c r="K62" s="38">
        <x:f>IFERROR(E62+-H62,0)</x:f>
        <x:v>18</x:v>
      </x:c>
      <x:c r="L62" s="63">
        <x:f>SUM(I62:K62)</x:f>
        <x:v>129</x:v>
      </x:c>
      <x:c r="M62" s="39">
        <x:f>IFERROR(G62+-H62,0)</x:f>
        <x:v>43</x:v>
      </x:c>
    </x:row>
    <x:row r="63" spans="1:13" ht="24.949999999999999" customHeight="1">
      <x:c r="A63" s="12">
        <x:v>2</x:v>
      </x:c>
      <x:c r="B63" s="13" t="str">
        <x:f t="array" ref="B63:B63">INDEX($B$4:$M$27,MATCH($A63,$U$4:$U$27,0),COLUMN(A$1))</x:f>
        <x:v>김 태 환</x:v>
      </x:c>
      <x:c r="C63" s="62">
        <x:f t="array" ref="C63:C63">INDEX($B$4:$M$27,MATCH($A63,$U$4:$U$27,0),COLUMN(B$1))</x:f>
        <x:v>224</x:v>
      </x:c>
      <x:c r="D63" s="62">
        <x:f t="array" ref="D63:D63">INDEX($B$4:$M$27,MATCH($A63,$U$4:$U$27,0),COLUMN(C$1))</x:f>
        <x:v>215</x:v>
      </x:c>
      <x:c r="E63" s="62">
        <x:f t="array" ref="E63:E63">INDEX($B$4:$M$27,MATCH($A63,$U$4:$U$27,0),COLUMN(D$1))</x:f>
        <x:v>259</x:v>
      </x:c>
      <x:c r="F63" s="44">
        <x:f>SUM(C63:E63)</x:f>
        <x:v>698</x:v>
      </x:c>
      <x:c r="G63" s="45">
        <x:f>F63/3</x:f>
        <x:v>232.66666666666666</x:v>
      </x:c>
      <x:c r="H63" s="34">
        <x:f t="array" ref="H63:H63">IF(B63="","",IFERROR(INDEX('회원명단 및 기준에버'!D:G,MATCH(B63,'회원명단 및 기준에버'!$C:$C,0),CHOOSE(INT((MONTH($L$2)-1)/3)+1,1,2,3,4)),""))</x:f>
        <x:v>198</x:v>
      </x:c>
      <x:c r="I63" s="38">
        <x:f>IFERROR(C63+-H63,0)</x:f>
        <x:v>26</x:v>
      </x:c>
      <x:c r="J63" s="38">
        <x:f>IFERROR(D63+-H63,0)</x:f>
        <x:v>17</x:v>
      </x:c>
      <x:c r="K63" s="38">
        <x:f>IFERROR(E63+-H63,0)</x:f>
        <x:v>61</x:v>
      </x:c>
      <x:c r="L63" s="63">
        <x:f>SUM(I63:K63)</x:f>
        <x:v>104</x:v>
      </x:c>
      <x:c r="M63" s="133">
        <x:f>IFERROR(G63+-H63,0)</x:f>
        <x:v>34.666666666666657</x:v>
      </x:c>
    </x:row>
    <x:row r="64" spans="1:13" ht="24.949999999999999" customHeight="1">
      <x:c r="A64" s="12">
        <x:v>3</x:v>
      </x:c>
      <x:c r="B64" s="13" t="str">
        <x:f t="array" ref="B64:B64">INDEX($B$4:$M$27,MATCH($A64,$U$4:$U$27,0),COLUMN(A$1))</x:f>
        <x:v>이 정 석</x:v>
      </x:c>
      <x:c r="C64" s="62">
        <x:f t="array" ref="C64:C64">INDEX($B$4:$M$27,MATCH($A64,$U$4:$U$27,0),COLUMN(B$1))</x:f>
        <x:v>204</x:v>
      </x:c>
      <x:c r="D64" s="62">
        <x:f t="array" ref="D64:D64">INDEX($B$4:$M$27,MATCH($A64,$U$4:$U$27,0),COLUMN(C$1))</x:f>
        <x:v>206</x:v>
      </x:c>
      <x:c r="E64" s="62">
        <x:f t="array" ref="E64:E64">INDEX($B$4:$M$27,MATCH($A64,$U$4:$U$27,0),COLUMN(D$1))</x:f>
        <x:v>245</x:v>
      </x:c>
      <x:c r="F64" s="44">
        <x:f>SUM(C64:E64)</x:f>
        <x:v>655</x:v>
      </x:c>
      <x:c r="G64" s="45">
        <x:f>F64/3</x:f>
        <x:v>218.33333333333334</x:v>
      </x:c>
      <x:c r="H64" s="34">
        <x:f t="array" ref="H64:H64">IF(B64="","",IFERROR(INDEX('회원명단 및 기준에버'!D:G,MATCH(B64,'회원명단 및 기준에버'!$C:$C,0),CHOOSE(INT((MONTH($L$2)-1)/3)+1,1,2,3,4)),""))</x:f>
        <x:v>196</x:v>
      </x:c>
      <x:c r="I64" s="38">
        <x:f t="shared" ref="I64:I85" si="10">IFERROR(C64+-H64,0)</x:f>
        <x:v>8</x:v>
      </x:c>
      <x:c r="J64" s="38">
        <x:f t="shared" ref="J64:J85" si="11">IFERROR(D64+-H64,0)</x:f>
        <x:v>10</x:v>
      </x:c>
      <x:c r="K64" s="38">
        <x:f t="shared" ref="K64:K85" si="12">IFERROR(E64+-H64,0)</x:f>
        <x:v>49</x:v>
      </x:c>
      <x:c r="L64" s="63">
        <x:f t="shared" ref="L64:L85" si="13">SUM(I64:K64)</x:f>
        <x:v>67</x:v>
      </x:c>
      <x:c r="M64" s="39">
        <x:f t="shared" ref="M64:M85" si="14">IFERROR(G64+-H64,0)</x:f>
        <x:v>22.333333333333343</x:v>
      </x:c>
    </x:row>
    <x:row r="65" spans="1:13" ht="24.949999999999999" customHeight="1">
      <x:c r="A65" s="12">
        <x:v>4</x:v>
      </x:c>
      <x:c r="B65" s="13" t="str">
        <x:f t="array" ref="B65:B65">INDEX($B$4:$M$27,MATCH($A65,$U$4:$U$27,0),COLUMN(A$1))</x:f>
        <x:v>이 대 용</x:v>
      </x:c>
      <x:c r="C65" s="62">
        <x:f t="array" ref="C65:C65">INDEX($B$4:$M$27,MATCH($A65,$U$4:$U$27,0),COLUMN(B$1))</x:f>
        <x:v>236</x:v>
      </x:c>
      <x:c r="D65" s="62">
        <x:f t="array" ref="D65:D65">INDEX($B$4:$M$27,MATCH($A65,$U$4:$U$27,0),COLUMN(C$1))</x:f>
        <x:v>189</x:v>
      </x:c>
      <x:c r="E65" s="62">
        <x:f t="array" ref="E65:E65">INDEX($B$4:$M$27,MATCH($A65,$U$4:$U$27,0),COLUMN(D$1))</x:f>
        <x:v>232</x:v>
      </x:c>
      <x:c r="F65" s="44">
        <x:f>SUM(C65:E65)</x:f>
        <x:v>657</x:v>
      </x:c>
      <x:c r="G65" s="45">
        <x:f>F65/3</x:f>
        <x:v>219</x:v>
      </x:c>
      <x:c r="H65" s="34">
        <x:f t="array" ref="H65:H65">IF(B65="","",IFERROR(INDEX('회원명단 및 기준에버'!D:G,MATCH(B65,'회원명단 및 기준에버'!$C:$C,0),CHOOSE(INT((MONTH($L$2)-1)/3)+1,1,2,3,4)),""))</x:f>
        <x:v>200</x:v>
      </x:c>
      <x:c r="I65" s="38">
        <x:f t="shared" si="10"/>
        <x:v>36</x:v>
      </x:c>
      <x:c r="J65" s="38">
        <x:f t="shared" si="11"/>
        <x:v>-11</x:v>
      </x:c>
      <x:c r="K65" s="38">
        <x:f t="shared" si="12"/>
        <x:v>32</x:v>
      </x:c>
      <x:c r="L65" s="63">
        <x:f t="shared" si="13"/>
        <x:v>57</x:v>
      </x:c>
      <x:c r="M65" s="39">
        <x:f t="shared" si="14"/>
        <x:v>19</x:v>
      </x:c>
    </x:row>
    <x:row r="66" spans="1:13" ht="24.949999999999999" customHeight="1">
      <x:c r="A66" s="12">
        <x:v>5</x:v>
      </x:c>
      <x:c r="B66" s="13" t="str">
        <x:f t="array" ref="B66:B66">INDEX($B$4:$M$27,MATCH($A66,$U$4:$U$27,0),COLUMN(A$1))</x:f>
        <x:v>김 정 희</x:v>
      </x:c>
      <x:c r="C66" s="62">
        <x:f t="array" ref="C66:C66">INDEX($B$4:$M$27,MATCH($A66,$U$4:$U$27,0),COLUMN(B$1))</x:f>
        <x:v>207</x:v>
      </x:c>
      <x:c r="D66" s="62">
        <x:f t="array" ref="D66:D66">INDEX($B$4:$M$27,MATCH($A66,$U$4:$U$27,0),COLUMN(C$1))</x:f>
        <x:v>189</x:v>
      </x:c>
      <x:c r="E66" s="62">
        <x:f t="array" ref="E66:E66">INDEX($B$4:$M$27,MATCH($A66,$U$4:$U$27,0),COLUMN(D$1))</x:f>
        <x:v>255</x:v>
      </x:c>
      <x:c r="F66" s="44">
        <x:f t="shared" ref="F66:F85" si="15">SUM(C66:E66)</x:f>
        <x:v>651</x:v>
      </x:c>
      <x:c r="G66" s="45">
        <x:f t="shared" ref="G66:G85" si="16">F66/3</x:f>
        <x:v>217</x:v>
      </x:c>
      <x:c r="H66" s="34">
        <x:f t="array" ref="H66:H66">IF(B66="","",IFERROR(INDEX('회원명단 및 기준에버'!D:G,MATCH(B66,'회원명단 및 기준에버'!$C:$C,0),CHOOSE(INT((MONTH($L$2)-1)/3)+1,1,2,3,4)),""))</x:f>
        <x:v>200</x:v>
      </x:c>
      <x:c r="I66" s="38">
        <x:f t="shared" si="10"/>
        <x:v>7</x:v>
      </x:c>
      <x:c r="J66" s="38">
        <x:f t="shared" si="11"/>
        <x:v>-11</x:v>
      </x:c>
      <x:c r="K66" s="38">
        <x:f t="shared" si="12"/>
        <x:v>55</x:v>
      </x:c>
      <x:c r="L66" s="63">
        <x:f t="shared" si="13"/>
        <x:v>51</x:v>
      </x:c>
      <x:c r="M66" s="39">
        <x:f t="shared" si="14"/>
        <x:v>17</x:v>
      </x:c>
    </x:row>
    <x:row r="67" spans="1:13" ht="24.949999999999999" customHeight="1">
      <x:c r="A67" s="12">
        <x:v>6</x:v>
      </x:c>
      <x:c r="B67" s="13" t="str">
        <x:f t="array" ref="B67:B67">INDEX($B$4:$M$27,MATCH($A67,$U$4:$U$27,0),COLUMN(A$1))</x:f>
        <x:v>임 연 진</x:v>
      </x:c>
      <x:c r="C67" s="62">
        <x:f t="array" ref="C67:C67">INDEX($B$4:$M$27,MATCH($A67,$U$4:$U$27,0),COLUMN(B$1))</x:f>
        <x:v>225</x:v>
      </x:c>
      <x:c r="D67" s="62">
        <x:f t="array" ref="D67:D67">INDEX($B$4:$M$27,MATCH($A67,$U$4:$U$27,0),COLUMN(C$1))</x:f>
        <x:v>212</x:v>
      </x:c>
      <x:c r="E67" s="62">
        <x:f t="array" ref="E67:E67">INDEX($B$4:$M$27,MATCH($A67,$U$4:$U$27,0),COLUMN(D$1))</x:f>
        <x:v>194</x:v>
      </x:c>
      <x:c r="F67" s="44">
        <x:f t="shared" si="15"/>
        <x:v>631</x:v>
      </x:c>
      <x:c r="G67" s="45">
        <x:f t="shared" si="16"/>
        <x:v>210.33333333333334</x:v>
      </x:c>
      <x:c r="H67" s="34">
        <x:f t="array" ref="H67:H67">IF(B67="","",IFERROR(INDEX('회원명단 및 기준에버'!D:G,MATCH(B67,'회원명단 및 기준에버'!$C:$C,0),CHOOSE(INT((MONTH($L$2)-1)/3)+1,1,2,3,4)),""))</x:f>
        <x:v>194</x:v>
      </x:c>
      <x:c r="I67" s="38">
        <x:f t="shared" si="10"/>
        <x:v>31</x:v>
      </x:c>
      <x:c r="J67" s="38">
        <x:f t="shared" si="11"/>
        <x:v>18</x:v>
      </x:c>
      <x:c r="K67" s="38">
        <x:f t="shared" si="12"/>
        <x:v>0</x:v>
      </x:c>
      <x:c r="L67" s="63">
        <x:f t="shared" si="13"/>
        <x:v>49</x:v>
      </x:c>
      <x:c r="M67" s="39">
        <x:f t="shared" si="14"/>
        <x:v>16.333333333333343</x:v>
      </x:c>
    </x:row>
    <x:row r="68" spans="1:13" ht="24.949999999999999" customHeight="1">
      <x:c r="A68" s="12">
        <x:v>7</x:v>
      </x:c>
      <x:c r="B68" s="13" t="str">
        <x:f t="array" ref="B68:B68">INDEX($B$4:$M$27,MATCH($A68,$U$4:$U$27,0),COLUMN(A$1))</x:f>
        <x:v>엄 정 도</x:v>
      </x:c>
      <x:c r="C68" s="62">
        <x:f t="array" ref="C68:C68">INDEX($B$4:$M$27,MATCH($A68,$U$4:$U$27,0),COLUMN(B$1))</x:f>
        <x:v>216</x:v>
      </x:c>
      <x:c r="D68" s="62">
        <x:f t="array" ref="D68:D68">INDEX($B$4:$M$27,MATCH($A68,$U$4:$U$27,0),COLUMN(C$1))</x:f>
        <x:v>181</x:v>
      </x:c>
      <x:c r="E68" s="62">
        <x:f t="array" ref="E68:E68">INDEX($B$4:$M$27,MATCH($A68,$U$4:$U$27,0),COLUMN(D$1))</x:f>
        <x:v>194</x:v>
      </x:c>
      <x:c r="F68" s="44">
        <x:f t="shared" si="15"/>
        <x:v>591</x:v>
      </x:c>
      <x:c r="G68" s="45">
        <x:f t="shared" si="16"/>
        <x:v>197</x:v>
      </x:c>
      <x:c r="H68" s="34">
        <x:f t="array" ref="H68:H68">IF(B68="","",IFERROR(INDEX('회원명단 및 기준에버'!D:G,MATCH(B68,'회원명단 및 기준에버'!$C:$C,0),CHOOSE(INT((MONTH($L$2)-1)/3)+1,1,2,3,4)),""))</x:f>
        <x:v>184</x:v>
      </x:c>
      <x:c r="I68" s="38">
        <x:f t="shared" si="10"/>
        <x:v>32</x:v>
      </x:c>
      <x:c r="J68" s="38">
        <x:f t="shared" si="11"/>
        <x:v>-3</x:v>
      </x:c>
      <x:c r="K68" s="38">
        <x:f t="shared" si="12"/>
        <x:v>10</x:v>
      </x:c>
      <x:c r="L68" s="63">
        <x:f t="shared" si="13"/>
        <x:v>39</x:v>
      </x:c>
      <x:c r="M68" s="133">
        <x:f t="shared" si="14"/>
        <x:v>13</x:v>
      </x:c>
    </x:row>
    <x:row r="69" spans="1:13" ht="24.949999999999999" customHeight="1">
      <x:c r="A69" s="12">
        <x:v>8</x:v>
      </x:c>
      <x:c r="B69" s="13" t="str">
        <x:f t="array" ref="B69:B69">INDEX($B$4:$M$27,MATCH($A69,$U$4:$U$27,0),COLUMN(A$1))</x:f>
        <x:v>변 상 필</x:v>
      </x:c>
      <x:c r="C69" s="62">
        <x:f t="array" ref="C69:C69">INDEX($B$4:$M$27,MATCH($A69,$U$4:$U$27,0),COLUMN(B$1))</x:f>
        <x:v>224</x:v>
      </x:c>
      <x:c r="D69" s="62">
        <x:f t="array" ref="D69:D69">INDEX($B$4:$M$27,MATCH($A69,$U$4:$U$27,0),COLUMN(C$1))</x:f>
        <x:v>157</x:v>
      </x:c>
      <x:c r="E69" s="62">
        <x:f t="array" ref="E69:E69">INDEX($B$4:$M$27,MATCH($A69,$U$4:$U$27,0),COLUMN(D$1))</x:f>
        <x:v>256</x:v>
      </x:c>
      <x:c r="F69" s="44">
        <x:f t="shared" si="15"/>
        <x:v>637</x:v>
      </x:c>
      <x:c r="G69" s="45">
        <x:f t="shared" si="16"/>
        <x:v>212.33333333333334</x:v>
      </x:c>
      <x:c r="H69" s="34">
        <x:f t="array" ref="H69:H69">IF(B69="","",IFERROR(INDEX('회원명단 및 기준에버'!D:G,MATCH(B69,'회원명단 및 기준에버'!$C:$C,0),CHOOSE(INT((MONTH($L$2)-1)/3)+1,1,2,3,4)),""))</x:f>
        <x:v>200</x:v>
      </x:c>
      <x:c r="I69" s="38">
        <x:f t="shared" si="10"/>
        <x:v>24</x:v>
      </x:c>
      <x:c r="J69" s="38">
        <x:f t="shared" si="11"/>
        <x:v>-43</x:v>
      </x:c>
      <x:c r="K69" s="38">
        <x:f t="shared" si="12"/>
        <x:v>56</x:v>
      </x:c>
      <x:c r="L69" s="63">
        <x:f t="shared" si="13"/>
        <x:v>37</x:v>
      </x:c>
      <x:c r="M69" s="39">
        <x:f t="shared" si="14"/>
        <x:v>12.333333333333343</x:v>
      </x:c>
    </x:row>
    <x:row r="70" spans="1:13" ht="24.949999999999999" customHeight="1">
      <x:c r="A70" s="12">
        <x:v>9</x:v>
      </x:c>
      <x:c r="B70" s="13" t="str">
        <x:f t="array" ref="B70:B70">INDEX($B$4:$M$27,MATCH($A70,$U$4:$U$27,0),COLUMN(A$1))</x:f>
        <x:v>손 은 주</x:v>
      </x:c>
      <x:c r="C70" s="62">
        <x:f t="array" ref="C70:C70">INDEX($B$4:$M$27,MATCH($A70,$U$4:$U$27,0),COLUMN(B$1))</x:f>
        <x:v>145</x:v>
      </x:c>
      <x:c r="D70" s="62">
        <x:f t="array" ref="D70:D70">INDEX($B$4:$M$27,MATCH($A70,$U$4:$U$27,0),COLUMN(C$1))</x:f>
        <x:v>183</x:v>
      </x:c>
      <x:c r="E70" s="62">
        <x:f t="array" ref="E70:E70">INDEX($B$4:$M$27,MATCH($A70,$U$4:$U$27,0),COLUMN(D$1))</x:f>
        <x:v>146</x:v>
      </x:c>
      <x:c r="F70" s="44">
        <x:f t="shared" si="15"/>
        <x:v>474</x:v>
      </x:c>
      <x:c r="G70" s="45">
        <x:f t="shared" si="16"/>
        <x:v>158</x:v>
      </x:c>
      <x:c r="H70" s="34">
        <x:f t="array" ref="H70:H70">IF(B70="","",IFERROR(INDEX('회원명단 및 기준에버'!D:G,MATCH(B70,'회원명단 및 기준에버'!$C:$C,0),CHOOSE(INT((MONTH($L$2)-1)/3)+1,1,2,3,4)),""))</x:f>
        <x:v>151</x:v>
      </x:c>
      <x:c r="I70" s="38">
        <x:f t="shared" si="10"/>
        <x:v>-6</x:v>
      </x:c>
      <x:c r="J70" s="38">
        <x:f t="shared" si="11"/>
        <x:v>32</x:v>
      </x:c>
      <x:c r="K70" s="38">
        <x:f t="shared" si="12"/>
        <x:v>-5</x:v>
      </x:c>
      <x:c r="L70" s="63">
        <x:f t="shared" si="13"/>
        <x:v>21</x:v>
      </x:c>
      <x:c r="M70" s="39">
        <x:f t="shared" si="14"/>
        <x:v>7</x:v>
      </x:c>
    </x:row>
    <x:row r="71" spans="1:13" ht="24.949999999999999" customHeight="1">
      <x:c r="A71" s="12">
        <x:v>10</x:v>
      </x:c>
      <x:c r="B71" s="13" t="str">
        <x:f t="array" ref="B71:B71">INDEX($B$4:$M$27,MATCH($A71,$U$4:$U$27,0),COLUMN(A$1))</x:f>
        <x:v>김 미 란</x:v>
      </x:c>
      <x:c r="C71" s="62">
        <x:f t="array" ref="C71:C71">INDEX($B$4:$M$27,MATCH($A71,$U$4:$U$27,0),COLUMN(B$1))</x:f>
        <x:v>184</x:v>
      </x:c>
      <x:c r="D71" s="62">
        <x:f t="array" ref="D71:D71">INDEX($B$4:$M$27,MATCH($A71,$U$4:$U$27,0),COLUMN(C$1))</x:f>
        <x:v>189</x:v>
      </x:c>
      <x:c r="E71" s="62">
        <x:f t="array" ref="E71:E71">INDEX($B$4:$M$27,MATCH($A71,$U$4:$U$27,0),COLUMN(D$1))</x:f>
        <x:v>193</x:v>
      </x:c>
      <x:c r="F71" s="44">
        <x:f t="shared" si="15"/>
        <x:v>566</x:v>
      </x:c>
      <x:c r="G71" s="45">
        <x:f t="shared" si="16"/>
        <x:v>188.66666666666666</x:v>
      </x:c>
      <x:c r="H71" s="34">
        <x:f t="array" ref="H71:H71">IF(B71="","",IFERROR(INDEX('회원명단 및 기준에버'!D:G,MATCH(B71,'회원명단 및 기준에버'!$C:$C,0),CHOOSE(INT((MONTH($L$2)-1)/3)+1,1,2,3,4)),""))</x:f>
        <x:v>182</x:v>
      </x:c>
      <x:c r="I71" s="38">
        <x:f t="shared" si="10"/>
        <x:v>2</x:v>
      </x:c>
      <x:c r="J71" s="38">
        <x:f t="shared" si="11"/>
        <x:v>7</x:v>
      </x:c>
      <x:c r="K71" s="38">
        <x:f t="shared" si="12"/>
        <x:v>11</x:v>
      </x:c>
      <x:c r="L71" s="63">
        <x:f t="shared" si="13"/>
        <x:v>20</x:v>
      </x:c>
      <x:c r="M71" s="39">
        <x:f t="shared" si="14"/>
        <x:v>6.6666666666666572</x:v>
      </x:c>
    </x:row>
    <x:row r="72" spans="1:13" ht="24.949999999999999" customHeight="1">
      <x:c r="A72" s="12">
        <x:v>11</x:v>
      </x:c>
      <x:c r="B72" s="13" t="str">
        <x:f t="array" ref="B72:B72">INDEX($B$4:$M$27,MATCH($A72,$U$4:$U$27,0),COLUMN(A$1))</x:f>
        <x:v>김 종 훈</x:v>
      </x:c>
      <x:c r="C72" s="62">
        <x:f t="array" ref="C72:C72">INDEX($B$4:$M$27,MATCH($A72,$U$4:$U$27,0),COLUMN(B$1))</x:f>
        <x:v>184</x:v>
      </x:c>
      <x:c r="D72" s="62">
        <x:f t="array" ref="D72:D72">INDEX($B$4:$M$27,MATCH($A72,$U$4:$U$27,0),COLUMN(C$1))</x:f>
        <x:v>257</x:v>
      </x:c>
      <x:c r="E72" s="62">
        <x:f t="array" ref="E72:E72">INDEX($B$4:$M$27,MATCH($A72,$U$4:$U$27,0),COLUMN(D$1))</x:f>
        <x:v>169</x:v>
      </x:c>
      <x:c r="F72" s="44">
        <x:f t="shared" si="15"/>
        <x:v>610</x:v>
      </x:c>
      <x:c r="G72" s="45">
        <x:f t="shared" si="16"/>
        <x:v>203.33333333333334</x:v>
      </x:c>
      <x:c r="H72" s="34">
        <x:f t="array" ref="H72:H72">IF(B72="","",IFERROR(INDEX('회원명단 및 기준에버'!D:G,MATCH(B72,'회원명단 및 기준에버'!$C:$C,0),CHOOSE(INT((MONTH($L$2)-1)/3)+1,1,2,3,4)),""))</x:f>
        <x:v>198</x:v>
      </x:c>
      <x:c r="I72" s="38">
        <x:f t="shared" si="10"/>
        <x:v>-14</x:v>
      </x:c>
      <x:c r="J72" s="38">
        <x:f t="shared" si="11"/>
        <x:v>59</x:v>
      </x:c>
      <x:c r="K72" s="38">
        <x:f t="shared" si="12"/>
        <x:v>-29</x:v>
      </x:c>
      <x:c r="L72" s="63">
        <x:f t="shared" si="13"/>
        <x:v>16</x:v>
      </x:c>
      <x:c r="M72" s="39">
        <x:f t="shared" si="14"/>
        <x:v>5.3333333333333428</x:v>
      </x:c>
    </x:row>
    <x:row r="73" spans="1:13" ht="24.949999999999999" customHeight="1">
      <x:c r="A73" s="12">
        <x:v>12</x:v>
      </x:c>
      <x:c r="B73" s="13" t="str">
        <x:f t="array" ref="B73:B73">INDEX($B$4:$M$27,MATCH($A73,$U$4:$U$27,0),COLUMN(A$1))</x:f>
        <x:v>이 승 미</x:v>
      </x:c>
      <x:c r="C73" s="62">
        <x:f t="array" ref="C73:C73">INDEX($B$4:$M$27,MATCH($A73,$U$4:$U$27,0),COLUMN(B$1))</x:f>
        <x:v>145</x:v>
      </x:c>
      <x:c r="D73" s="62">
        <x:f t="array" ref="D73:D73">INDEX($B$4:$M$27,MATCH($A73,$U$4:$U$27,0),COLUMN(C$1))</x:f>
        <x:v>169</x:v>
      </x:c>
      <x:c r="E73" s="62">
        <x:f t="array" ref="E73:E73">INDEX($B$4:$M$27,MATCH($A73,$U$4:$U$27,0),COLUMN(D$1))</x:f>
        <x:v>197</x:v>
      </x:c>
      <x:c r="F73" s="44">
        <x:f t="shared" si="15"/>
        <x:v>511</x:v>
      </x:c>
      <x:c r="G73" s="45">
        <x:f t="shared" si="16"/>
        <x:v>170.33333333333334</x:v>
      </x:c>
      <x:c r="H73" s="34">
        <x:f t="array" ref="H73:H73">IF(B73="","",IFERROR(INDEX('회원명단 및 기준에버'!D:G,MATCH(B73,'회원명단 및 기준에버'!$C:$C,0),CHOOSE(INT((MONTH($L$2)-1)/3)+1,1,2,3,4)),""))</x:f>
        <x:v>165</x:v>
      </x:c>
      <x:c r="I73" s="38">
        <x:f t="shared" si="10"/>
        <x:v>-20</x:v>
      </x:c>
      <x:c r="J73" s="38">
        <x:f t="shared" si="11"/>
        <x:v>4</x:v>
      </x:c>
      <x:c r="K73" s="38">
        <x:f t="shared" si="12"/>
        <x:v>32</x:v>
      </x:c>
      <x:c r="L73" s="63">
        <x:f t="shared" si="13"/>
        <x:v>16</x:v>
      </x:c>
      <x:c r="M73" s="39">
        <x:f t="shared" si="14"/>
        <x:v>5.3333333333333428</x:v>
      </x:c>
    </x:row>
    <x:row r="74" spans="1:13" ht="24.949999999999999" customHeight="1">
      <x:c r="A74" s="12">
        <x:v>13</x:v>
      </x:c>
      <x:c r="B74" s="13" t="str">
        <x:f t="array" ref="B74:B74">INDEX($B$4:$M$27,MATCH($A74,$U$4:$U$27,0),COLUMN(A$1))</x:f>
        <x:v>박 성 현</x:v>
      </x:c>
      <x:c r="C74" s="62">
        <x:f t="array" ref="C74:C74">INDEX($B$4:$M$27,MATCH($A74,$U$4:$U$27,0),COLUMN(B$1))</x:f>
        <x:v>170</x:v>
      </x:c>
      <x:c r="D74" s="62">
        <x:f t="array" ref="D74:D74">INDEX($B$4:$M$27,MATCH($A74,$U$4:$U$27,0),COLUMN(C$1))</x:f>
        <x:v>204</x:v>
      </x:c>
      <x:c r="E74" s="62">
        <x:f t="array" ref="E74:E74">INDEX($B$4:$M$27,MATCH($A74,$U$4:$U$27,0),COLUMN(D$1))</x:f>
        <x:v>211</x:v>
      </x:c>
      <x:c r="F74" s="44">
        <x:f t="shared" si="15"/>
        <x:v>585</x:v>
      </x:c>
      <x:c r="G74" s="45">
        <x:f t="shared" si="16"/>
        <x:v>195</x:v>
      </x:c>
      <x:c r="H74" s="34">
        <x:f t="array" ref="H74:H74">IF(B74="","",IFERROR(INDEX('회원명단 및 기준에버'!D:G,MATCH(B74,'회원명단 및 기준에버'!$C:$C,0),CHOOSE(INT((MONTH($L$2)-1)/3)+1,1,2,3,4)),""))</x:f>
        <x:v>190</x:v>
      </x:c>
      <x:c r="I74" s="38">
        <x:f t="shared" si="10"/>
        <x:v>-20</x:v>
      </x:c>
      <x:c r="J74" s="38">
        <x:f t="shared" si="11"/>
        <x:v>14</x:v>
      </x:c>
      <x:c r="K74" s="38">
        <x:f t="shared" si="12"/>
        <x:v>21</x:v>
      </x:c>
      <x:c r="L74" s="63">
        <x:f t="shared" si="13"/>
        <x:v>15</x:v>
      </x:c>
      <x:c r="M74" s="39">
        <x:f t="shared" si="14"/>
        <x:v>5</x:v>
      </x:c>
    </x:row>
    <x:row r="75" spans="1:13" ht="24.949999999999999" customHeight="1">
      <x:c r="A75" s="12">
        <x:v>14</x:v>
      </x:c>
      <x:c r="B75" s="13" t="str">
        <x:f t="array" ref="B75:B75">INDEX($B$4:$M$27,MATCH($A75,$U$4:$U$27,0),COLUMN(A$1))</x:f>
        <x:v>박 시 진</x:v>
      </x:c>
      <x:c r="C75" s="62">
        <x:f t="array" ref="C75:C75">INDEX($B$4:$M$27,MATCH($A75,$U$4:$U$27,0),COLUMN(B$1))</x:f>
        <x:v>225</x:v>
      </x:c>
      <x:c r="D75" s="62">
        <x:f t="array" ref="D75:D75">INDEX($B$4:$M$27,MATCH($A75,$U$4:$U$27,0),COLUMN(C$1))</x:f>
        <x:v>205</x:v>
      </x:c>
      <x:c r="E75" s="62">
        <x:f t="array" ref="E75:E75">INDEX($B$4:$M$27,MATCH($A75,$U$4:$U$27,0),COLUMN(D$1))</x:f>
        <x:v>167</x:v>
      </x:c>
      <x:c r="F75" s="44">
        <x:f t="shared" si="15"/>
        <x:v>597</x:v>
      </x:c>
      <x:c r="G75" s="45">
        <x:f t="shared" si="16"/>
        <x:v>199</x:v>
      </x:c>
      <x:c r="H75" s="34">
        <x:f t="array" ref="H75:H75">IF(B75="","",IFERROR(INDEX('회원명단 및 기준에버'!D:G,MATCH(B75,'회원명단 및 기준에버'!$C:$C,0),CHOOSE(INT((MONTH($L$2)-1)/3)+1,1,2,3,4)),""))</x:f>
        <x:v>196</x:v>
      </x:c>
      <x:c r="I75" s="38">
        <x:f t="shared" si="10"/>
        <x:v>29</x:v>
      </x:c>
      <x:c r="J75" s="38">
        <x:f t="shared" si="11"/>
        <x:v>9</x:v>
      </x:c>
      <x:c r="K75" s="38">
        <x:f t="shared" si="12"/>
        <x:v>-29</x:v>
      </x:c>
      <x:c r="L75" s="63">
        <x:f t="shared" si="13"/>
        <x:v>9</x:v>
      </x:c>
      <x:c r="M75" s="39">
        <x:f t="shared" si="14"/>
        <x:v>3</x:v>
      </x:c>
    </x:row>
    <x:row r="76" spans="1:13" ht="24.949999999999999" customHeight="1">
      <x:c r="A76" s="12">
        <x:v>15</x:v>
      </x:c>
      <x:c r="B76" s="13" t="str">
        <x:f t="array" ref="B76:B76">INDEX($B$4:$M$27,MATCH($A76,$U$4:$U$27,0),COLUMN(A$1))</x:f>
        <x:v>진 명 옥</x:v>
      </x:c>
      <x:c r="C76" s="62">
        <x:f t="array" ref="C76:C76">INDEX($B$4:$M$27,MATCH($A76,$U$4:$U$27,0),COLUMN(B$1))</x:f>
        <x:v>201</x:v>
      </x:c>
      <x:c r="D76" s="62">
        <x:f t="array" ref="D76:D76">INDEX($B$4:$M$27,MATCH($A76,$U$4:$U$27,0),COLUMN(C$1))</x:f>
        <x:v>167</x:v>
      </x:c>
      <x:c r="E76" s="62">
        <x:f t="array" ref="E76:E76">INDEX($B$4:$M$27,MATCH($A76,$U$4:$U$27,0),COLUMN(D$1))</x:f>
        <x:v>154</x:v>
      </x:c>
      <x:c r="F76" s="44">
        <x:f t="shared" si="15"/>
        <x:v>522</x:v>
      </x:c>
      <x:c r="G76" s="45">
        <x:f t="shared" si="16"/>
        <x:v>174</x:v>
      </x:c>
      <x:c r="H76" s="34">
        <x:f t="array" ref="H76:H76">IF(B76="","",IFERROR(INDEX('회원명단 및 기준에버'!D:G,MATCH(B76,'회원명단 및 기준에버'!$C:$C,0),CHOOSE(INT((MONTH($L$2)-1)/3)+1,1,2,3,4)),""))</x:f>
        <x:v>171</x:v>
      </x:c>
      <x:c r="I76" s="38">
        <x:f t="shared" si="10"/>
        <x:v>30</x:v>
      </x:c>
      <x:c r="J76" s="38">
        <x:f t="shared" si="11"/>
        <x:v>-4</x:v>
      </x:c>
      <x:c r="K76" s="38">
        <x:f t="shared" si="12"/>
        <x:v>-17</x:v>
      </x:c>
      <x:c r="L76" s="63">
        <x:f t="shared" si="13"/>
        <x:v>9</x:v>
      </x:c>
      <x:c r="M76" s="39">
        <x:f t="shared" si="14"/>
        <x:v>3</x:v>
      </x:c>
    </x:row>
    <x:row r="77" spans="1:13" ht="24.949999999999999" customHeight="1">
      <x:c r="A77" s="12">
        <x:v>16</x:v>
      </x:c>
      <x:c r="B77" s="13" t="str">
        <x:f t="array" ref="B77:B77">INDEX($B$4:$M$27,MATCH($A77,$U$4:$U$27,0),COLUMN(A$1))</x:f>
        <x:v>황 인 교</x:v>
      </x:c>
      <x:c r="C77" s="62">
        <x:f t="array" ref="C77:C77">INDEX($B$4:$M$27,MATCH($A77,$U$4:$U$27,0),COLUMN(B$1))</x:f>
        <x:v>199</x:v>
      </x:c>
      <x:c r="D77" s="62">
        <x:f t="array" ref="D77:D77">INDEX($B$4:$M$27,MATCH($A77,$U$4:$U$27,0),COLUMN(C$1))</x:f>
        <x:v>189</x:v>
      </x:c>
      <x:c r="E77" s="62">
        <x:f t="array" ref="E77:E77">INDEX($B$4:$M$27,MATCH($A77,$U$4:$U$27,0),COLUMN(D$1))</x:f>
        <x:v>167</x:v>
      </x:c>
      <x:c r="F77" s="44">
        <x:f t="shared" si="15"/>
        <x:v>555</x:v>
      </x:c>
      <x:c r="G77" s="45">
        <x:f t="shared" si="16"/>
        <x:v>185</x:v>
      </x:c>
      <x:c r="H77" s="34">
        <x:f t="array" ref="H77:H77">IF(B77="","",IFERROR(INDEX('회원명단 및 기준에버'!D:G,MATCH(B77,'회원명단 및 기준에버'!$C:$C,0),CHOOSE(INT((MONTH($L$2)-1)/3)+1,1,2,3,4)),""))</x:f>
        <x:v>184</x:v>
      </x:c>
      <x:c r="I77" s="38">
        <x:f t="shared" si="10"/>
        <x:v>15</x:v>
      </x:c>
      <x:c r="J77" s="38">
        <x:f t="shared" si="11"/>
        <x:v>5</x:v>
      </x:c>
      <x:c r="K77" s="38">
        <x:f t="shared" si="12"/>
        <x:v>-17</x:v>
      </x:c>
      <x:c r="L77" s="63">
        <x:f t="shared" si="13"/>
        <x:v>3</x:v>
      </x:c>
      <x:c r="M77" s="39">
        <x:f t="shared" si="14"/>
        <x:v>1</x:v>
      </x:c>
    </x:row>
    <x:row r="78" spans="1:13" ht="24.949999999999999" customHeight="1">
      <x:c r="A78" s="12">
        <x:v>17</x:v>
      </x:c>
      <x:c r="B78" s="13" t="str">
        <x:f t="array" ref="B78:B78">INDEX($B$4:$M$27,MATCH($A78,$U$4:$U$27,0),COLUMN(A$1))</x:f>
        <x:v>이 재 용</x:v>
      </x:c>
      <x:c r="C78" s="62">
        <x:f t="array" ref="C78:C78">INDEX($B$4:$M$27,MATCH($A78,$U$4:$U$27,0),COLUMN(B$1))</x:f>
        <x:v>151</x:v>
      </x:c>
      <x:c r="D78" s="62">
        <x:f t="array" ref="D78:D78">INDEX($B$4:$M$27,MATCH($A78,$U$4:$U$27,0),COLUMN(C$1))</x:f>
        <x:v>247</x:v>
      </x:c>
      <x:c r="E78" s="62">
        <x:f t="array" ref="E78:E78">INDEX($B$4:$M$27,MATCH($A78,$U$4:$U$27,0),COLUMN(D$1))</x:f>
        <x:v>172</x:v>
      </x:c>
      <x:c r="F78" s="44">
        <x:f t="shared" si="15"/>
        <x:v>570</x:v>
      </x:c>
      <x:c r="G78" s="45">
        <x:f t="shared" si="16"/>
        <x:v>190</x:v>
      </x:c>
      <x:c r="H78" s="34">
        <x:f t="array" ref="H78:H78">IF(B78="","",IFERROR(INDEX('회원명단 및 기준에버'!D:G,MATCH(B78,'회원명단 및 기준에버'!$C:$C,0),CHOOSE(INT((MONTH($L$2)-1)/3)+1,1,2,3,4)),""))</x:f>
        <x:v>190</x:v>
      </x:c>
      <x:c r="I78" s="38">
        <x:f t="shared" si="10"/>
        <x:v>-39</x:v>
      </x:c>
      <x:c r="J78" s="38">
        <x:f t="shared" si="11"/>
        <x:v>57</x:v>
      </x:c>
      <x:c r="K78" s="38">
        <x:f t="shared" si="12"/>
        <x:v>-18</x:v>
      </x:c>
      <x:c r="L78" s="63">
        <x:f t="shared" si="13"/>
        <x:v>0</x:v>
      </x:c>
      <x:c r="M78" s="39">
        <x:f t="shared" si="14"/>
        <x:v>0</x:v>
      </x:c>
    </x:row>
    <x:row r="79" spans="1:13" ht="24.949999999999999" customHeight="1">
      <x:c r="A79" s="12">
        <x:v>18</x:v>
      </x:c>
      <x:c r="B79" s="13" t="str">
        <x:f t="array" ref="B79:B79">INDEX($B$4:$M$27,MATCH($A79,$U$4:$U$27,0),COLUMN(A$1))</x:f>
        <x:v>정 영 우</x:v>
      </x:c>
      <x:c r="C79" s="62">
        <x:f t="array" ref="C79:C79">INDEX($B$4:$M$27,MATCH($A79,$U$4:$U$27,0),COLUMN(B$1))</x:f>
        <x:v>162</x:v>
      </x:c>
      <x:c r="D79" s="62">
        <x:f t="array" ref="D79:D79">INDEX($B$4:$M$27,MATCH($A79,$U$4:$U$27,0),COLUMN(C$1))</x:f>
        <x:v>168</x:v>
      </x:c>
      <x:c r="E79" s="62">
        <x:f t="array" ref="E79:E79">INDEX($B$4:$M$27,MATCH($A79,$U$4:$U$27,0),COLUMN(D$1))</x:f>
        <x:v>217</x:v>
      </x:c>
      <x:c r="F79" s="44">
        <x:f t="shared" si="15"/>
        <x:v>547</x:v>
      </x:c>
      <x:c r="G79" s="45">
        <x:f t="shared" si="16"/>
        <x:v>182.33333333333334</x:v>
      </x:c>
      <x:c r="H79" s="34">
        <x:f t="array" ref="H79:H79">IF(B79="","",IFERROR(INDEX('회원명단 및 기준에버'!D:G,MATCH(B79,'회원명단 및 기준에버'!$C:$C,0),CHOOSE(INT((MONTH($L$2)-1)/3)+1,1,2,3,4)),""))</x:f>
        <x:v>184</x:v>
      </x:c>
      <x:c r="I79" s="38">
        <x:f t="shared" si="10"/>
        <x:v>-22</x:v>
      </x:c>
      <x:c r="J79" s="38">
        <x:f t="shared" si="11"/>
        <x:v>-16</x:v>
      </x:c>
      <x:c r="K79" s="38">
        <x:f t="shared" si="12"/>
        <x:v>33</x:v>
      </x:c>
      <x:c r="L79" s="63">
        <x:f t="shared" si="13"/>
        <x:v>-5</x:v>
      </x:c>
      <x:c r="M79" s="39">
        <x:f t="shared" si="14"/>
        <x:v>-1.6666666666666572</x:v>
      </x:c>
    </x:row>
    <x:row r="80" spans="1:13" ht="24.949999999999999" customHeight="1">
      <x:c r="A80" s="12">
        <x:v>19</x:v>
      </x:c>
      <x:c r="B80" s="13" t="str">
        <x:f t="array" ref="B80:B80">INDEX($B$4:$M$27,MATCH($A80,$U$4:$U$27,0),COLUMN(A$1))</x:f>
        <x:v>나 경 주</x:v>
      </x:c>
      <x:c r="C80" s="62">
        <x:f t="array" ref="C80:C80">INDEX($B$4:$M$27,MATCH($A80,$U$4:$U$27,0),COLUMN(B$1))</x:f>
        <x:v>183</x:v>
      </x:c>
      <x:c r="D80" s="62">
        <x:f t="array" ref="D80:D80">INDEX($B$4:$M$27,MATCH($A80,$U$4:$U$27,0),COLUMN(C$1))</x:f>
        <x:v>217</x:v>
      </x:c>
      <x:c r="E80" s="62">
        <x:f t="array" ref="E80:E80">INDEX($B$4:$M$27,MATCH($A80,$U$4:$U$27,0),COLUMN(D$1))</x:f>
        <x:v>160</x:v>
      </x:c>
      <x:c r="F80" s="44">
        <x:f t="shared" si="15"/>
        <x:v>560</x:v>
      </x:c>
      <x:c r="G80" s="45">
        <x:f t="shared" si="16"/>
        <x:v>186.66666666666666</x:v>
      </x:c>
      <x:c r="H80" s="34">
        <x:f t="array" ref="H80:H80">IF(B80="","",IFERROR(INDEX('회원명단 및 기준에버'!D:G,MATCH(B80,'회원명단 및 기준에버'!$C:$C,0),CHOOSE(INT((MONTH($L$2)-1)/3)+1,1,2,3,4)),""))</x:f>
        <x:v>192</x:v>
      </x:c>
      <x:c r="I80" s="38">
        <x:f t="shared" si="10"/>
        <x:v>-9</x:v>
      </x:c>
      <x:c r="J80" s="38">
        <x:f t="shared" si="11"/>
        <x:v>25</x:v>
      </x:c>
      <x:c r="K80" s="38">
        <x:f t="shared" si="12"/>
        <x:v>-32</x:v>
      </x:c>
      <x:c r="L80" s="63">
        <x:f t="shared" si="13"/>
        <x:v>-16</x:v>
      </x:c>
      <x:c r="M80" s="39">
        <x:f t="shared" si="14"/>
        <x:v>-5.3333333333333428</x:v>
      </x:c>
    </x:row>
    <x:row r="81" spans="1:13" ht="24.949999999999999" customHeight="1">
      <x:c r="A81" s="12">
        <x:v>20</x:v>
      </x:c>
      <x:c r="B81" s="13" t="str">
        <x:f t="array" ref="B81:B81">INDEX($B$4:$M$27,MATCH($A81,$U$4:$U$27,0),COLUMN(A$1))</x:f>
        <x:v>장 영 민</x:v>
      </x:c>
      <x:c r="C81" s="62">
        <x:f t="array" ref="C81:C81">INDEX($B$4:$M$27,MATCH($A81,$U$4:$U$27,0),COLUMN(B$1))</x:f>
        <x:v>235</x:v>
      </x:c>
      <x:c r="D81" s="62">
        <x:f t="array" ref="D81:D81">INDEX($B$4:$M$27,MATCH($A81,$U$4:$U$27,0),COLUMN(C$1))</x:f>
        <x:v>161</x:v>
      </x:c>
      <x:c r="E81" s="62">
        <x:f t="array" ref="E81:E81">INDEX($B$4:$M$27,MATCH($A81,$U$4:$U$27,0),COLUMN(D$1))</x:f>
        <x:v>170</x:v>
      </x:c>
      <x:c r="F81" s="44">
        <x:f t="shared" si="15"/>
        <x:v>566</x:v>
      </x:c>
      <x:c r="G81" s="45">
        <x:f t="shared" si="16"/>
        <x:v>188.66666666666666</x:v>
      </x:c>
      <x:c r="H81" s="34">
        <x:f t="array" ref="H81:H81">IF(B81="","",IFERROR(INDEX('회원명단 및 기준에버'!D:G,MATCH(B81,'회원명단 및 기준에버'!$C:$C,0),CHOOSE(INT((MONTH($L$2)-1)/3)+1,1,2,3,4)),""))</x:f>
        <x:v>200</x:v>
      </x:c>
      <x:c r="I81" s="38">
        <x:f t="shared" si="10"/>
        <x:v>35</x:v>
      </x:c>
      <x:c r="J81" s="38">
        <x:f t="shared" si="11"/>
        <x:v>-39</x:v>
      </x:c>
      <x:c r="K81" s="38">
        <x:f t="shared" si="12"/>
        <x:v>-30</x:v>
      </x:c>
      <x:c r="L81" s="63">
        <x:f t="shared" si="13"/>
        <x:v>-34</x:v>
      </x:c>
      <x:c r="M81" s="39">
        <x:f t="shared" si="14"/>
        <x:v>-11.333333333333343</x:v>
      </x:c>
    </x:row>
    <x:row r="82" spans="1:13" ht="24.949999999999999" customHeight="1">
      <x:c r="A82" s="12">
        <x:v>21</x:v>
      </x:c>
      <x:c r="B82" s="13" t="str">
        <x:f t="array" ref="B82:B82">INDEX($B$4:$M$27,MATCH($A82,$U$4:$U$27,0),COLUMN(A$1))</x:f>
        <x:v>지 옥 명</x:v>
      </x:c>
      <x:c r="C82" s="62">
        <x:f t="array" ref="C82:C82">INDEX($B$4:$M$27,MATCH($A82,$U$4:$U$27,0),COLUMN(B$1))</x:f>
        <x:v>166</x:v>
      </x:c>
      <x:c r="D82" s="62">
        <x:f t="array" ref="D82:D82">INDEX($B$4:$M$27,MATCH($A82,$U$4:$U$27,0),COLUMN(C$1))</x:f>
        <x:v>157</x:v>
      </x:c>
      <x:c r="E82" s="62">
        <x:f t="array" ref="E82:E82">INDEX($B$4:$M$27,MATCH($A82,$U$4:$U$27,0),COLUMN(D$1))</x:f>
        <x:v>161</x:v>
      </x:c>
      <x:c r="F82" s="44">
        <x:f t="shared" si="15"/>
        <x:v>484</x:v>
      </x:c>
      <x:c r="G82" s="45">
        <x:f t="shared" si="16"/>
        <x:v>161.33333333333334</x:v>
      </x:c>
      <x:c r="H82" s="34">
        <x:f t="array" ref="H82:H82">IF(B82="","",IFERROR(INDEX('회원명단 및 기준에버'!D:G,MATCH(B82,'회원명단 및 기준에버'!$C:$C,0),CHOOSE(INT((MONTH($L$2)-1)/3)+1,1,2,3,4)),""))</x:f>
        <x:v>183</x:v>
      </x:c>
      <x:c r="I82" s="38">
        <x:f t="shared" si="10"/>
        <x:v>-17</x:v>
      </x:c>
      <x:c r="J82" s="38">
        <x:f t="shared" si="11"/>
        <x:v>-26</x:v>
      </x:c>
      <x:c r="K82" s="38">
        <x:f t="shared" si="12"/>
        <x:v>-22</x:v>
      </x:c>
      <x:c r="L82" s="63">
        <x:f t="shared" si="13"/>
        <x:v>-65</x:v>
      </x:c>
      <x:c r="M82" s="39">
        <x:f t="shared" si="14"/>
        <x:v>-21.666666666666657</x:v>
      </x:c>
    </x:row>
    <x:row r="83" spans="1:13" ht="24.949999999999999" customHeight="1">
      <x:c r="A83" s="12">
        <x:v>22</x:v>
      </x:c>
      <x:c r="B83" s="13" t="str">
        <x:f t="array" ref="B83:B83">INDEX($B$4:$M$27,MATCH($A83,$U$4:$U$27,0),COLUMN(A$1))</x:f>
        <x:v>김 선 미</x:v>
      </x:c>
      <x:c r="C83" s="62">
        <x:f t="array" ref="C83:C83">INDEX($B$4:$M$27,MATCH($A83,$U$4:$U$27,0),COLUMN(B$1))</x:f>
        <x:v>123</x:v>
      </x:c>
      <x:c r="D83" s="62">
        <x:f t="array" ref="D83:D83">INDEX($B$4:$M$27,MATCH($A83,$U$4:$U$27,0),COLUMN(C$1))</x:f>
        <x:v>155</x:v>
      </x:c>
      <x:c r="E83" s="62">
        <x:f t="array" ref="E83:E83">INDEX($B$4:$M$27,MATCH($A83,$U$4:$U$27,0),COLUMN(D$1))</x:f>
        <x:v>129</x:v>
      </x:c>
      <x:c r="F83" s="44">
        <x:f t="shared" si="15"/>
        <x:v>407</x:v>
      </x:c>
      <x:c r="G83" s="45">
        <x:f t="shared" si="16"/>
        <x:v>135.66666666666666</x:v>
      </x:c>
      <x:c r="H83" s="34">
        <x:f t="array" ref="H83:H83">IF(B83="","",IFERROR(INDEX('회원명단 및 기준에버'!D:G,MATCH(B83,'회원명단 및 기준에버'!$C:$C,0),CHOOSE(INT((MONTH($L$2)-1)/3)+1,1,2,3,4)),""))</x:f>
        <x:v>161</x:v>
      </x:c>
      <x:c r="I83" s="38">
        <x:f t="shared" si="10"/>
        <x:v>-38</x:v>
      </x:c>
      <x:c r="J83" s="38">
        <x:f t="shared" si="11"/>
        <x:v>-6</x:v>
      </x:c>
      <x:c r="K83" s="38">
        <x:f t="shared" si="12"/>
        <x:v>-32</x:v>
      </x:c>
      <x:c r="L83" s="63">
        <x:f t="shared" si="13"/>
        <x:v>-76</x:v>
      </x:c>
      <x:c r="M83" s="39">
        <x:f t="shared" si="14"/>
        <x:v>-25.333333333333343</x:v>
      </x:c>
    </x:row>
    <x:row r="84" spans="1:13" ht="24.949999999999999" customHeight="1">
      <x:c r="A84" s="12">
        <x:v>23</x:v>
      </x:c>
      <x:c r="B84" s="13" t="str">
        <x:f t="array" ref="B84:B84">INDEX($B$4:$M$27,MATCH($A84,$U$4:$U$27,0),COLUMN(A$1))</x:f>
        <x:v>이 우 석</x:v>
      </x:c>
      <x:c r="C84" s="62">
        <x:f t="array" ref="C84:C84">INDEX($B$4:$M$27,MATCH($A84,$U$4:$U$27,0),COLUMN(B$1))</x:f>
        <x:v>127</x:v>
      </x:c>
      <x:c r="D84" s="62">
        <x:f t="array" ref="D84:D84">INDEX($B$4:$M$27,MATCH($A84,$U$4:$U$27,0),COLUMN(C$1))</x:f>
        <x:v>191</x:v>
      </x:c>
      <x:c r="E84" s="62">
        <x:f t="array" ref="E84:E84">INDEX($B$4:$M$27,MATCH($A84,$U$4:$U$27,0),COLUMN(D$1))</x:f>
        <x:v>191</x:v>
      </x:c>
      <x:c r="F84" s="44">
        <x:f t="shared" si="15"/>
        <x:v>509</x:v>
      </x:c>
      <x:c r="G84" s="45">
        <x:f t="shared" si="16"/>
        <x:v>169.66666666666666</x:v>
      </x:c>
      <x:c r="H84" s="34">
        <x:f t="array" ref="H84:H84">IF(B84="","",IFERROR(INDEX('회원명단 및 기준에버'!D:G,MATCH(B84,'회원명단 및 기준에버'!$C:$C,0),CHOOSE(INT((MONTH($L$2)-1)/3)+1,1,2,3,4)),""))</x:f>
        <x:v>200</x:v>
      </x:c>
      <x:c r="I84" s="38">
        <x:f t="shared" si="10"/>
        <x:v>-73</x:v>
      </x:c>
      <x:c r="J84" s="38">
        <x:f t="shared" si="11"/>
        <x:v>-9</x:v>
      </x:c>
      <x:c r="K84" s="38">
        <x:f t="shared" si="12"/>
        <x:v>-9</x:v>
      </x:c>
      <x:c r="L84" s="63">
        <x:f t="shared" si="13"/>
        <x:v>-91</x:v>
      </x:c>
      <x:c r="M84" s="39">
        <x:f t="shared" si="14"/>
        <x:v>-30.333333333333343</x:v>
      </x:c>
    </x:row>
    <x:row r="85" spans="1:13" ht="24.949999999999999" customHeight="1">
      <x:c r="A85" s="12">
        <x:v>24</x:v>
      </x:c>
      <x:c r="B85" s="13">
        <x:f t="array" ref="B85:B85">INDEX($B$4:$M$27,MATCH($A85,$U$4:$U$27,0),COLUMN(A$1))</x:f>
        <x:v>0</x:v>
      </x:c>
      <x:c r="C85" s="62">
        <x:f t="array" ref="C85:C85">INDEX($B$4:$M$27,MATCH($A85,$U$4:$U$27,0),COLUMN(B$1))</x:f>
        <x:v>0</x:v>
      </x:c>
      <x:c r="D85" s="62">
        <x:f t="array" ref="D85:D85">INDEX($B$4:$M$27,MATCH($A85,$U$4:$U$27,0),COLUMN(C$1))</x:f>
        <x:v>0</x:v>
      </x:c>
      <x:c r="E85" s="62">
        <x:f t="array" ref="E85:E85">INDEX($B$4:$M$27,MATCH($A85,$U$4:$U$27,0),COLUMN(D$1))</x:f>
        <x:v>0</x:v>
      </x:c>
      <x:c r="F85" s="44">
        <x:f t="shared" si="15"/>
        <x:v>0</x:v>
      </x:c>
      <x:c r="G85" s="45">
        <x:f t="shared" si="16"/>
        <x:v>0</x:v>
      </x:c>
      <x:c r="H85" s="34" t="str">
        <x:f t="array" ref="H85:H85">IF(B85="","",IFERROR(INDEX('회원명단 및 기준에버'!D:G,MATCH(B85,'회원명단 및 기준에버'!$C:$C,0),CHOOSE(INT((MONTH($L$2)-1)/3)+1,1,2,3,4)),""))</x:f>
        <x:v/>
      </x:c>
      <x:c r="I85" s="38">
        <x:f t="shared" si="10"/>
        <x:v>0</x:v>
      </x:c>
      <x:c r="J85" s="38">
        <x:f t="shared" si="11"/>
        <x:v>0</x:v>
      </x:c>
      <x:c r="K85" s="38">
        <x:f t="shared" si="12"/>
        <x:v>0</x:v>
      </x:c>
      <x:c r="L85" s="63">
        <x:f t="shared" si="13"/>
        <x:v>0</x:v>
      </x:c>
      <x:c r="M85" s="39">
        <x:f t="shared" si="14"/>
        <x:v>0</x:v>
      </x:c>
    </x:row>
    <x:row r="86" spans="2:13" ht="24.949999999999999" customHeight="1">
      <x:c r="B86" s="168" t="s">
        <x:v>63</x:v>
      </x:c>
      <x:c r="C86" s="169"/>
      <x:c r="D86" s="169"/>
      <x:c r="E86" s="169"/>
      <x:c r="F86" s="169"/>
      <x:c r="G86" s="169"/>
      <x:c r="H86" s="169"/>
      <x:c r="I86" s="169"/>
      <x:c r="J86" s="169"/>
      <x:c r="K86" s="169"/>
      <x:c r="L86" s="169"/>
      <x:c r="M86" s="170"/>
    </x:row>
    <x:row r="87" spans="2:13" ht="24.949999999999999" customHeight="1">
      <x:c r="B87" s="171" t="s">
        <x:v>68</x:v>
      </x:c>
      <x:c r="C87" s="172"/>
      <x:c r="D87" s="172"/>
      <x:c r="E87" s="173"/>
      <x:c r="F87" s="174" t="s">
        <x:v>28</x:v>
      </x:c>
      <x:c r="G87" s="176" t="s">
        <x:v>14</x:v>
      </x:c>
      <x:c r="H87" s="177"/>
      <x:c r="I87" s="178"/>
      <x:c r="J87" s="179" t="s">
        <x:v>55</x:v>
      </x:c>
      <x:c r="K87" s="180"/>
      <x:c r="L87" s="180"/>
      <x:c r="M87" s="181"/>
    </x:row>
    <x:row r="88" spans="2:13" ht="24.949999999999999" customHeight="1">
      <x:c r="B88" s="54" t="str">
        <x:f>IF(B30="","",B30)</x:f>
        <x:v>천 성 일</x:v>
      </x:c>
      <x:c r="C88" s="24">
        <x:f>IF(C30="","",C30)</x:f>
        <x:v>43</x:v>
      </x:c>
      <x:c r="D88" s="24" t="str">
        <x:f>IF(D30="","",D30)</x:f>
        <x:v>임 연 진</x:v>
      </x:c>
      <x:c r="E88" s="25">
        <x:f>IF(E30="","",E30)</x:f>
        <x:v>16.300000000000001</x:v>
      </x:c>
      <x:c r="F88" s="175"/>
      <x:c r="G88" s="182" t="s">
        <x:v>62</x:v>
      </x:c>
      <x:c r="H88" s="183"/>
      <x:c r="I88" s="184"/>
      <x:c r="J88" s="26" t="str">
        <x:f>IF(J30="","",J30)</x:f>
        <x:v/>
      </x:c>
      <x:c r="K88" s="27" t="str">
        <x:f>IF(K30="","",K30)</x:f>
        <x:v/>
      </x:c>
      <x:c r="L88" s="27" t="str">
        <x:f>IF(L30="","",L30)</x:f>
        <x:v/>
      </x:c>
      <x:c r="M88" s="28" t="str">
        <x:f>IF(M30="","",M30)</x:f>
        <x:v/>
      </x:c>
    </x:row>
    <x:row r="89" spans="2:13" ht="24.949999999999999" customHeight="1">
      <x:c r="B89" s="155" t="s">
        <x:v>29</x:v>
      </x:c>
      <x:c r="C89" s="156"/>
      <x:c r="D89" s="156"/>
      <x:c r="E89" s="156"/>
      <x:c r="F89" s="156"/>
      <x:c r="G89" s="156"/>
      <x:c r="H89" s="157"/>
      <x:c r="I89" s="158" t="s">
        <x:v>66</x:v>
      </x:c>
      <x:c r="J89" s="159"/>
      <x:c r="K89" s="160" t="s">
        <x:v>67</x:v>
      </x:c>
      <x:c r="L89" s="161"/>
      <x:c r="M89" s="162"/>
    </x:row>
    <x:row r="90" spans="2:13" ht="24.949999999999999" customHeight="1">
      <x:c r="B90" s="21" t="str">
        <x:f t="shared" ref="B90:G92" si="17">IF(B32="","",B32)</x:f>
        <x:v>변 상 필</x:v>
      </x:c>
      <x:c r="C90" s="64">
        <x:f t="shared" si="17"/>
        <x:v>224</x:v>
      </x:c>
      <x:c r="D90" s="32" t="str">
        <x:f t="shared" si="17"/>
        <x:v/>
      </x:c>
      <x:c r="E90" s="67" t="str">
        <x:f t="shared" si="17"/>
        <x:v/>
      </x:c>
      <x:c r="F90" s="30" t="str">
        <x:f t="shared" si="17"/>
        <x:v/>
      </x:c>
      <x:c r="G90" s="70" t="str">
        <x:f t="shared" si="17"/>
        <x:v/>
      </x:c>
      <x:c r="H90" s="157"/>
      <x:c r="I90" s="23" t="str">
        <x:f>IF(I32="","",I32)</x:f>
        <x:v/>
      </x:c>
      <x:c r="J90" s="50" t="str">
        <x:f>IF(J32="","",J32)</x:f>
        <x:v/>
      </x:c>
      <x:c r="K90" s="57" t="str">
        <x:f>IF(K32="","",K32)</x:f>
        <x:v/>
      </x:c>
      <x:c r="L90" s="58" t="str">
        <x:f t="shared" ref="L90:M90" si="18">IF(L32="","",L32)</x:f>
        <x:v/>
      </x:c>
      <x:c r="M90" s="59" t="str">
        <x:f t="shared" si="18"/>
        <x:v/>
      </x:c>
    </x:row>
    <x:row r="91" spans="2:13" ht="24.949999999999999" customHeight="1">
      <x:c r="B91" s="46" t="str">
        <x:f t="shared" si="17"/>
        <x:v>이 대 용</x:v>
      </x:c>
      <x:c r="C91" s="65">
        <x:f t="shared" si="17"/>
        <x:v>236</x:v>
      </x:c>
      <x:c r="D91" s="47" t="str">
        <x:f t="shared" si="17"/>
        <x:v/>
      </x:c>
      <x:c r="E91" s="68" t="str">
        <x:f t="shared" si="17"/>
        <x:v/>
      </x:c>
      <x:c r="F91" s="48" t="str">
        <x:f t="shared" si="17"/>
        <x:v/>
      </x:c>
      <x:c r="G91" s="71" t="str">
        <x:f t="shared" si="17"/>
        <x:v/>
      </x:c>
      <x:c r="H91" s="157"/>
      <x:c r="I91" s="49" t="str">
        <x:f>IF(I33="","",I33)</x:f>
        <x:v/>
      </x:c>
      <x:c r="J91" s="51" t="str">
        <x:f>IF(J33="","",J33)</x:f>
        <x:v/>
      </x:c>
      <x:c r="K91" s="57" t="str">
        <x:f t="shared" ref="K91:M92" si="19">IF(K33="","",K33)</x:f>
        <x:v/>
      </x:c>
      <x:c r="L91" s="58" t="str">
        <x:f t="shared" si="19"/>
        <x:v/>
      </x:c>
      <x:c r="M91" s="59" t="str">
        <x:f t="shared" si="19"/>
        <x:v/>
      </x:c>
    </x:row>
    <x:row r="92" spans="2:13" ht="24.949999999999999" customHeight="1">
      <x:c r="B92" s="29" t="str">
        <x:f t="shared" si="17"/>
        <x:v/>
      </x:c>
      <x:c r="C92" s="66" t="str">
        <x:f t="shared" si="17"/>
        <x:v/>
      </x:c>
      <x:c r="D92" s="33" t="str">
        <x:f t="shared" si="17"/>
        <x:v/>
      </x:c>
      <x:c r="E92" s="69" t="str">
        <x:f t="shared" si="17"/>
        <x:v/>
      </x:c>
      <x:c r="F92" s="31" t="str">
        <x:f t="shared" si="17"/>
        <x:v/>
      </x:c>
      <x:c r="G92" s="72" t="str">
        <x:f t="shared" si="17"/>
        <x:v/>
      </x:c>
      <x:c r="H92" s="157"/>
      <x:c r="I92" s="24" t="str">
        <x:f>IF(I34="","",I34)</x:f>
        <x:v/>
      </x:c>
      <x:c r="J92" s="52" t="str">
        <x:f>IF(J34="","",J34)</x:f>
        <x:v/>
      </x:c>
      <x:c r="K92" s="60" t="str">
        <x:f t="shared" si="19"/>
        <x:v/>
      </x:c>
      <x:c r="L92" s="53" t="str">
        <x:f t="shared" si="19"/>
        <x:v/>
      </x:c>
      <x:c r="M92" s="61" t="str">
        <x:f t="shared" si="19"/>
        <x:v/>
      </x:c>
    </x:row>
    <x:row r="93" spans="2:13" ht="24.949999999999999" customHeight="1">
      <x:c r="B93" s="163" t="s">
        <x:v>51</x:v>
      </x:c>
      <x:c r="C93" s="164"/>
      <x:c r="D93" s="164"/>
      <x:c r="E93" s="164"/>
      <x:c r="F93" s="164"/>
      <x:c r="G93" s="164"/>
      <x:c r="H93" s="164"/>
      <x:c r="I93" s="164"/>
      <x:c r="J93" s="164"/>
      <x:c r="K93" s="164"/>
      <x:c r="L93" s="164"/>
      <x:c r="M93" s="165"/>
    </x:row>
    <x:row r="94" spans="2:13" ht="24.949999999999999" customHeight="1">
      <x:c r="B94" s="35" t="str">
        <x:f t="shared" ref="B94:F98" si="20">IF(B36="","",B36)</x:f>
        <x:v>이 우 석</x:v>
      </x:c>
      <x:c r="C94" s="40">
        <x:f t="shared" si="20"/>
        <x:v>-73</x:v>
      </x:c>
      <x:c r="D94" s="40">
        <x:f t="shared" si="20"/>
        <x:v>-9</x:v>
      </x:c>
      <x:c r="E94" s="40">
        <x:f t="shared" si="20"/>
        <x:v>-9</x:v>
      </x:c>
      <x:c r="F94" s="141">
        <x:f>E97</x:f>
        <x:v>-18</x:v>
      </x:c>
      <x:c r="G94" s="144">
        <x:v>3</x:v>
      </x:c>
      <x:c r="H94" s="79" t="str">
        <x:f t="shared" ref="H94:L98" si="21">IF(H36="","",H36)</x:f>
        <x:v>장 영 민</x:v>
      </x:c>
      <x:c r="I94" s="135">
        <x:f t="shared" si="21"/>
        <x:v>35</x:v>
      </x:c>
      <x:c r="J94" s="40">
        <x:f t="shared" si="21"/>
        <x:v>-39</x:v>
      </x:c>
      <x:c r="K94" s="40">
        <x:f t="shared" si="21"/>
        <x:v>-30</x:v>
      </x:c>
      <x:c r="L94" s="149">
        <x:f t="shared" si="21"/>
        <x:v>18</x:v>
      </x:c>
      <x:c r="M94" s="152">
        <x:v>2</x:v>
      </x:c>
    </x:row>
    <x:row r="95" spans="2:13" ht="24.949999999999999" customHeight="1">
      <x:c r="B95" s="36" t="str">
        <x:f t="shared" si="20"/>
        <x:v>임 연 진</x:v>
      </x:c>
      <x:c r="C95" s="134">
        <x:f t="shared" si="20"/>
        <x:v>31</x:v>
      </x:c>
      <x:c r="D95" s="41">
        <x:f t="shared" si="20"/>
        <x:v>18</x:v>
      </x:c>
      <x:c r="E95" s="41">
        <x:f t="shared" si="20"/>
        <x:v>0</x:v>
      </x:c>
      <x:c r="F95" s="142" t="str">
        <x:f t="shared" si="20"/>
        <x:v/>
      </x:c>
      <x:c r="G95" s="145"/>
      <x:c r="H95" s="36" t="str">
        <x:f t="shared" si="21"/>
        <x:v>김 정 희</x:v>
      </x:c>
      <x:c r="I95" s="41">
        <x:f t="shared" si="21"/>
        <x:v>7</x:v>
      </x:c>
      <x:c r="J95" s="41">
        <x:f t="shared" si="21"/>
        <x:v>-11</x:v>
      </x:c>
      <x:c r="K95" s="41">
        <x:f t="shared" si="21"/>
        <x:v>55</x:v>
      </x:c>
      <x:c r="L95" s="150" t="str">
        <x:f t="shared" si="21"/>
        <x:v/>
      </x:c>
      <x:c r="M95" s="153"/>
    </x:row>
    <x:row r="96" spans="2:13" ht="24.949999999999999" customHeight="1">
      <x:c r="B96" s="36" t="str">
        <x:f t="shared" si="20"/>
        <x:v>박 성 현</x:v>
      </x:c>
      <x:c r="C96" s="134">
        <x:f t="shared" si="20"/>
        <x:v>-20</x:v>
      </x:c>
      <x:c r="D96" s="41">
        <x:f t="shared" si="20"/>
        <x:v>14</x:v>
      </x:c>
      <x:c r="E96" s="41">
        <x:f t="shared" si="20"/>
        <x:v>21</x:v>
      </x:c>
      <x:c r="F96" s="142" t="str">
        <x:f t="shared" si="20"/>
        <x:v/>
      </x:c>
      <x:c r="G96" s="145"/>
      <x:c r="H96" s="36" t="str">
        <x:f t="shared" si="21"/>
        <x:v>천 성 일</x:v>
      </x:c>
      <x:c r="I96" s="134">
        <x:f t="shared" si="21"/>
        <x:v>45</x:v>
      </x:c>
      <x:c r="J96" s="134">
        <x:f t="shared" si="21"/>
        <x:v>66</x:v>
      </x:c>
      <x:c r="K96" s="134">
        <x:f t="shared" si="21"/>
        <x:v>18</x:v>
      </x:c>
      <x:c r="L96" s="150" t="str">
        <x:f t="shared" si="21"/>
        <x:v/>
      </x:c>
      <x:c r="M96" s="153"/>
    </x:row>
    <x:row r="97" spans="2:13" ht="24.949999999999999" customHeight="1">
      <x:c r="B97" s="36" t="str">
        <x:f t="shared" si="20"/>
        <x:v>이 재 용</x:v>
      </x:c>
      <x:c r="C97" s="134">
        <x:f t="shared" si="20"/>
        <x:v>-39</x:v>
      </x:c>
      <x:c r="D97" s="134">
        <x:f t="shared" si="20"/>
        <x:v>57</x:v>
      </x:c>
      <x:c r="E97" s="134">
        <x:f t="shared" si="20"/>
        <x:v>-18</x:v>
      </x:c>
      <x:c r="F97" s="142" t="str">
        <x:f t="shared" si="20"/>
        <x:v/>
      </x:c>
      <x:c r="G97" s="145"/>
      <x:c r="H97" s="36" t="str">
        <x:f t="shared" si="21"/>
        <x:v>진 명 옥</x:v>
      </x:c>
      <x:c r="I97" s="134">
        <x:f t="shared" si="21"/>
        <x:v>30</x:v>
      </x:c>
      <x:c r="J97" s="41">
        <x:f t="shared" si="21"/>
        <x:v>-4</x:v>
      </x:c>
      <x:c r="K97" s="41">
        <x:f t="shared" si="21"/>
        <x:v>-17</x:v>
      </x:c>
      <x:c r="L97" s="150" t="str">
        <x:f t="shared" si="21"/>
        <x:v/>
      </x:c>
      <x:c r="M97" s="153"/>
    </x:row>
    <x:row r="98" spans="2:13" ht="24.949999999999999" customHeight="1">
      <x:c r="B98" s="36" t="str">
        <x:f t="shared" si="20"/>
        <x:v>김 선 미</x:v>
      </x:c>
      <x:c r="C98" s="41">
        <x:f t="shared" si="20"/>
        <x:v>-38</x:v>
      </x:c>
      <x:c r="D98" s="41">
        <x:f t="shared" si="20"/>
        <x:v>-6</x:v>
      </x:c>
      <x:c r="E98" s="41">
        <x:f t="shared" si="20"/>
        <x:v>-32</x:v>
      </x:c>
      <x:c r="F98" s="142" t="str">
        <x:f t="shared" si="20"/>
        <x:v/>
      </x:c>
      <x:c r="G98" s="145"/>
      <x:c r="H98" s="36">
        <x:f t="shared" si="21"/>
        <x:v>0</x:v>
      </x:c>
      <x:c r="I98" s="41">
        <x:f t="shared" si="21"/>
        <x:v>0</x:v>
      </x:c>
      <x:c r="J98" s="41">
        <x:f t="shared" si="21"/>
        <x:v>0</x:v>
      </x:c>
      <x:c r="K98" s="41">
        <x:f t="shared" si="21"/>
        <x:v>0</x:v>
      </x:c>
      <x:c r="L98" s="150" t="str">
        <x:f t="shared" si="21"/>
        <x:v/>
      </x:c>
      <x:c r="M98" s="153"/>
    </x:row>
    <x:row r="99" spans="2:13" ht="24.949999999999999" customHeight="1">
      <x:c r="B99" s="37" t="str">
        <x:f t="shared" ref="B99:F99" si="22">IF(B41="","",B41)</x:f>
        <x:v/>
      </x:c>
      <x:c r="C99" s="42">
        <x:f t="shared" si="22"/>
        <x:v>-139</x:v>
      </x:c>
      <x:c r="D99" s="42">
        <x:f t="shared" si="22"/>
        <x:v>74</x:v>
      </x:c>
      <x:c r="E99" s="42">
        <x:f t="shared" si="22"/>
        <x:v>-38</x:v>
      </x:c>
      <x:c r="F99" s="143" t="str">
        <x:f t="shared" si="22"/>
        <x:v/>
      </x:c>
      <x:c r="G99" s="146"/>
      <x:c r="H99" s="37" t="str">
        <x:f t="shared" ref="H99:L99" si="23">IF(H41="","",H41)</x:f>
        <x:v/>
      </x:c>
      <x:c r="I99" s="42">
        <x:f t="shared" si="23"/>
        <x:v>117</x:v>
      </x:c>
      <x:c r="J99" s="42">
        <x:f t="shared" si="23"/>
        <x:v>12</x:v>
      </x:c>
      <x:c r="K99" s="42">
        <x:f t="shared" si="23"/>
        <x:v>26</x:v>
      </x:c>
      <x:c r="L99" s="151" t="str">
        <x:f t="shared" si="23"/>
        <x:v/>
      </x:c>
      <x:c r="M99" s="154"/>
    </x:row>
    <x:row r="100" spans="2:13" ht="24.949999999999999" customHeight="1"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</x:row>
    <x:row r="101" spans="2:13" ht="24.949999999999999" customHeight="1">
      <x:c r="B101" s="35" t="str">
        <x:f t="shared" ref="B101:M105" si="24">IF(B43="","",B43)</x:f>
        <x:v>이 대 용</x:v>
      </x:c>
      <x:c r="C101" s="135">
        <x:f t="shared" si="24"/>
        <x:v>36</x:v>
      </x:c>
      <x:c r="D101" s="40">
        <x:f t="shared" si="24"/>
        <x:v>-11</x:v>
      </x:c>
      <x:c r="E101" s="40">
        <x:f t="shared" si="24"/>
        <x:v>32</x:v>
      </x:c>
      <x:c r="F101" s="149">
        <x:f t="shared" si="24"/>
        <x:v>61</x:v>
      </x:c>
      <x:c r="G101" s="152">
        <x:f t="shared" si="24"/>
        <x:v>1</x:v>
      </x:c>
      <x:c r="H101" s="79" t="str">
        <x:f t="shared" si="24"/>
        <x:v>변 상 필</x:v>
      </x:c>
      <x:c r="I101" s="135">
        <x:f t="shared" si="24"/>
        <x:v>24</x:v>
      </x:c>
      <x:c r="J101" s="40">
        <x:f t="shared" si="24"/>
        <x:v>-43</x:v>
      </x:c>
      <x:c r="K101" s="40">
        <x:f t="shared" si="24"/>
        <x:v>56</x:v>
      </x:c>
      <x:c r="L101" s="149">
        <x:f t="shared" si="24"/>
        <x:v>-17</x:v>
      </x:c>
      <x:c r="M101" s="152">
        <x:f t="shared" si="24"/>
        <x:v>4</x:v>
      </x:c>
    </x:row>
    <x:row r="102" spans="2:13" ht="24.949999999999999" customHeight="1">
      <x:c r="B102" s="36" t="str">
        <x:f t="shared" si="24"/>
        <x:v>김 태 환</x:v>
      </x:c>
      <x:c r="C102" s="134">
        <x:f t="shared" si="24"/>
        <x:v>26</x:v>
      </x:c>
      <x:c r="D102" s="134">
        <x:f t="shared" si="24"/>
        <x:v>17</x:v>
      </x:c>
      <x:c r="E102" s="134">
        <x:f t="shared" si="24"/>
        <x:v>61</x:v>
      </x:c>
      <x:c r="F102" s="150" t="str">
        <x:f t="shared" si="24"/>
        <x:v/>
      </x:c>
      <x:c r="G102" s="153" t="str">
        <x:f t="shared" si="24"/>
        <x:v/>
      </x:c>
      <x:c r="H102" s="36" t="str">
        <x:f t="shared" si="24"/>
        <x:v>김 종 훈</x:v>
      </x:c>
      <x:c r="I102" s="41">
        <x:f t="shared" si="24"/>
        <x:v>-14</x:v>
      </x:c>
      <x:c r="J102" s="41">
        <x:f t="shared" si="24"/>
        <x:v>59</x:v>
      </x:c>
      <x:c r="K102" s="41">
        <x:f t="shared" si="24"/>
        <x:v>-29</x:v>
      </x:c>
      <x:c r="L102" s="150" t="str">
        <x:f t="shared" si="24"/>
        <x:v/>
      </x:c>
      <x:c r="M102" s="153" t="str">
        <x:f t="shared" si="24"/>
        <x:v/>
      </x:c>
    </x:row>
    <x:row r="103" spans="2:13" ht="24.949999999999999" customHeight="1">
      <x:c r="B103" s="36" t="str">
        <x:f t="shared" si="24"/>
        <x:v>이 정 석</x:v>
      </x:c>
      <x:c r="C103" s="134">
        <x:f t="shared" si="24"/>
        <x:v>8</x:v>
      </x:c>
      <x:c r="D103" s="41">
        <x:f t="shared" si="24"/>
        <x:v>10</x:v>
      </x:c>
      <x:c r="E103" s="41">
        <x:f t="shared" si="24"/>
        <x:v>49</x:v>
      </x:c>
      <x:c r="F103" s="150" t="str">
        <x:f t="shared" si="24"/>
        <x:v/>
      </x:c>
      <x:c r="G103" s="153" t="str">
        <x:f t="shared" si="24"/>
        <x:v/>
      </x:c>
      <x:c r="H103" s="36" t="str">
        <x:f t="shared" si="24"/>
        <x:v>황 인 교</x:v>
      </x:c>
      <x:c r="I103" s="134">
        <x:f t="shared" si="24"/>
        <x:v>15</x:v>
      </x:c>
      <x:c r="J103" s="134">
        <x:f t="shared" si="24"/>
        <x:v>5</x:v>
      </x:c>
      <x:c r="K103" s="134">
        <x:f t="shared" si="24"/>
        <x:v>-17</x:v>
      </x:c>
      <x:c r="L103" s="150" t="str">
        <x:f t="shared" si="24"/>
        <x:v/>
      </x:c>
      <x:c r="M103" s="153" t="str">
        <x:f t="shared" si="24"/>
        <x:v/>
      </x:c>
    </x:row>
    <x:row r="104" spans="2:13" ht="24.949999999999999" customHeight="1">
      <x:c r="B104" s="36" t="str">
        <x:f t="shared" si="24"/>
        <x:v>지 옥 명</x:v>
      </x:c>
      <x:c r="C104" s="41">
        <x:f t="shared" si="24"/>
        <x:v>-17</x:v>
      </x:c>
      <x:c r="D104" s="41">
        <x:f t="shared" si="24"/>
        <x:v>-26</x:v>
      </x:c>
      <x:c r="E104" s="41">
        <x:f t="shared" si="24"/>
        <x:v>-22</x:v>
      </x:c>
      <x:c r="F104" s="150" t="str">
        <x:f t="shared" si="24"/>
        <x:v/>
      </x:c>
      <x:c r="G104" s="153" t="str">
        <x:f t="shared" si="24"/>
        <x:v/>
      </x:c>
      <x:c r="H104" s="36" t="str">
        <x:f t="shared" si="24"/>
        <x:v>엄 정 도</x:v>
      </x:c>
      <x:c r="I104" s="134">
        <x:f t="shared" si="24"/>
        <x:v>32</x:v>
      </x:c>
      <x:c r="J104" s="41">
        <x:f t="shared" si="24"/>
        <x:v>-3</x:v>
      </x:c>
      <x:c r="K104" s="41">
        <x:f t="shared" si="24"/>
        <x:v>10</x:v>
      </x:c>
      <x:c r="L104" s="150" t="str">
        <x:f t="shared" si="24"/>
        <x:v/>
      </x:c>
      <x:c r="M104" s="153" t="str">
        <x:f t="shared" si="24"/>
        <x:v/>
      </x:c>
    </x:row>
    <x:row r="105" spans="2:13" ht="24.949999999999999" customHeight="1">
      <x:c r="B105" s="36" t="str">
        <x:f t="shared" si="24"/>
        <x:v>손 은 주</x:v>
      </x:c>
      <x:c r="C105" s="41">
        <x:f t="shared" si="24"/>
        <x:v>-6</x:v>
      </x:c>
      <x:c r="D105" s="41">
        <x:f t="shared" si="24"/>
        <x:v>32</x:v>
      </x:c>
      <x:c r="E105" s="41">
        <x:f t="shared" si="24"/>
        <x:v>-5</x:v>
      </x:c>
      <x:c r="F105" s="150" t="str">
        <x:f t="shared" si="24"/>
        <x:v/>
      </x:c>
      <x:c r="G105" s="153" t="str">
        <x:f t="shared" si="24"/>
        <x:v/>
      </x:c>
      <x:c r="H105" s="36" t="str">
        <x:f t="shared" si="24"/>
        <x:v>김 미 란</x:v>
      </x:c>
      <x:c r="I105" s="41">
        <x:f t="shared" si="24"/>
        <x:v>2</x:v>
      </x:c>
      <x:c r="J105" s="41">
        <x:f t="shared" si="24"/>
        <x:v>7</x:v>
      </x:c>
      <x:c r="K105" s="41">
        <x:f t="shared" si="24"/>
        <x:v>11</x:v>
      </x:c>
      <x:c r="L105" s="150" t="str">
        <x:f t="shared" si="24"/>
        <x:v/>
      </x:c>
      <x:c r="M105" s="153" t="str">
        <x:f t="shared" si="24"/>
        <x:v/>
      </x:c>
    </x:row>
    <x:row r="106" spans="2:13" ht="24.949999999999999" customHeight="1">
      <x:c r="B106" s="37" t="str">
        <x:f t="shared" ref="B106:M106" si="25">IF(B48="","",B48)</x:f>
        <x:v/>
      </x:c>
      <x:c r="C106" s="42">
        <x:f t="shared" si="25"/>
        <x:v>47</x:v>
      </x:c>
      <x:c r="D106" s="42">
        <x:f t="shared" si="25"/>
        <x:v>22</x:v>
      </x:c>
      <x:c r="E106" s="42">
        <x:f t="shared" si="25"/>
        <x:v>115</x:v>
      </x:c>
      <x:c r="F106" s="151" t="str">
        <x:f t="shared" si="25"/>
        <x:v/>
      </x:c>
      <x:c r="G106" s="154" t="str">
        <x:f t="shared" si="25"/>
        <x:v/>
      </x:c>
      <x:c r="H106" s="37" t="str">
        <x:f t="shared" si="25"/>
        <x:v/>
      </x:c>
      <x:c r="I106" s="42">
        <x:f t="shared" si="25"/>
        <x:v>59</x:v>
      </x:c>
      <x:c r="J106" s="42">
        <x:f t="shared" si="25"/>
        <x:v>25</x:v>
      </x:c>
      <x:c r="K106" s="42">
        <x:f t="shared" si="25"/>
        <x:v>31</x:v>
      </x:c>
      <x:c r="L106" s="151" t="str">
        <x:f t="shared" si="25"/>
        <x:v/>
      </x:c>
      <x:c r="M106" s="154" t="str">
        <x:f t="shared" si="25"/>
        <x:v/>
      </x:c>
    </x:row>
    <x:row r="107" ht="24.949999999999999" customHeight="1"/>
    <x:row r="108" spans="2:13" ht="24.949999999999999" customHeight="1">
      <x:c r="B108" s="35" t="str">
        <x:f t="shared" ref="B108:G112" si="26">IF(B50="","",B50)</x:f>
        <x:v>박 시 진</x:v>
      </x:c>
      <x:c r="C108" s="135">
        <x:f t="shared" si="26"/>
        <x:v>29</x:v>
      </x:c>
      <x:c r="D108" s="40">
        <x:f t="shared" si="26"/>
        <x:v>9</x:v>
      </x:c>
      <x:c r="E108" s="40">
        <x:f t="shared" si="26"/>
        <x:v>-29</x:v>
      </x:c>
      <x:c r="F108" s="141">
        <x:f t="shared" si="26"/>
        <x:v>-32</x:v>
      </x:c>
      <x:c r="G108" s="144">
        <x:f t="shared" si="26"/>
        <x:v>5</x:v>
      </x:c>
      <x:c r="H108" s="18"/>
      <x:c r="I108" s="80"/>
      <x:c r="J108" s="80"/>
      <x:c r="K108" s="80"/>
      <x:c r="L108" s="147"/>
      <x:c r="M108" s="148"/>
    </x:row>
    <x:row r="109" spans="2:13" ht="24.949999999999999" customHeight="1">
      <x:c r="B109" s="36" t="str">
        <x:f t="shared" si="26"/>
        <x:v>정 영 우</x:v>
      </x:c>
      <x:c r="C109" s="41">
        <x:f t="shared" si="26"/>
        <x:v>-22</x:v>
      </x:c>
      <x:c r="D109" s="41">
        <x:f t="shared" si="26"/>
        <x:v>-16</x:v>
      </x:c>
      <x:c r="E109" s="41">
        <x:f t="shared" si="26"/>
        <x:v>33</x:v>
      </x:c>
      <x:c r="F109" s="142" t="str">
        <x:f t="shared" si="26"/>
        <x:v/>
      </x:c>
      <x:c r="G109" s="145" t="str">
        <x:f t="shared" si="26"/>
        <x:v/>
      </x:c>
      <x:c r="H109" s="18"/>
      <x:c r="I109" s="80"/>
      <x:c r="J109" s="80"/>
      <x:c r="K109" s="80"/>
      <x:c r="L109" s="147"/>
      <x:c r="M109" s="148"/>
    </x:row>
    <x:row r="110" spans="2:13" ht="24.949999999999999" customHeight="1">
      <x:c r="B110" s="36" t="str">
        <x:f t="shared" si="26"/>
        <x:v>나 경 주</x:v>
      </x:c>
      <x:c r="C110" s="134">
        <x:f t="shared" si="26"/>
        <x:v>-9</x:v>
      </x:c>
      <x:c r="D110" s="134">
        <x:f t="shared" si="26"/>
        <x:v>25</x:v>
      </x:c>
      <x:c r="E110" s="134">
        <x:f t="shared" si="26"/>
        <x:v>-32</x:v>
      </x:c>
      <x:c r="F110" s="142" t="str">
        <x:f t="shared" si="26"/>
        <x:v/>
      </x:c>
      <x:c r="G110" s="145" t="str">
        <x:f t="shared" si="26"/>
        <x:v/>
      </x:c>
      <x:c r="H110" s="18"/>
      <x:c r="I110" s="80"/>
      <x:c r="J110" s="80"/>
      <x:c r="K110" s="80"/>
      <x:c r="L110" s="147"/>
      <x:c r="M110" s="148"/>
    </x:row>
    <x:row r="111" spans="2:13" ht="24.949999999999999" customHeight="1">
      <x:c r="B111" s="36" t="str">
        <x:f t="shared" si="26"/>
        <x:v>이 승 미</x:v>
      </x:c>
      <x:c r="C111" s="134">
        <x:f t="shared" si="26"/>
        <x:v>-20</x:v>
      </x:c>
      <x:c r="D111" s="41">
        <x:f t="shared" si="26"/>
        <x:v>4</x:v>
      </x:c>
      <x:c r="E111" s="41">
        <x:f t="shared" si="26"/>
        <x:v>32</x:v>
      </x:c>
      <x:c r="F111" s="142" t="str">
        <x:f t="shared" si="26"/>
        <x:v/>
      </x:c>
      <x:c r="G111" s="145" t="str">
        <x:f t="shared" si="26"/>
        <x:v/>
      </x:c>
      <x:c r="H111" s="18"/>
      <x:c r="I111" s="80"/>
      <x:c r="J111" s="80"/>
      <x:c r="K111" s="80"/>
      <x:c r="L111" s="147"/>
      <x:c r="M111" s="148"/>
    </x:row>
    <x:row r="112" spans="2:13" ht="24.949999999999999" customHeight="1">
      <x:c r="B112" s="36" t="str">
        <x:f t="shared" si="26"/>
        <x:v/>
      </x:c>
      <x:c r="C112" s="41" t="str">
        <x:f t="shared" si="26"/>
        <x:v/>
      </x:c>
      <x:c r="D112" s="41" t="str">
        <x:f t="shared" si="26"/>
        <x:v/>
      </x:c>
      <x:c r="E112" s="41" t="str">
        <x:f t="shared" si="26"/>
        <x:v/>
      </x:c>
      <x:c r="F112" s="142" t="str">
        <x:f t="shared" si="26"/>
        <x:v/>
      </x:c>
      <x:c r="G112" s="145" t="str">
        <x:f t="shared" si="26"/>
        <x:v/>
      </x:c>
      <x:c r="H112" s="18"/>
      <x:c r="I112" s="80"/>
      <x:c r="J112" s="80"/>
      <x:c r="K112" s="80"/>
      <x:c r="L112" s="147"/>
      <x:c r="M112" s="148"/>
    </x:row>
    <x:row r="113" spans="2:13" ht="24.949999999999999" customHeight="1">
      <x:c r="B113" s="37" t="str">
        <x:f t="shared" ref="B113:G113" si="27">IF(B55="","",B55)</x:f>
        <x:v/>
      </x:c>
      <x:c r="C113" s="42">
        <x:f t="shared" si="27"/>
        <x:v>-22</x:v>
      </x:c>
      <x:c r="D113" s="42">
        <x:f t="shared" si="27"/>
        <x:v>22</x:v>
      </x:c>
      <x:c r="E113" s="42">
        <x:f t="shared" si="27"/>
        <x:v>4</x:v>
      </x:c>
      <x:c r="F113" s="143" t="str">
        <x:f t="shared" si="27"/>
        <x:v/>
      </x:c>
      <x:c r="G113" s="146" t="str">
        <x:f t="shared" si="27"/>
        <x:v/>
      </x:c>
      <x:c r="H113" s="18"/>
      <x:c r="I113" s="81"/>
      <x:c r="J113" s="81"/>
      <x:c r="K113" s="81"/>
      <x:c r="L113" s="147"/>
      <x:c r="M113" s="148"/>
    </x:row>
  </x:sheetData>
  <x:mergeCells count="48">
    <x:mergeCell ref="F108:F113"/>
    <x:mergeCell ref="G108:G113"/>
    <x:mergeCell ref="L108:L113"/>
    <x:mergeCell ref="M108:M113"/>
    <x:mergeCell ref="F94:F99"/>
    <x:mergeCell ref="G94:G99"/>
    <x:mergeCell ref="L94:L99"/>
    <x:mergeCell ref="M94:M99"/>
    <x:mergeCell ref="F101:F106"/>
    <x:mergeCell ref="G101:G106"/>
    <x:mergeCell ref="L101:L106"/>
    <x:mergeCell ref="M101:M106"/>
    <x:mergeCell ref="B89:G89"/>
    <x:mergeCell ref="H89:H92"/>
    <x:mergeCell ref="I89:J89"/>
    <x:mergeCell ref="K89:M89"/>
    <x:mergeCell ref="B93:M93"/>
    <x:mergeCell ref="B87:E87"/>
    <x:mergeCell ref="F87:F88"/>
    <x:mergeCell ref="G87:I87"/>
    <x:mergeCell ref="J87:M87"/>
    <x:mergeCell ref="G88:I88"/>
    <x:mergeCell ref="F50:F55"/>
    <x:mergeCell ref="G50:G55"/>
    <x:mergeCell ref="A59:M59"/>
    <x:mergeCell ref="L60:M60"/>
    <x:mergeCell ref="B86:M86"/>
    <x:mergeCell ref="F36:F41"/>
    <x:mergeCell ref="G36:G41"/>
    <x:mergeCell ref="L36:L41"/>
    <x:mergeCell ref="M36:M41"/>
    <x:mergeCell ref="F43:F48"/>
    <x:mergeCell ref="G43:G48"/>
    <x:mergeCell ref="L43:L48"/>
    <x:mergeCell ref="M43:M48"/>
    <x:mergeCell ref="B31:G31"/>
    <x:mergeCell ref="H31:H34"/>
    <x:mergeCell ref="I31:J31"/>
    <x:mergeCell ref="K31:M31"/>
    <x:mergeCell ref="B35:M35"/>
    <x:mergeCell ref="A1:M1"/>
    <x:mergeCell ref="L2:M2"/>
    <x:mergeCell ref="B28:M28"/>
    <x:mergeCell ref="B29:E29"/>
    <x:mergeCell ref="F29:F30"/>
    <x:mergeCell ref="G29:I29"/>
    <x:mergeCell ref="J29:M29"/>
    <x:mergeCell ref="G30:I30"/>
  </x:mergeCells>
  <x:conditionalFormatting sqref="C32:C34">
    <x:cfRule type="cellIs" dxfId="95" priority="19" operator="greaterThan">
      <x:formula>199</x:formula>
    </x:cfRule>
  </x:conditionalFormatting>
  <x:conditionalFormatting sqref="C90:C92">
    <x:cfRule type="cellIs" dxfId="94" priority="3" operator="greaterThan">
      <x:formula>199</x:formula>
    </x:cfRule>
  </x:conditionalFormatting>
  <x:conditionalFormatting sqref="C4:E27">
    <x:cfRule type="cellIs" dxfId="93" priority="14" operator="between">
      <x:formula>200</x:formula>
      <x:formula>200</x:formula>
    </x:cfRule>
    <x:cfRule type="cellIs" dxfId="92" priority="13" operator="between">
      <x:formula>200</x:formula>
      <x:formula>300</x:formula>
    </x:cfRule>
  </x:conditionalFormatting>
  <x:conditionalFormatting sqref="C62:E85">
    <x:cfRule type="cellIs" dxfId="91" priority="7" operator="between">
      <x:formula>200</x:formula>
      <x:formula>200</x:formula>
    </x:cfRule>
    <x:cfRule type="cellIs" dxfId="90" priority="6" operator="between">
      <x:formula>200</x:formula>
      <x:formula>300</x:formula>
    </x:cfRule>
  </x:conditionalFormatting>
  <x:conditionalFormatting sqref="E32:E34">
    <x:cfRule type="cellIs" dxfId="89" priority="18" operator="greaterThan">
      <x:formula>199</x:formula>
    </x:cfRule>
  </x:conditionalFormatting>
  <x:conditionalFormatting sqref="E90:E92">
    <x:cfRule type="cellIs" dxfId="88" priority="2" operator="greaterThan">
      <x:formula>199</x:formula>
    </x:cfRule>
  </x:conditionalFormatting>
  <x:conditionalFormatting sqref="F4:F27">
    <x:cfRule type="cellIs" dxfId="87" priority="22" operator="greaterThan">
      <x:formula>599</x:formula>
    </x:cfRule>
    <x:cfRule type="cellIs" dxfId="86" priority="12" operator="between">
      <x:formula>600</x:formula>
      <x:formula>900</x:formula>
    </x:cfRule>
  </x:conditionalFormatting>
  <x:conditionalFormatting sqref="F62:F85">
    <x:cfRule type="cellIs" dxfId="85" priority="10" operator="greaterThan">
      <x:formula>599</x:formula>
    </x:cfRule>
    <x:cfRule type="cellIs" dxfId="84" priority="5" operator="between">
      <x:formula>600</x:formula>
      <x:formula>900</x:formula>
    </x:cfRule>
  </x:conditionalFormatting>
  <x:conditionalFormatting sqref="G4:G27">
    <x:cfRule type="cellIs" dxfId="83" priority="20" operator="greaterThan">
      <x:formula>199.9</x:formula>
    </x:cfRule>
  </x:conditionalFormatting>
  <x:conditionalFormatting sqref="G32:G34">
    <x:cfRule type="cellIs" dxfId="82" priority="17" operator="greaterThan">
      <x:formula>199</x:formula>
    </x:cfRule>
  </x:conditionalFormatting>
  <x:conditionalFormatting sqref="G62:G85">
    <x:cfRule type="cellIs" dxfId="81" priority="8" operator="greaterThan">
      <x:formula>199.9</x:formula>
    </x:cfRule>
  </x:conditionalFormatting>
  <x:conditionalFormatting sqref="G90:G92">
    <x:cfRule type="cellIs" dxfId="80" priority="1" operator="greaterThan">
      <x:formula>199</x:formula>
    </x:cfRule>
  </x:conditionalFormatting>
  <x:conditionalFormatting sqref="G4:H27">
    <x:cfRule type="cellIs" dxfId="79" priority="11" operator="between">
      <x:formula>200</x:formula>
      <x:formula>300</x:formula>
    </x:cfRule>
  </x:conditionalFormatting>
  <x:conditionalFormatting sqref="G62:H85">
    <x:cfRule type="cellIs" dxfId="78" priority="4" operator="between">
      <x:formula>200</x:formula>
      <x:formula>300</x:formula>
    </x:cfRule>
  </x:conditionalFormatting>
  <x:conditionalFormatting sqref="H4:H27">
    <x:cfRule type="cellIs" dxfId="77" priority="21" operator="greaterThan">
      <x:formula>199</x:formula>
    </x:cfRule>
  </x:conditionalFormatting>
  <x:conditionalFormatting sqref="H62:H85">
    <x:cfRule type="cellIs" dxfId="76" priority="9" operator="greaterThan">
      <x:formula>199</x:formula>
    </x:cfRule>
  </x:conditionalFormatting>
  <x:conditionalFormatting sqref="O31:O31">
    <x:cfRule type="cellIs" dxfId="75" priority="16" operator="greaterThan">
      <x:formula>200</x:formula>
    </x:cfRule>
  </x:conditionalFormatting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  <x:legacyDrawing r:id="rId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V115"/>
  <x:sheetViews>
    <x:sheetView topLeftCell="A70" zoomScale="85" zoomScaleNormal="85" zoomScaleSheetLayoutView="85" workbookViewId="0">
      <x:selection activeCell="P92" activeCellId="0" sqref="P92:P92"/>
    </x:sheetView>
  </x:sheetViews>
  <x:sheetFormatPr defaultColWidth="9" defaultRowHeight="16.399999999999999"/>
  <x:cols>
    <x:col min="1" max="1" width="4.625" style="11" customWidth="1"/>
    <x:col min="2" max="2" width="10.625" style="11" customWidth="1"/>
    <x:col min="3" max="11" width="9.625" style="11" customWidth="1"/>
    <x:col min="12" max="12" width="9" style="11" customWidth="1"/>
    <x:col min="13" max="13" width="9" style="11" bestFit="1" customWidth="1"/>
    <x:col min="14" max="14" width="9.875" style="11" bestFit="1" customWidth="1"/>
    <x:col min="15" max="15" width="9.375" style="11" customWidth="1"/>
    <x:col min="17" max="17" width="10.625" style="11" customWidth="1"/>
    <x:col min="19" max="19" width="13.125" style="11" customWidth="1"/>
    <x:col min="20" max="20" width="9" style="7" bestFit="1" customWidth="1"/>
    <x:col min="21" max="21" width="15" style="11" customWidth="1"/>
    <x:col min="22" max="22" width="9" style="7" bestFit="1" customWidth="1"/>
  </x:cols>
  <x:sheetData>
    <x:row r="1" spans="1:13" ht="60" customHeight="1">
      <x:c r="A1" s="185" t="s">
        <x:v>74</x:v>
      </x:c>
      <x:c r="B1" s="185"/>
      <x:c r="C1" s="185"/>
      <x:c r="D1" s="185"/>
      <x:c r="E1" s="185"/>
      <x:c r="F1" s="185"/>
      <x:c r="G1" s="185"/>
      <x:c r="H1" s="185"/>
      <x:c r="I1" s="185"/>
      <x:c r="J1" s="185"/>
      <x:c r="K1" s="185"/>
      <x:c r="L1" s="185"/>
      <x:c r="M1" s="185"/>
    </x:row>
    <x:row r="2" spans="1:22" ht="22.5" customHeight="1">
      <x:c r="A2" s="77"/>
      <x:c r="B2" s="77"/>
      <x:c r="C2" s="77"/>
      <x:c r="D2" s="77"/>
      <x:c r="E2" s="77"/>
      <x:c r="F2" s="77"/>
      <x:c r="G2" s="77"/>
      <x:c r="H2" s="77"/>
      <x:c r="I2" s="77"/>
      <x:c r="J2" s="77"/>
      <x:c r="K2" s="78" t="s">
        <x:v>8</x:v>
      </x:c>
      <x:c r="L2" s="166">
        <x:v>46058</x:v>
      </x:c>
      <x:c r="M2" s="167"/>
      <x:c r="S2" s="89" t="s">
        <x:v>44</x:v>
      </x:c>
      <x:c r="T2" s="90">
        <x:v>1</x:v>
      </x:c>
      <x:c r="U2" s="89" t="s">
        <x:v>61</x:v>
      </x:c>
      <x:c r="V2" s="90">
        <x:v>1</x:v>
      </x:c>
    </x:row>
    <x:row r="3" spans="1:22" ht="24.949999999999999" customHeight="1">
      <x:c r="A3" s="20"/>
      <x:c r="B3" s="14" t="s">
        <x:v>53</x:v>
      </x:c>
      <x:c r="C3" s="14" t="s">
        <x:v>2</x:v>
      </x:c>
      <x:c r="D3" s="14" t="s">
        <x:v>0</x:v>
      </x:c>
      <x:c r="E3" s="14" t="s">
        <x:v>10</x:v>
      </x:c>
      <x:c r="F3" s="14" t="s">
        <x:v>9</x:v>
      </x:c>
      <x:c r="G3" s="14" t="s">
        <x:v>6</x:v>
      </x:c>
      <x:c r="H3" s="16" t="s">
        <x:v>57</x:v>
      </x:c>
      <x:c r="I3" s="14" t="s">
        <x:v>2</x:v>
      </x:c>
      <x:c r="J3" s="14" t="s">
        <x:v>0</x:v>
      </x:c>
      <x:c r="K3" s="14" t="s">
        <x:v>10</x:v>
      </x:c>
      <x:c r="L3" s="15" t="s">
        <x:v>9</x:v>
      </x:c>
      <x:c r="M3" s="22" t="s">
        <x:v>13</x:v>
      </x:c>
      <x:c r="S3" s="92" t="s">
        <x:v>65</x:v>
      </x:c>
      <x:c r="T3" s="93"/>
      <x:c r="U3" s="93"/>
      <x:c r="V3" s="93"/>
    </x:row>
    <x:row r="4" spans="1:22" ht="24.949999999999999" customHeight="1">
      <x:c r="A4" s="12">
        <x:v>1</x:v>
      </x:c>
      <x:c r="B4" s="13" t="s">
        <x:v>37</x:v>
      </x:c>
      <x:c r="C4" s="62">
        <x:v>184</x:v>
      </x:c>
      <x:c r="D4" s="62">
        <x:v>189</x:v>
      </x:c>
      <x:c r="E4" s="62">
        <x:v>212</x:v>
      </x:c>
      <x:c r="F4" s="44">
        <x:f>SUM(C4:E4)</x:f>
        <x:v>585</x:v>
      </x:c>
      <x:c r="G4" s="45">
        <x:f>F4/3</x:f>
        <x:v>195</x:v>
      </x:c>
      <x:c r="H4" s="34">
        <x:f t="array" ref="H4:H4">IF(B4="","",IFERROR(INDEX('회원명단 및 기준에버'!D:G,MATCH(B4,'회원명단 및 기준에버'!$C:$C,0),CHOOSE(INT((MONTH($L$2)-1)/3)+1,1,2,3,4)),""))</x:f>
        <x:v>200</x:v>
      </x:c>
      <x:c r="I4" s="38">
        <x:f>IFERROR(C4+-H4,0)</x:f>
        <x:v>-16</x:v>
      </x:c>
      <x:c r="J4" s="38">
        <x:f>IFERROR(D4+-H4,0)</x:f>
        <x:v>-11</x:v>
      </x:c>
      <x:c r="K4" s="38">
        <x:f>IFERROR(E4+-H4,0)</x:f>
        <x:v>12</x:v>
      </x:c>
      <x:c r="L4" s="63">
        <x:f>SUM(I4:K4)</x:f>
        <x:v>-15</x:v>
      </x:c>
      <x:c r="M4" s="39">
        <x:f>IFERROR(G4+-H4,0)</x:f>
        <x:v>-5</x:v>
      </x:c>
      <x:c r="N4" s="19"/>
      <x:c r="S4" s="104">
        <x:f t="shared" ref="S4:S28" si="0">MAX(C4:E4)-MIN(C4:E4)</x:f>
        <x:v>28</x:v>
      </x:c>
      <x:c r="T4" s="99">
        <x:f>IF($B4="",-999999999+A4,IF($V$2=0,(F4*10000+S4*1000+A4),(M4*10000+S4*10+A4)))</x:f>
        <x:v>-49719</x:v>
      </x:c>
      <x:c r="U4" s="105">
        <x:f t="shared" ref="U4:U28" si="1">_xlfn.RANK.EQ(T4,$T$4:$T$28,0)</x:f>
        <x:v>20</x:v>
      </x:c>
      <x:c r="V4" s="106"/>
    </x:row>
    <x:row r="5" spans="1:22" ht="24.949999999999999" customHeight="1">
      <x:c r="A5" s="12">
        <x:v>2</x:v>
      </x:c>
      <x:c r="B5" s="13" t="s">
        <x:v>49</x:v>
      </x:c>
      <x:c r="C5" s="62">
        <x:v>224</x:v>
      </x:c>
      <x:c r="D5" s="62">
        <x:v>191</x:v>
      </x:c>
      <x:c r="E5" s="62">
        <x:v>227</x:v>
      </x:c>
      <x:c r="F5" s="44">
        <x:f>SUM(C5:E5)</x:f>
        <x:v>642</x:v>
      </x:c>
      <x:c r="G5" s="45">
        <x:f>F5/3</x:f>
        <x:v>214</x:v>
      </x:c>
      <x:c r="H5" s="34">
        <x:f t="array" ref="H5:H5">IF(B5="","",IFERROR(INDEX('회원명단 및 기준에버'!D:G,MATCH(B5,'회원명단 및 기준에버'!$C:$C,0),CHOOSE(INT((MONTH($L$2)-1)/3)+1,1,2,3,4)),""))</x:f>
        <x:v>196</x:v>
      </x:c>
      <x:c r="I5" s="38">
        <x:f>IFERROR(C5+-H5,0)</x:f>
        <x:v>28</x:v>
      </x:c>
      <x:c r="J5" s="38">
        <x:f>IFERROR(D5+-H5,0)</x:f>
        <x:v>-5</x:v>
      </x:c>
      <x:c r="K5" s="38">
        <x:f>IFERROR(E5+-H5,0)</x:f>
        <x:v>31</x:v>
      </x:c>
      <x:c r="L5" s="63">
        <x:f>SUM(I5:K5)</x:f>
        <x:v>54</x:v>
      </x:c>
      <x:c r="M5" s="39">
        <x:f>IFERROR(G5+-H5,0)</x:f>
        <x:v>18</x:v>
      </x:c>
      <x:c r="N5" s="19"/>
      <x:c r="S5" s="107">
        <x:f t="shared" si="0"/>
        <x:v>36</x:v>
      </x:c>
      <x:c r="T5" s="97">
        <x:f t="shared" ref="T5:T28" si="2">IF($B5="",-999999999+A5,IF($V$2=0,(F5*10000+S5*1000+A5),(M5*10000+S5*10+A5)))</x:f>
        <x:v>180362</x:v>
      </x:c>
      <x:c r="U5" s="91">
        <x:f t="shared" si="1"/>
        <x:v>5</x:v>
      </x:c>
      <x:c r="V5" s="108"/>
    </x:row>
    <x:row r="6" spans="1:22" ht="24.949999999999999" customHeight="1">
      <x:c r="A6" s="12">
        <x:v>3</x:v>
      </x:c>
      <x:c r="B6" s="13" t="s">
        <x:v>32</x:v>
      </x:c>
      <x:c r="C6" s="62">
        <x:v>148</x:v>
      </x:c>
      <x:c r="D6" s="62">
        <x:v>163</x:v>
      </x:c>
      <x:c r="E6" s="62">
        <x:v>176</x:v>
      </x:c>
      <x:c r="F6" s="44">
        <x:f>SUM(C6:E6)</x:f>
        <x:v>487</x:v>
      </x:c>
      <x:c r="G6" s="45">
        <x:f>F6/3</x:f>
        <x:v>162.33333333333334</x:v>
      </x:c>
      <x:c r="H6" s="34">
        <x:f t="array" ref="H6:H6">IF(B6="","",IFERROR(INDEX('회원명단 및 기준에버'!D:G,MATCH(B6,'회원명단 및 기준에버'!$C:$C,0),CHOOSE(INT((MONTH($L$2)-1)/3)+1,1,2,3,4)),""))</x:f>
        <x:v>198</x:v>
      </x:c>
      <x:c r="I6" s="38">
        <x:v>0</x:v>
      </x:c>
      <x:c r="J6" s="38">
        <x:v>0</x:v>
      </x:c>
      <x:c r="K6" s="38">
        <x:v>0</x:v>
      </x:c>
      <x:c r="L6" s="63">
        <x:f t="shared" ref="L6:L27" si="3">SUM(I6:K6)</x:f>
        <x:v>0</x:v>
      </x:c>
      <x:c r="M6" s="39">
        <x:v>0</x:v>
      </x:c>
      <x:c r="S6" s="107">
        <x:f t="shared" si="0"/>
        <x:v>28</x:v>
      </x:c>
      <x:c r="T6" s="97">
        <x:f t="shared" si="2"/>
        <x:v>283</x:v>
      </x:c>
      <x:c r="U6" s="91">
        <x:f t="shared" si="1"/>
        <x:v>19</x:v>
      </x:c>
      <x:c r="V6" s="108"/>
    </x:row>
    <x:row r="7" spans="1:22" ht="24.949999999999999" customHeight="1">
      <x:c r="A7" s="12">
        <x:v>4</x:v>
      </x:c>
      <x:c r="B7" s="13" t="s">
        <x:v>38</x:v>
      </x:c>
      <x:c r="C7" s="62">
        <x:v>183</x:v>
      </x:c>
      <x:c r="D7" s="62">
        <x:v>199</x:v>
      </x:c>
      <x:c r="E7" s="62">
        <x:v>224</x:v>
      </x:c>
      <x:c r="F7" s="44">
        <x:f>SUM(C7:E7)</x:f>
        <x:v>606</x:v>
      </x:c>
      <x:c r="G7" s="45">
        <x:f>F7/3</x:f>
        <x:v>202</x:v>
      </x:c>
      <x:c r="H7" s="34">
        <x:f t="array" ref="H7:H7">IF(B7="","",IFERROR(INDEX('회원명단 및 기준에버'!D:G,MATCH(B7,'회원명단 및 기준에버'!$C:$C,0),CHOOSE(INT((MONTH($L$2)-1)/3)+1,1,2,3,4)),""))</x:f>
        <x:v>190</x:v>
      </x:c>
      <x:c r="I7" s="38">
        <x:f t="shared" ref="I7:I27" si="4">IFERROR(C7+-H7,0)</x:f>
        <x:v>-7</x:v>
      </x:c>
      <x:c r="J7" s="38">
        <x:f t="shared" ref="J7:J27" si="5">IFERROR(D7+-H7,0)</x:f>
        <x:v>9</x:v>
      </x:c>
      <x:c r="K7" s="38">
        <x:f t="shared" ref="K7:K27" si="6">IFERROR(E7+-H7,0)</x:f>
        <x:v>34</x:v>
      </x:c>
      <x:c r="L7" s="63">
        <x:f t="shared" si="3"/>
        <x:v>36</x:v>
      </x:c>
      <x:c r="M7" s="39">
        <x:f t="shared" ref="M7:M27" si="7">IFERROR(G7+-H7,0)</x:f>
        <x:v>12</x:v>
      </x:c>
      <x:c r="S7" s="107">
        <x:f t="shared" si="0"/>
        <x:v>41</x:v>
      </x:c>
      <x:c r="T7" s="97">
        <x:f t="shared" si="2"/>
        <x:v>120414</x:v>
      </x:c>
      <x:c r="U7" s="91">
        <x:f t="shared" si="1"/>
        <x:v>9</x:v>
      </x:c>
      <x:c r="V7" s="108"/>
    </x:row>
    <x:row r="8" spans="1:22" ht="24.949999999999999" customHeight="1">
      <x:c r="A8" s="12">
        <x:v>5</x:v>
      </x:c>
      <x:c r="B8" s="13" t="s">
        <x:v>45</x:v>
      </x:c>
      <x:c r="C8" s="62">
        <x:v>165</x:v>
      </x:c>
      <x:c r="D8" s="62">
        <x:v>230</x:v>
      </x:c>
      <x:c r="E8" s="62">
        <x:v>214</x:v>
      </x:c>
      <x:c r="F8" s="44">
        <x:f t="shared" ref="F8:F27" si="8">SUM(C8:E8)</x:f>
        <x:v>609</x:v>
      </x:c>
      <x:c r="G8" s="45">
        <x:f t="shared" ref="G8:G27" si="9">F8/3</x:f>
        <x:v>203</x:v>
      </x:c>
      <x:c r="H8" s="34">
        <x:f t="array" ref="H8:H8">IF(B8="","",IFERROR(INDEX('회원명단 및 기준에버'!D:G,MATCH(B8,'회원명단 및 기준에버'!$C:$C,0),CHOOSE(INT((MONTH($L$2)-1)/3)+1,1,2,3,4)),""))</x:f>
        <x:v>182</x:v>
      </x:c>
      <x:c r="I8" s="38">
        <x:f t="shared" si="4"/>
        <x:v>-17</x:v>
      </x:c>
      <x:c r="J8" s="38">
        <x:f t="shared" si="5"/>
        <x:v>48</x:v>
      </x:c>
      <x:c r="K8" s="38">
        <x:f t="shared" si="6"/>
        <x:v>32</x:v>
      </x:c>
      <x:c r="L8" s="63">
        <x:f t="shared" si="3"/>
        <x:v>63</x:v>
      </x:c>
      <x:c r="M8" s="39">
        <x:f t="shared" si="7"/>
        <x:v>21</x:v>
      </x:c>
      <x:c r="S8" s="107">
        <x:f t="shared" si="0"/>
        <x:v>65</x:v>
      </x:c>
      <x:c r="T8" s="97">
        <x:f t="shared" si="2"/>
        <x:v>210655</x:v>
      </x:c>
      <x:c r="U8" s="91">
        <x:f t="shared" si="1"/>
        <x:v>3</x:v>
      </x:c>
      <x:c r="V8" s="108"/>
    </x:row>
    <x:row r="9" spans="1:22" ht="24.949999999999999" customHeight="1">
      <x:c r="A9" s="12">
        <x:v>6</x:v>
      </x:c>
      <x:c r="B9" s="13" t="s">
        <x:v>47</x:v>
      </x:c>
      <x:c r="C9" s="62">
        <x:v>212</x:v>
      </x:c>
      <x:c r="D9" s="62">
        <x:v>258</x:v>
      </x:c>
      <x:c r="E9" s="62">
        <x:v>224</x:v>
      </x:c>
      <x:c r="F9" s="44">
        <x:f t="shared" si="8"/>
        <x:v>694</x:v>
      </x:c>
      <x:c r="G9" s="45">
        <x:f t="shared" si="9"/>
        <x:v>231.33333333333334</x:v>
      </x:c>
      <x:c r="H9" s="34">
        <x:f t="array" ref="H9:H9">IF(B9="","",IFERROR(INDEX('회원명단 및 기준에버'!D:G,MATCH(B9,'회원명단 및 기준에버'!$C:$C,0),CHOOSE(INT((MONTH($L$2)-1)/3)+1,1,2,3,4)),""))</x:f>
        <x:v>200</x:v>
      </x:c>
      <x:c r="I9" s="38">
        <x:f t="shared" si="4"/>
        <x:v>12</x:v>
      </x:c>
      <x:c r="J9" s="38">
        <x:f t="shared" si="5"/>
        <x:v>58</x:v>
      </x:c>
      <x:c r="K9" s="38">
        <x:f t="shared" si="6"/>
        <x:v>24</x:v>
      </x:c>
      <x:c r="L9" s="63">
        <x:f t="shared" si="3"/>
        <x:v>94</x:v>
      </x:c>
      <x:c r="M9" s="39">
        <x:f t="shared" si="7"/>
        <x:v>31.333333333333343</x:v>
      </x:c>
      <x:c r="S9" s="107">
        <x:f t="shared" si="0"/>
        <x:v>46</x:v>
      </x:c>
      <x:c r="T9" s="97">
        <x:f t="shared" si="2"/>
        <x:v>313799.33333333343</x:v>
      </x:c>
      <x:c r="U9" s="91">
        <x:f t="shared" si="1"/>
        <x:v>2</x:v>
      </x:c>
      <x:c r="V9" s="108"/>
    </x:row>
    <x:row r="10" spans="1:22" ht="24.949999999999999" customHeight="1">
      <x:c r="A10" s="12">
        <x:v>7</x:v>
      </x:c>
      <x:c r="B10" s="13" t="s">
        <x:v>48</x:v>
      </x:c>
      <x:c r="C10" s="62">
        <x:v>172</x:v>
      </x:c>
      <x:c r="D10" s="62">
        <x:v>238</x:v>
      </x:c>
      <x:c r="E10" s="62">
        <x:v>170</x:v>
      </x:c>
      <x:c r="F10" s="44">
        <x:f t="shared" si="8"/>
        <x:v>580</x:v>
      </x:c>
      <x:c r="G10" s="45">
        <x:f t="shared" si="9"/>
        <x:v>193.33333333333334</x:v>
      </x:c>
      <x:c r="H10" s="34">
        <x:f t="array" ref="H10:H10">IF(B10="","",IFERROR(INDEX('회원명단 및 기준에버'!D:G,MATCH(B10,'회원명단 및 기준에버'!$C:$C,0),CHOOSE(INT((MONTH($L$2)-1)/3)+1,1,2,3,4)),""))</x:f>
        <x:v>191</x:v>
      </x:c>
      <x:c r="I10" s="38">
        <x:f t="shared" si="4"/>
        <x:v>-19</x:v>
      </x:c>
      <x:c r="J10" s="38">
        <x:f t="shared" si="5"/>
        <x:v>47</x:v>
      </x:c>
      <x:c r="K10" s="38">
        <x:f t="shared" si="6"/>
        <x:v>-21</x:v>
      </x:c>
      <x:c r="L10" s="63">
        <x:f t="shared" si="3"/>
        <x:v>7</x:v>
      </x:c>
      <x:c r="M10" s="39">
        <x:f t="shared" si="7"/>
        <x:v>2.3333333333333428</x:v>
      </x:c>
      <x:c r="S10" s="107">
        <x:f t="shared" si="0"/>
        <x:v>68</x:v>
      </x:c>
      <x:c r="T10" s="97">
        <x:f t="shared" si="2"/>
        <x:v>24020.333333333427</x:v>
      </x:c>
      <x:c r="U10" s="91">
        <x:f t="shared" si="1"/>
        <x:v>15</x:v>
      </x:c>
      <x:c r="V10" s="108"/>
    </x:row>
    <x:row r="11" spans="1:22" ht="24.949999999999999" customHeight="1">
      <x:c r="A11" s="12">
        <x:v>8</x:v>
      </x:c>
      <x:c r="B11" s="13" t="s">
        <x:v>15</x:v>
      </x:c>
      <x:c r="C11" s="62">
        <x:v>169</x:v>
      </x:c>
      <x:c r="D11" s="62">
        <x:v>228</x:v>
      </x:c>
      <x:c r="E11" s="62">
        <x:v>225</x:v>
      </x:c>
      <x:c r="F11" s="44">
        <x:f t="shared" si="8"/>
        <x:v>622</x:v>
      </x:c>
      <x:c r="G11" s="45">
        <x:f t="shared" si="9"/>
        <x:v>207.33333333333334</x:v>
      </x:c>
      <x:c r="H11" s="34">
        <x:f t="array" ref="H11:H11">IF(B11="","",IFERROR(INDEX('회원명단 및 기준에버'!D:G,MATCH(B11,'회원명단 및 기준에버'!$C:$C,0),CHOOSE(INT((MONTH($L$2)-1)/3)+1,1,2,3,4)),""))</x:f>
        <x:v>193</x:v>
      </x:c>
      <x:c r="I11" s="38">
        <x:f t="shared" si="4"/>
        <x:v>-24</x:v>
      </x:c>
      <x:c r="J11" s="38">
        <x:f t="shared" si="5"/>
        <x:v>35</x:v>
      </x:c>
      <x:c r="K11" s="38">
        <x:f t="shared" si="6"/>
        <x:v>32</x:v>
      </x:c>
      <x:c r="L11" s="63">
        <x:f t="shared" si="3"/>
        <x:v>43</x:v>
      </x:c>
      <x:c r="M11" s="39">
        <x:f t="shared" si="7"/>
        <x:v>14.333333333333343</x:v>
      </x:c>
      <x:c r="S11" s="107">
        <x:f t="shared" si="0"/>
        <x:v>59</x:v>
      </x:c>
      <x:c r="T11" s="97">
        <x:f t="shared" si="2"/>
        <x:v>143931.33333333343</x:v>
      </x:c>
      <x:c r="U11" s="91">
        <x:f t="shared" si="1"/>
        <x:v>8</x:v>
      </x:c>
      <x:c r="V11" s="108"/>
    </x:row>
    <x:row r="12" spans="1:22" ht="24.949999999999999" customHeight="1">
      <x:c r="A12" s="12">
        <x:v>9</x:v>
      </x:c>
      <x:c r="B12" s="13" t="s">
        <x:v>42</x:v>
      </x:c>
      <x:c r="C12" s="62">
        <x:v>191</x:v>
      </x:c>
      <x:c r="D12" s="62">
        <x:v>177</x:v>
      </x:c>
      <x:c r="E12" s="62">
        <x:v>237</x:v>
      </x:c>
      <x:c r="F12" s="44">
        <x:f t="shared" si="8"/>
        <x:v>605</x:v>
      </x:c>
      <x:c r="G12" s="45">
        <x:f t="shared" si="9"/>
        <x:v>201.66666666666666</x:v>
      </x:c>
      <x:c r="H12" s="34">
        <x:f t="array" ref="H12:H12">IF(B12="","",IFERROR(INDEX('회원명단 및 기준에버'!D:G,MATCH(B12,'회원명단 및 기준에버'!$C:$C,0),CHOOSE(INT((MONTH($L$2)-1)/3)+1,1,2,3,4)),""))</x:f>
        <x:v>184</x:v>
      </x:c>
      <x:c r="I12" s="38">
        <x:f t="shared" si="4"/>
        <x:v>7</x:v>
      </x:c>
      <x:c r="J12" s="38">
        <x:f t="shared" si="5"/>
        <x:v>-7</x:v>
      </x:c>
      <x:c r="K12" s="38">
        <x:f t="shared" si="6"/>
        <x:v>53</x:v>
      </x:c>
      <x:c r="L12" s="63">
        <x:f t="shared" si="3"/>
        <x:v>53</x:v>
      </x:c>
      <x:c r="M12" s="39">
        <x:f t="shared" si="7"/>
        <x:v>17.666666666666657</x:v>
      </x:c>
      <x:c r="S12" s="107">
        <x:f t="shared" si="0"/>
        <x:v>60</x:v>
      </x:c>
      <x:c r="T12" s="97">
        <x:f t="shared" si="2"/>
        <x:v>177275.66666666657</x:v>
      </x:c>
      <x:c r="U12" s="91">
        <x:f t="shared" si="1"/>
        <x:v>6</x:v>
      </x:c>
      <x:c r="V12" s="108"/>
    </x:row>
    <x:row r="13" spans="1:22" ht="24.949999999999999" customHeight="1">
      <x:c r="A13" s="12">
        <x:v>10</x:v>
      </x:c>
      <x:c r="B13" s="13" t="s">
        <x:v>58</x:v>
      </x:c>
      <x:c r="C13" s="62">
        <x:v>206</x:v>
      </x:c>
      <x:c r="D13" s="62">
        <x:v>246</x:v>
      </x:c>
      <x:c r="E13" s="62">
        <x:v>223</x:v>
      </x:c>
      <x:c r="F13" s="44">
        <x:f t="shared" si="8"/>
        <x:v>675</x:v>
      </x:c>
      <x:c r="G13" s="45">
        <x:f t="shared" si="9"/>
        <x:v>225</x:v>
      </x:c>
      <x:c r="H13" s="34">
        <x:f t="array" ref="H13:H13">IF(B13="","",IFERROR(INDEX('회원명단 및 기준에버'!D:G,MATCH(B13,'회원명단 및 기준에버'!$C:$C,0),CHOOSE(INT((MONTH($L$2)-1)/3)+1,1,2,3,4)),""))</x:f>
        <x:v>200</x:v>
      </x:c>
      <x:c r="I13" s="38">
        <x:v>0</x:v>
      </x:c>
      <x:c r="J13" s="38">
        <x:v>0</x:v>
      </x:c>
      <x:c r="K13" s="38">
        <x:v>0</x:v>
      </x:c>
      <x:c r="L13" s="63">
        <x:v>0</x:v>
      </x:c>
      <x:c r="M13" s="39">
        <x:v>0</x:v>
      </x:c>
      <x:c r="S13" s="107">
        <x:f t="shared" si="0"/>
        <x:v>40</x:v>
      </x:c>
      <x:c r="T13" s="97">
        <x:f t="shared" si="2"/>
        <x:v>410</x:v>
      </x:c>
      <x:c r="U13" s="91">
        <x:f t="shared" si="1"/>
        <x:v>18</x:v>
      </x:c>
      <x:c r="V13" s="108"/>
    </x:row>
    <x:row r="14" spans="1:22" ht="24.949999999999999" customHeight="1">
      <x:c r="A14" s="12">
        <x:v>11</x:v>
      </x:c>
      <x:c r="B14" s="13" t="s">
        <x:v>39</x:v>
      </x:c>
      <x:c r="C14" s="62">
        <x:v>181</x:v>
      </x:c>
      <x:c r="D14" s="62">
        <x:v>194</x:v>
      </x:c>
      <x:c r="E14" s="62">
        <x:v>183</x:v>
      </x:c>
      <x:c r="F14" s="44">
        <x:f t="shared" si="8"/>
        <x:v>558</x:v>
      </x:c>
      <x:c r="G14" s="45">
        <x:f t="shared" si="9"/>
        <x:v>186</x:v>
      </x:c>
      <x:c r="H14" s="34">
        <x:f t="array" ref="H14:H14">IF(B14="","",IFERROR(INDEX('회원명단 및 기준에버'!D:G,MATCH(B14,'회원명단 및 기준에버'!$C:$C,0),CHOOSE(INT((MONTH($L$2)-1)/3)+1,1,2,3,4)),""))</x:f>
        <x:v>200</x:v>
      </x:c>
      <x:c r="I14" s="38">
        <x:f t="shared" si="4"/>
        <x:v>-19</x:v>
      </x:c>
      <x:c r="J14" s="38">
        <x:f t="shared" si="5"/>
        <x:v>-6</x:v>
      </x:c>
      <x:c r="K14" s="38">
        <x:f t="shared" si="6"/>
        <x:v>-17</x:v>
      </x:c>
      <x:c r="L14" s="63">
        <x:f t="shared" si="3"/>
        <x:v>-42</x:v>
      </x:c>
      <x:c r="M14" s="39">
        <x:f t="shared" si="7"/>
        <x:v>-14</x:v>
      </x:c>
      <x:c r="S14" s="107">
        <x:f t="shared" si="0"/>
        <x:v>13</x:v>
      </x:c>
      <x:c r="T14" s="97">
        <x:f t="shared" si="2"/>
        <x:v>-139859</x:v>
      </x:c>
      <x:c r="U14" s="91">
        <x:f t="shared" si="1"/>
        <x:v>23</x:v>
      </x:c>
      <x:c r="V14" s="108"/>
    </x:row>
    <x:row r="15" spans="1:22" ht="24.949999999999999" customHeight="1">
      <x:c r="A15" s="12">
        <x:v>12</x:v>
      </x:c>
      <x:c r="B15" s="13" t="s">
        <x:v>22</x:v>
      </x:c>
      <x:c r="C15" s="62">
        <x:v>203</x:v>
      </x:c>
      <x:c r="D15" s="62">
        <x:v>197</x:v>
      </x:c>
      <x:c r="E15" s="62">
        <x:v>201</x:v>
      </x:c>
      <x:c r="F15" s="44">
        <x:f t="shared" si="8"/>
        <x:v>601</x:v>
      </x:c>
      <x:c r="G15" s="45">
        <x:f t="shared" si="9"/>
        <x:v>200.33333333333334</x:v>
      </x:c>
      <x:c r="H15" s="34">
        <x:f t="array" ref="H15:H15">IF(B15="","",IFERROR(INDEX('회원명단 및 기준에버'!D:G,MATCH(B15,'회원명단 및 기준에버'!$C:$C,0),CHOOSE(INT((MONTH($L$2)-1)/3)+1,1,2,3,4)),""))</x:f>
        <x:v>194</x:v>
      </x:c>
      <x:c r="I15" s="38">
        <x:f t="shared" si="4"/>
        <x:v>9</x:v>
      </x:c>
      <x:c r="J15" s="38">
        <x:f t="shared" si="5"/>
        <x:v>3</x:v>
      </x:c>
      <x:c r="K15" s="38">
        <x:f t="shared" si="6"/>
        <x:v>7</x:v>
      </x:c>
      <x:c r="L15" s="63">
        <x:f t="shared" si="3"/>
        <x:v>19</x:v>
      </x:c>
      <x:c r="M15" s="39">
        <x:f t="shared" si="7"/>
        <x:v>6.3333333333333428</x:v>
      </x:c>
      <x:c r="S15" s="107">
        <x:f t="shared" si="0"/>
        <x:v>6</x:v>
      </x:c>
      <x:c r="T15" s="97">
        <x:f t="shared" si="2"/>
        <x:v>63405.33333333343</x:v>
      </x:c>
      <x:c r="U15" s="91">
        <x:f t="shared" si="1"/>
        <x:v>12</x:v>
      </x:c>
      <x:c r="V15" s="108"/>
    </x:row>
    <x:row r="16" spans="1:22" ht="24.949999999999999" customHeight="1">
      <x:c r="A16" s="12">
        <x:v>13</x:v>
      </x:c>
      <x:c r="B16" s="13" t="s">
        <x:v>17</x:v>
      </x:c>
      <x:c r="C16" s="62">
        <x:v>191</x:v>
      </x:c>
      <x:c r="D16" s="62">
        <x:v>169</x:v>
      </x:c>
      <x:c r="E16" s="62">
        <x:v>194</x:v>
      </x:c>
      <x:c r="F16" s="44">
        <x:f t="shared" si="8"/>
        <x:v>554</x:v>
      </x:c>
      <x:c r="G16" s="45">
        <x:f t="shared" si="9"/>
        <x:v>184.66666666666666</x:v>
      </x:c>
      <x:c r="H16" s="34">
        <x:f t="array" ref="H16:H16">IF(B16="","",IFERROR(INDEX('회원명단 및 기준에버'!D:G,MATCH(B16,'회원명단 및 기준에버'!$C:$C,0),CHOOSE(INT((MONTH($L$2)-1)/3)+1,1,2,3,4)),""))</x:f>
        <x:v>184</x:v>
      </x:c>
      <x:c r="I16" s="38">
        <x:f t="shared" si="4"/>
        <x:v>7</x:v>
      </x:c>
      <x:c r="J16" s="38">
        <x:f t="shared" si="5"/>
        <x:v>-15</x:v>
      </x:c>
      <x:c r="K16" s="38">
        <x:f t="shared" si="6"/>
        <x:v>10</x:v>
      </x:c>
      <x:c r="L16" s="63">
        <x:f t="shared" si="3"/>
        <x:v>2</x:v>
      </x:c>
      <x:c r="M16" s="39">
        <x:f t="shared" si="7"/>
        <x:v>0.66666666666665719</x:v>
      </x:c>
      <x:c r="S16" s="107">
        <x:f t="shared" si="0"/>
        <x:v>25</x:v>
      </x:c>
      <x:c r="T16" s="97">
        <x:f t="shared" si="2"/>
        <x:v>6929.6666666665715</x:v>
      </x:c>
      <x:c r="U16" s="91">
        <x:f t="shared" si="1"/>
        <x:v>16</x:v>
      </x:c>
      <x:c r="V16" s="108"/>
    </x:row>
    <x:row r="17" spans="1:22" ht="24.949999999999999" customHeight="1">
      <x:c r="A17" s="12">
        <x:v>14</x:v>
      </x:c>
      <x:c r="B17" s="13" t="s">
        <x:v>43</x:v>
      </x:c>
      <x:c r="C17" s="62">
        <x:v>203</x:v>
      </x:c>
      <x:c r="D17" s="62">
        <x:v>204</x:v>
      </x:c>
      <x:c r="E17" s="62">
        <x:v>165</x:v>
      </x:c>
      <x:c r="F17" s="44">
        <x:f t="shared" si="8"/>
        <x:v>572</x:v>
      </x:c>
      <x:c r="G17" s="45">
        <x:f t="shared" si="9"/>
        <x:v>190.66666666666666</x:v>
      </x:c>
      <x:c r="H17" s="34">
        <x:f t="array" ref="H17:H17">IF(B17="","",IFERROR(INDEX('회원명단 및 기준에버'!D:G,MATCH(B17,'회원명단 및 기준에버'!$C:$C,0),CHOOSE(INT((MONTH($L$2)-1)/3)+1,1,2,3,4)),""))</x:f>
        <x:v>188</x:v>
      </x:c>
      <x:c r="I17" s="38">
        <x:f t="shared" si="4"/>
        <x:v>15</x:v>
      </x:c>
      <x:c r="J17" s="38">
        <x:f t="shared" si="5"/>
        <x:v>16</x:v>
      </x:c>
      <x:c r="K17" s="38">
        <x:f t="shared" si="6"/>
        <x:v>-23</x:v>
      </x:c>
      <x:c r="L17" s="63">
        <x:f t="shared" si="3"/>
        <x:v>8</x:v>
      </x:c>
      <x:c r="M17" s="39">
        <x:f t="shared" si="7"/>
        <x:v>2.6666666666666572</x:v>
      </x:c>
      <x:c r="S17" s="107">
        <x:f t="shared" si="0"/>
        <x:v>39</x:v>
      </x:c>
      <x:c r="T17" s="97">
        <x:f t="shared" si="2"/>
        <x:v>27070.666666666573</x:v>
      </x:c>
      <x:c r="U17" s="91">
        <x:f t="shared" si="1"/>
        <x:v>14</x:v>
      </x:c>
      <x:c r="V17" s="108"/>
    </x:row>
    <x:row r="18" spans="1:22" ht="24.949999999999999" customHeight="1">
      <x:c r="A18" s="12">
        <x:v>15</x:v>
      </x:c>
      <x:c r="B18" s="13" t="s">
        <x:v>41</x:v>
      </x:c>
      <x:c r="C18" s="62">
        <x:v>182</x:v>
      </x:c>
      <x:c r="D18" s="62">
        <x:v>202</x:v>
      </x:c>
      <x:c r="E18" s="62">
        <x:v>194</x:v>
      </x:c>
      <x:c r="F18" s="44">
        <x:f t="shared" si="8"/>
        <x:v>578</x:v>
      </x:c>
      <x:c r="G18" s="45">
        <x:f t="shared" si="9"/>
        <x:v>192.66666666666666</x:v>
      </x:c>
      <x:c r="H18" s="34">
        <x:f t="array" ref="H18:H18">IF(B18="","",IFERROR(INDEX('회원명단 및 기준에버'!D:G,MATCH(B18,'회원명단 및 기준에버'!$C:$C,0),CHOOSE(INT((MONTH($L$2)-1)/3)+1,1,2,3,4)),""))</x:f>
        <x:v>161</x:v>
      </x:c>
      <x:c r="I18" s="38">
        <x:f t="shared" si="4"/>
        <x:v>21</x:v>
      </x:c>
      <x:c r="J18" s="38">
        <x:f t="shared" si="5"/>
        <x:v>41</x:v>
      </x:c>
      <x:c r="K18" s="38">
        <x:f t="shared" si="6"/>
        <x:v>33</x:v>
      </x:c>
      <x:c r="L18" s="63">
        <x:f t="shared" si="3"/>
        <x:v>95</x:v>
      </x:c>
      <x:c r="M18" s="39">
        <x:f t="shared" si="7"/>
        <x:v>31.666666666666657</x:v>
      </x:c>
      <x:c r="S18" s="107">
        <x:f t="shared" si="0"/>
        <x:v>20</x:v>
      </x:c>
      <x:c r="T18" s="97">
        <x:f t="shared" si="2"/>
        <x:v>316881.66666666657</x:v>
      </x:c>
      <x:c r="U18" s="91">
        <x:f t="shared" si="1"/>
        <x:v>1</x:v>
      </x:c>
      <x:c r="V18" s="108"/>
    </x:row>
    <x:row r="19" spans="1:22" ht="24.949999999999999" customHeight="1">
      <x:c r="A19" s="12">
        <x:v>16</x:v>
      </x:c>
      <x:c r="B19" s="13" t="s">
        <x:v>36</x:v>
      </x:c>
      <x:c r="C19" s="62">
        <x:v>202</x:v>
      </x:c>
      <x:c r="D19" s="62">
        <x:v>194</x:v>
      </x:c>
      <x:c r="E19" s="62">
        <x:v>254</x:v>
      </x:c>
      <x:c r="F19" s="44">
        <x:f t="shared" si="8"/>
        <x:v>650</x:v>
      </x:c>
      <x:c r="G19" s="45">
        <x:f t="shared" si="9"/>
        <x:v>216.66666666666666</x:v>
      </x:c>
      <x:c r="H19" s="34">
        <x:f t="array" ref="H19:H19">IF(B19="","",IFERROR(INDEX('회원명단 및 기준에버'!D:G,MATCH(B19,'회원명단 및 기준에버'!$C:$C,0),CHOOSE(INT((MONTH($L$2)-1)/3)+1,1,2,3,4)),""))</x:f>
        <x:v>200</x:v>
      </x:c>
      <x:c r="I19" s="38">
        <x:f t="shared" si="4"/>
        <x:v>2</x:v>
      </x:c>
      <x:c r="J19" s="38">
        <x:f t="shared" si="5"/>
        <x:v>-6</x:v>
      </x:c>
      <x:c r="K19" s="38">
        <x:f t="shared" si="6"/>
        <x:v>54</x:v>
      </x:c>
      <x:c r="L19" s="63">
        <x:f t="shared" si="3"/>
        <x:v>50</x:v>
      </x:c>
      <x:c r="M19" s="39">
        <x:f t="shared" si="7"/>
        <x:v>16.666666666666657</x:v>
      </x:c>
      <x:c r="S19" s="107">
        <x:f t="shared" si="0"/>
        <x:v>60</x:v>
      </x:c>
      <x:c r="T19" s="97">
        <x:f t="shared" si="2"/>
        <x:v>167282.66666666657</x:v>
      </x:c>
      <x:c r="U19" s="91">
        <x:f t="shared" si="1"/>
        <x:v>7</x:v>
      </x:c>
      <x:c r="V19" s="108"/>
    </x:row>
    <x:row r="20" spans="1:22" ht="24.949999999999999" customHeight="1">
      <x:c r="A20" s="12">
        <x:v>17</x:v>
      </x:c>
      <x:c r="B20" s="13" t="s">
        <x:v>46</x:v>
      </x:c>
      <x:c r="C20" s="62">
        <x:v>224</x:v>
      </x:c>
      <x:c r="D20" s="62">
        <x:v>213</x:v>
      </x:c>
      <x:c r="E20" s="62">
        <x:v>223</x:v>
      </x:c>
      <x:c r="F20" s="44">
        <x:f t="shared" si="8"/>
        <x:v>660</x:v>
      </x:c>
      <x:c r="G20" s="45">
        <x:f t="shared" si="9"/>
        <x:v>220</x:v>
      </x:c>
      <x:c r="H20" s="34">
        <x:f t="array" ref="H20:H20">IF(B20="","",IFERROR(INDEX('회원명단 및 기준에버'!D:G,MATCH(B20,'회원명단 및 기준에버'!$C:$C,0),CHOOSE(INT((MONTH($L$2)-1)/3)+1,1,2,3,4)),""))</x:f>
        <x:v>200</x:v>
      </x:c>
      <x:c r="I20" s="38">
        <x:f t="shared" si="4"/>
        <x:v>24</x:v>
      </x:c>
      <x:c r="J20" s="38">
        <x:f t="shared" si="5"/>
        <x:v>13</x:v>
      </x:c>
      <x:c r="K20" s="38">
        <x:f t="shared" si="6"/>
        <x:v>23</x:v>
      </x:c>
      <x:c r="L20" s="63">
        <x:f t="shared" si="3"/>
        <x:v>60</x:v>
      </x:c>
      <x:c r="M20" s="39">
        <x:f t="shared" si="7"/>
        <x:v>20</x:v>
      </x:c>
      <x:c r="S20" s="107">
        <x:f t="shared" si="0"/>
        <x:v>11</x:v>
      </x:c>
      <x:c r="T20" s="97">
        <x:f t="shared" si="2"/>
        <x:v>200127</x:v>
      </x:c>
      <x:c r="U20" s="91">
        <x:f t="shared" si="1"/>
        <x:v>4</x:v>
      </x:c>
      <x:c r="V20" s="108"/>
    </x:row>
    <x:row r="21" spans="1:22" ht="24.949999999999999" customHeight="1">
      <x:c r="A21" s="12">
        <x:v>18</x:v>
      </x:c>
      <x:c r="B21" s="13" t="s">
        <x:v>20</x:v>
      </x:c>
      <x:c r="C21" s="62">
        <x:v>140</x:v>
      </x:c>
      <x:c r="D21" s="62">
        <x:v>214</x:v>
      </x:c>
      <x:c r="E21" s="62">
        <x:v>165</x:v>
      </x:c>
      <x:c r="F21" s="44">
        <x:f t="shared" si="8"/>
        <x:v>519</x:v>
      </x:c>
      <x:c r="G21" s="45">
        <x:f t="shared" si="9"/>
        <x:v>173</x:v>
      </x:c>
      <x:c r="H21" s="34">
        <x:f t="array" ref="H21:H21">IF(B21="","",IFERROR(INDEX('회원명단 및 기준에버'!D:G,MATCH(B21,'회원명단 및 기준에버'!$C:$C,0),CHOOSE(INT((MONTH($L$2)-1)/3)+1,1,2,3,4)),""))</x:f>
        <x:v>196</x:v>
      </x:c>
      <x:c r="I21" s="38">
        <x:f t="shared" si="4"/>
        <x:v>-56</x:v>
      </x:c>
      <x:c r="J21" s="38">
        <x:f t="shared" si="5"/>
        <x:v>18</x:v>
      </x:c>
      <x:c r="K21" s="38">
        <x:f t="shared" si="6"/>
        <x:v>-31</x:v>
      </x:c>
      <x:c r="L21" s="63">
        <x:f t="shared" si="3"/>
        <x:v>-69</x:v>
      </x:c>
      <x:c r="M21" s="39">
        <x:f t="shared" si="7"/>
        <x:v>-23</x:v>
      </x:c>
      <x:c r="S21" s="107">
        <x:f t="shared" si="0"/>
        <x:v>74</x:v>
      </x:c>
      <x:c r="T21" s="97">
        <x:f t="shared" si="2"/>
        <x:v>-229242</x:v>
      </x:c>
      <x:c r="U21" s="91">
        <x:f t="shared" si="1"/>
        <x:v>25</x:v>
      </x:c>
      <x:c r="V21" s="108"/>
    </x:row>
    <x:row r="22" spans="1:22" ht="24.949999999999999" customHeight="1">
      <x:c r="A22" s="12">
        <x:v>19</x:v>
      </x:c>
      <x:c r="B22" s="13" t="s">
        <x:v>56</x:v>
      </x:c>
      <x:c r="C22" s="62">
        <x:v>176</x:v>
      </x:c>
      <x:c r="D22" s="62">
        <x:v>186</x:v>
      </x:c>
      <x:c r="E22" s="62">
        <x:v>168</x:v>
      </x:c>
      <x:c r="F22" s="44">
        <x:f t="shared" si="8"/>
        <x:v>530</x:v>
      </x:c>
      <x:c r="G22" s="45">
        <x:f t="shared" si="9"/>
        <x:v>176.66666666666666</x:v>
      </x:c>
      <x:c r="H22" s="34">
        <x:f t="array" ref="H22:H22">IF(B22="","",IFERROR(INDEX('회원명단 및 기준에버'!D:G,MATCH(B22,'회원명단 및 기준에버'!$C:$C,0),CHOOSE(INT((MONTH($L$2)-1)/3)+1,1,2,3,4)),""))</x:f>
        <x:v>198</x:v>
      </x:c>
      <x:c r="I22" s="38">
        <x:f t="shared" si="4"/>
        <x:v>-22</x:v>
      </x:c>
      <x:c r="J22" s="38">
        <x:f t="shared" si="5"/>
        <x:v>-12</x:v>
      </x:c>
      <x:c r="K22" s="38">
        <x:f t="shared" si="6"/>
        <x:v>-30</x:v>
      </x:c>
      <x:c r="L22" s="63">
        <x:f t="shared" si="3"/>
        <x:v>-64</x:v>
      </x:c>
      <x:c r="M22" s="39">
        <x:f t="shared" si="7"/>
        <x:v>-21.333333333333343</x:v>
      </x:c>
      <x:c r="S22" s="107">
        <x:f t="shared" si="0"/>
        <x:v>18</x:v>
      </x:c>
      <x:c r="T22" s="97">
        <x:f t="shared" si="2"/>
        <x:v>-213134.33333333343</x:v>
      </x:c>
      <x:c r="U22" s="91">
        <x:f t="shared" si="1"/>
        <x:v>24</x:v>
      </x:c>
      <x:c r="V22" s="108"/>
    </x:row>
    <x:row r="23" spans="1:22" ht="24.949999999999999" customHeight="1">
      <x:c r="A23" s="12">
        <x:v>20</x:v>
      </x:c>
      <x:c r="B23" s="13" t="s">
        <x:v>31</x:v>
      </x:c>
      <x:c r="C23" s="62">
        <x:v>127</x:v>
      </x:c>
      <x:c r="D23" s="62">
        <x:v>133</x:v>
      </x:c>
      <x:c r="E23" s="62">
        <x:v>154</x:v>
      </x:c>
      <x:c r="F23" s="44">
        <x:f t="shared" si="8"/>
        <x:v>414</x:v>
      </x:c>
      <x:c r="G23" s="45">
        <x:f t="shared" si="9"/>
        <x:v>138</x:v>
      </x:c>
      <x:c r="H23" s="34">
        <x:f t="array" ref="H23:H23">IF(B23="","",IFERROR(INDEX('회원명단 및 기준에버'!D:G,MATCH(B23,'회원명단 및 기준에버'!$C:$C,0),CHOOSE(INT((MONTH($L$2)-1)/3)+1,1,2,3,4)),""))</x:f>
        <x:v>151</x:v>
      </x:c>
      <x:c r="I23" s="38">
        <x:f t="shared" si="4"/>
        <x:v>-24</x:v>
      </x:c>
      <x:c r="J23" s="38">
        <x:f t="shared" si="5"/>
        <x:v>-18</x:v>
      </x:c>
      <x:c r="K23" s="38">
        <x:f t="shared" si="6"/>
        <x:v>3</x:v>
      </x:c>
      <x:c r="L23" s="63">
        <x:f t="shared" si="3"/>
        <x:v>-39</x:v>
      </x:c>
      <x:c r="M23" s="39">
        <x:f t="shared" si="7"/>
        <x:v>-13</x:v>
      </x:c>
      <x:c r="S23" s="107">
        <x:f t="shared" si="0"/>
        <x:v>27</x:v>
      </x:c>
      <x:c r="T23" s="97">
        <x:f t="shared" si="2"/>
        <x:v>-129710</x:v>
      </x:c>
      <x:c r="U23" s="91">
        <x:f t="shared" si="1"/>
        <x:v>22</x:v>
      </x:c>
      <x:c r="V23" s="108"/>
    </x:row>
    <x:row r="24" spans="1:22" ht="24.949999999999999" customHeight="1">
      <x:c r="A24" s="12">
        <x:v>21</x:v>
      </x:c>
      <x:c r="B24" s="13" t="s">
        <x:v>19</x:v>
      </x:c>
      <x:c r="C24" s="62">
        <x:v>195</x:v>
      </x:c>
      <x:c r="D24" s="62">
        <x:v>217</x:v>
      </x:c>
      <x:c r="E24" s="62">
        <x:v>290</x:v>
      </x:c>
      <x:c r="F24" s="44">
        <x:f t="shared" si="8"/>
        <x:v>702</x:v>
      </x:c>
      <x:c r="G24" s="45">
        <x:f t="shared" si="9"/>
        <x:v>234</x:v>
      </x:c>
      <x:c r="H24" s="34" t="str">
        <x:f t="array" ref="H24:H24">IF(B24="","",IFERROR(INDEX('회원명단 및 기준에버'!D:G,MATCH(B24,'회원명단 및 기준에버'!$C:$C,0),CHOOSE(INT((MONTH($L$2)-1)/3)+1,1,2,3,4)),""))</x:f>
        <x:v/>
      </x:c>
      <x:c r="I24" s="38">
        <x:f t="shared" si="4"/>
        <x:v>0</x:v>
      </x:c>
      <x:c r="J24" s="38">
        <x:f t="shared" si="5"/>
        <x:v>0</x:v>
      </x:c>
      <x:c r="K24" s="38">
        <x:f t="shared" si="6"/>
        <x:v>0</x:v>
      </x:c>
      <x:c r="L24" s="63">
        <x:f t="shared" si="3"/>
        <x:v>0</x:v>
      </x:c>
      <x:c r="M24" s="39">
        <x:f t="shared" si="7"/>
        <x:v>0</x:v>
      </x:c>
      <x:c r="S24" s="107">
        <x:f t="shared" si="0"/>
        <x:v>95</x:v>
      </x:c>
      <x:c r="T24" s="97">
        <x:f t="shared" si="2"/>
        <x:v>971</x:v>
      </x:c>
      <x:c r="U24" s="91">
        <x:f t="shared" si="1"/>
        <x:v>17</x:v>
      </x:c>
      <x:c r="V24" s="108"/>
    </x:row>
    <x:row r="25" spans="1:22" ht="24.949999999999999" customHeight="1">
      <x:c r="A25" s="12">
        <x:v>22</x:v>
      </x:c>
      <x:c r="B25" s="13" t="s">
        <x:v>21</x:v>
      </x:c>
      <x:c r="C25" s="62">
        <x:v>212</x:v>
      </x:c>
      <x:c r="D25" s="62">
        <x:v>204</x:v>
      </x:c>
      <x:c r="E25" s="62">
        <x:v>194</x:v>
      </x:c>
      <x:c r="F25" s="44">
        <x:f t="shared" si="8"/>
        <x:v>610</x:v>
      </x:c>
      <x:c r="G25" s="45">
        <x:f t="shared" si="9"/>
        <x:v>203.33333333333334</x:v>
      </x:c>
      <x:c r="H25" s="34">
        <x:f t="array" ref="H25:H25">IF(B25="","",IFERROR(INDEX('회원명단 및 기준에버'!D:G,MATCH(B25,'회원명단 및 기준에버'!$C:$C,0),CHOOSE(INT((MONTH($L$2)-1)/3)+1,1,2,3,4)),""))</x:f>
        <x:v>194</x:v>
      </x:c>
      <x:c r="I25" s="38">
        <x:f t="shared" si="4"/>
        <x:v>18</x:v>
      </x:c>
      <x:c r="J25" s="38">
        <x:f t="shared" si="5"/>
        <x:v>10</x:v>
      </x:c>
      <x:c r="K25" s="38">
        <x:f t="shared" si="6"/>
        <x:v>0</x:v>
      </x:c>
      <x:c r="L25" s="63">
        <x:f t="shared" si="3"/>
        <x:v>28</x:v>
      </x:c>
      <x:c r="M25" s="39">
        <x:f t="shared" si="7"/>
        <x:v>9.3333333333333428</x:v>
      </x:c>
      <x:c r="S25" s="107">
        <x:f t="shared" si="0"/>
        <x:v>18</x:v>
      </x:c>
      <x:c r="T25" s="97">
        <x:f t="shared" si="2"/>
        <x:v>93535.33333333343</x:v>
      </x:c>
      <x:c r="U25" s="91">
        <x:f t="shared" si="1"/>
        <x:v>10</x:v>
      </x:c>
      <x:c r="V25" s="108"/>
    </x:row>
    <x:row r="26" spans="1:22" ht="24.949999999999999" customHeight="1">
      <x:c r="A26" s="12">
        <x:v>23</x:v>
      </x:c>
      <x:c r="B26" s="13" t="s">
        <x:v>50</x:v>
      </x:c>
      <x:c r="C26" s="62">
        <x:v>159</x:v>
      </x:c>
      <x:c r="D26" s="62">
        <x:v>190</x:v>
      </x:c>
      <x:c r="E26" s="62">
        <x:v>203</x:v>
      </x:c>
      <x:c r="F26" s="44">
        <x:f t="shared" si="8"/>
        <x:v>552</x:v>
      </x:c>
      <x:c r="G26" s="45">
        <x:f t="shared" si="9"/>
        <x:v>184</x:v>
      </x:c>
      <x:c r="H26" s="34">
        <x:f t="array" ref="H26:H26">IF(B26="","",IFERROR(INDEX('회원명단 및 기준에버'!D:G,MATCH(B26,'회원명단 및 기준에버'!$C:$C,0),CHOOSE(INT((MONTH($L$2)-1)/3)+1,1,2,3,4)),""))</x:f>
        <x:v>195</x:v>
      </x:c>
      <x:c r="I26" s="38">
        <x:f t="shared" si="4"/>
        <x:v>-36</x:v>
      </x:c>
      <x:c r="J26" s="38">
        <x:f t="shared" si="5"/>
        <x:v>-5</x:v>
      </x:c>
      <x:c r="K26" s="38">
        <x:f t="shared" si="6"/>
        <x:v>8</x:v>
      </x:c>
      <x:c r="L26" s="63">
        <x:f t="shared" si="3"/>
        <x:v>-33</x:v>
      </x:c>
      <x:c r="M26" s="39">
        <x:f t="shared" si="7"/>
        <x:v>-11</x:v>
      </x:c>
      <x:c r="S26" s="107">
        <x:f t="shared" si="0"/>
        <x:v>44</x:v>
      </x:c>
      <x:c r="T26" s="97">
        <x:f t="shared" si="2"/>
        <x:v>-109537</x:v>
      </x:c>
      <x:c r="U26" s="91">
        <x:f t="shared" si="1"/>
        <x:v>21</x:v>
      </x:c>
      <x:c r="V26" s="108"/>
    </x:row>
    <x:row r="27" spans="1:22" ht="24.949999999999999" customHeight="1">
      <x:c r="A27" s="12">
        <x:v>24</x:v>
      </x:c>
      <x:c r="B27" s="13" t="s">
        <x:v>25</x:v>
      </x:c>
      <x:c r="C27" s="62">
        <x:v>157</x:v>
      </x:c>
      <x:c r="D27" s="62">
        <x:v>203</x:v>
      </x:c>
      <x:c r="E27" s="62">
        <x:v>237</x:v>
      </x:c>
      <x:c r="F27" s="44">
        <x:f t="shared" si="8"/>
        <x:v>597</x:v>
      </x:c>
      <x:c r="G27" s="45">
        <x:f t="shared" si="9"/>
        <x:v>199</x:v>
      </x:c>
      <x:c r="H27" s="34">
        <x:f t="array" ref="H27:H27">IF(B27="","",IFERROR(INDEX('회원명단 및 기준에버'!D:G,MATCH(B27,'회원명단 및 기준에버'!$C:$C,0),CHOOSE(INT((MONTH($L$2)-1)/3)+1,1,2,3,4)),""))</x:f>
        <x:v>190</x:v>
      </x:c>
      <x:c r="I27" s="38">
        <x:f t="shared" si="4"/>
        <x:v>-33</x:v>
      </x:c>
      <x:c r="J27" s="38">
        <x:f t="shared" si="5"/>
        <x:v>13</x:v>
      </x:c>
      <x:c r="K27" s="38">
        <x:f t="shared" si="6"/>
        <x:v>47</x:v>
      </x:c>
      <x:c r="L27" s="63">
        <x:f t="shared" si="3"/>
        <x:v>27</x:v>
      </x:c>
      <x:c r="M27" s="39">
        <x:f t="shared" si="7"/>
        <x:v>9</x:v>
      </x:c>
      <x:c r="S27" s="107">
        <x:f t="shared" si="0"/>
        <x:v>80</x:v>
      </x:c>
      <x:c r="T27" s="97">
        <x:f t="shared" si="2"/>
        <x:v>90824</x:v>
      </x:c>
      <x:c r="U27" s="91">
        <x:f t="shared" si="1"/>
        <x:v>11</x:v>
      </x:c>
      <x:c r="V27" s="108"/>
    </x:row>
    <x:row r="28" spans="1:22" ht="24.949999999999999" customHeight="1">
      <x:c r="A28" s="12">
        <x:v>25</x:v>
      </x:c>
      <x:c r="B28" s="13" t="s">
        <x:v>34</x:v>
      </x:c>
      <x:c r="C28" s="62">
        <x:v>188</x:v>
      </x:c>
      <x:c r="D28" s="62">
        <x:v>209</x:v>
      </x:c>
      <x:c r="E28" s="62">
        <x:v>160</x:v>
      </x:c>
      <x:c r="F28" s="44">
        <x:f>SUM(C28:E28)</x:f>
        <x:v>557</x:v>
      </x:c>
      <x:c r="G28" s="45">
        <x:f>F28/3</x:f>
        <x:v>185.66666666666666</x:v>
      </x:c>
      <x:c r="H28" s="34">
        <x:f t="array" ref="H28:H28">IF(B28="","",IFERROR(INDEX('회원명단 및 기준에버'!D:G,MATCH(B28,'회원명단 및 기준에버'!$C:$C,0),CHOOSE(INT((MONTH($L$2)-1)/3)+1,1,2,3,4)),""))</x:f>
        <x:v>183</x:v>
      </x:c>
      <x:c r="I28" s="38">
        <x:f>IFERROR(C28+-H28,0)</x:f>
        <x:v>5</x:v>
      </x:c>
      <x:c r="J28" s="38">
        <x:f>IFERROR(D28+-H28,0)</x:f>
        <x:v>26</x:v>
      </x:c>
      <x:c r="K28" s="38">
        <x:f>IFERROR(E28+-H28,0)</x:f>
        <x:v>-23</x:v>
      </x:c>
      <x:c r="L28" s="63">
        <x:f>SUM(I28:K28)</x:f>
        <x:v>8</x:v>
      </x:c>
      <x:c r="M28" s="39">
        <x:f>IFERROR(G28+-H28,0)</x:f>
        <x:v>2.6666666666666572</x:v>
      </x:c>
      <x:c r="S28" s="107">
        <x:f t="shared" si="0"/>
        <x:v>49</x:v>
      </x:c>
      <x:c r="T28" s="97">
        <x:f t="shared" si="2"/>
        <x:v>27181.666666666573</x:v>
      </x:c>
      <x:c r="U28" s="91">
        <x:f t="shared" si="1"/>
        <x:v>13</x:v>
      </x:c>
      <x:c r="V28" s="108"/>
    </x:row>
    <x:row r="29" spans="2:13" s="18" customFormat="1" ht="24.949999999999999" customHeight="1">
      <x:c r="B29" s="168" t="s">
        <x:v>63</x:v>
      </x:c>
      <x:c r="C29" s="169"/>
      <x:c r="D29" s="169"/>
      <x:c r="E29" s="169"/>
      <x:c r="F29" s="169"/>
      <x:c r="G29" s="169"/>
      <x:c r="H29" s="169"/>
      <x:c r="I29" s="169"/>
      <x:c r="J29" s="169"/>
      <x:c r="K29" s="169"/>
      <x:c r="L29" s="169"/>
      <x:c r="M29" s="170"/>
    </x:row>
    <x:row r="30" spans="2:13" s="18" customFormat="1" ht="24.949999999999999" customHeight="1">
      <x:c r="B30" s="171" t="s">
        <x:v>68</x:v>
      </x:c>
      <x:c r="C30" s="172"/>
      <x:c r="D30" s="172"/>
      <x:c r="E30" s="173"/>
      <x:c r="F30" s="174" t="s">
        <x:v>28</x:v>
      </x:c>
      <x:c r="G30" s="176" t="s">
        <x:v>14</x:v>
      </x:c>
      <x:c r="H30" s="177"/>
      <x:c r="I30" s="178"/>
      <x:c r="J30" s="179" t="s">
        <x:v>55</x:v>
      </x:c>
      <x:c r="K30" s="180"/>
      <x:c r="L30" s="180"/>
      <x:c r="M30" s="181"/>
    </x:row>
    <x:row r="31" spans="2:13" s="18" customFormat="1" ht="24.949999999999999" customHeight="1">
      <x:c r="B31" s="54" t="s">
        <x:v>47</x:v>
      </x:c>
      <x:c r="C31" s="115">
        <x:v>31.300000000000001</x:v>
      </x:c>
      <x:c r="D31" s="55" t="s">
        <x:v>41</x:v>
      </x:c>
      <x:c r="E31" s="116">
        <x:v>37.700000000000003</x:v>
      </x:c>
      <x:c r="F31" s="175"/>
      <x:c r="G31" s="182" t="s">
        <x:v>62</x:v>
      </x:c>
      <x:c r="H31" s="183"/>
      <x:c r="I31" s="184"/>
      <x:c r="J31" s="26"/>
      <x:c r="K31" s="27"/>
      <x:c r="L31" s="27"/>
      <x:c r="M31" s="28"/>
    </x:row>
    <x:row r="32" spans="2:13" s="18" customFormat="1" ht="24.949999999999999" customHeight="1">
      <x:c r="B32" s="155" t="s">
        <x:v>29</x:v>
      </x:c>
      <x:c r="C32" s="156"/>
      <x:c r="D32" s="156"/>
      <x:c r="E32" s="156"/>
      <x:c r="F32" s="156"/>
      <x:c r="G32" s="156"/>
      <x:c r="H32" s="157"/>
      <x:c r="I32" s="158" t="s">
        <x:v>66</x:v>
      </x:c>
      <x:c r="J32" s="159"/>
      <x:c r="K32" s="160" t="s">
        <x:v>67</x:v>
      </x:c>
      <x:c r="L32" s="161"/>
      <x:c r="M32" s="162"/>
    </x:row>
    <x:row r="33" spans="2:13" s="18" customFormat="1" ht="24.949999999999999" customHeight="1">
      <x:c r="B33" s="21" t="s">
        <x:v>49</x:v>
      </x:c>
      <x:c r="C33" s="64">
        <x:v>224</x:v>
      </x:c>
      <x:c r="D33" s="32" t="s">
        <x:v>47</x:v>
      </x:c>
      <x:c r="E33" s="67">
        <x:v>258</x:v>
      </x:c>
      <x:c r="F33" s="30" t="s">
        <x:v>46</x:v>
      </x:c>
      <x:c r="G33" s="70">
        <x:v>223</x:v>
      </x:c>
      <x:c r="H33" s="157"/>
      <x:c r="I33" s="23"/>
      <x:c r="J33" s="50"/>
      <x:c r="K33" s="57" t="s">
        <x:v>31</x:v>
      </x:c>
      <x:c r="L33" s="58"/>
      <x:c r="M33" s="59"/>
    </x:row>
    <x:row r="34" spans="2:13" s="18" customFormat="1" ht="24.949999999999999" customHeight="1">
      <x:c r="B34" s="46" t="s">
        <x:v>48</x:v>
      </x:c>
      <x:c r="C34" s="65">
        <x:v>238</x:v>
      </x:c>
      <x:c r="D34" s="47" t="s">
        <x:v>15</x:v>
      </x:c>
      <x:c r="E34" s="68">
        <x:v>225</x:v>
      </x:c>
      <x:c r="F34" s="48"/>
      <x:c r="G34" s="71"/>
      <x:c r="H34" s="157"/>
      <x:c r="I34" s="49"/>
      <x:c r="J34" s="51"/>
      <x:c r="K34" s="57"/>
      <x:c r="L34" s="58"/>
      <x:c r="M34" s="59"/>
    </x:row>
    <x:row r="35" spans="2:13" s="18" customFormat="1" ht="24.949999999999999" customHeight="1">
      <x:c r="B35" s="29" t="s">
        <x:v>34</x:v>
      </x:c>
      <x:c r="C35" s="66">
        <x:v>209</x:v>
      </x:c>
      <x:c r="D35" s="33" t="s">
        <x:v>21</x:v>
      </x:c>
      <x:c r="E35" s="69">
        <x:v>194</x:v>
      </x:c>
      <x:c r="F35" s="31"/>
      <x:c r="G35" s="72"/>
      <x:c r="H35" s="157"/>
      <x:c r="I35" s="24"/>
      <x:c r="J35" s="52"/>
      <x:c r="K35" s="60"/>
      <x:c r="L35" s="53"/>
      <x:c r="M35" s="61"/>
    </x:row>
    <x:row r="36" spans="1:13" s="18" customFormat="1" ht="24.949999999999999" customHeight="1">
      <x:c r="A36" s="17"/>
      <x:c r="B36" s="163" t="s">
        <x:v>51</x:v>
      </x:c>
      <x:c r="C36" s="164"/>
      <x:c r="D36" s="164"/>
      <x:c r="E36" s="164"/>
      <x:c r="F36" s="164"/>
      <x:c r="G36" s="164"/>
      <x:c r="H36" s="164"/>
      <x:c r="I36" s="164"/>
      <x:c r="J36" s="164"/>
      <x:c r="K36" s="164"/>
      <x:c r="L36" s="164"/>
      <x:c r="M36" s="165"/>
    </x:row>
    <x:row r="37" spans="2:13" s="18" customFormat="1" ht="24.949999999999999" customHeight="1">
      <x:c r="B37" s="35" t="str">
        <x:f>$B4</x:f>
        <x:v>이 대 용</x:v>
      </x:c>
      <x:c r="C37" s="40">
        <x:f>IF($T$2=0,$C4,$I4)</x:f>
        <x:v>-16</x:v>
      </x:c>
      <x:c r="D37" s="40">
        <x:f>IF($T$2=0,$D4,$J4)</x:f>
        <x:v>-11</x:v>
      </x:c>
      <x:c r="E37" s="40">
        <x:f>IF($T$2=0,$E4,$K4)</x:f>
        <x:v>12</x:v>
      </x:c>
      <x:c r="F37" s="141">
        <x:f>E42+D42+C42</x:f>
        <x:v>138</x:v>
      </x:c>
      <x:c r="G37" s="144"/>
      <x:c r="H37" s="79" t="str">
        <x:f>$B9</x:f>
        <x:v>장 영 민</x:v>
      </x:c>
      <x:c r="I37" s="40">
        <x:f>IF($T$2=0,$C9,$I9)</x:f>
        <x:v>12</x:v>
      </x:c>
      <x:c r="J37" s="40">
        <x:f>IF($T$2=0,$D9,$J9)</x:f>
        <x:v>58</x:v>
      </x:c>
      <x:c r="K37" s="40">
        <x:f>IF($T$2=0,$E9,$K9)</x:f>
        <x:v>24</x:v>
      </x:c>
      <x:c r="L37" s="149">
        <x:f>K42+J42+I42</x:f>
        <x:v>197</x:v>
      </x:c>
      <x:c r="M37" s="152"/>
    </x:row>
    <x:row r="38" spans="2:13" s="18" customFormat="1" ht="24.949999999999999" customHeight="1">
      <x:c r="B38" s="36" t="str">
        <x:f>$B5</x:f>
        <x:v>박 시 진</x:v>
      </x:c>
      <x:c r="C38" s="41">
        <x:f>IF($T$2=0,$C5,$I5)</x:f>
        <x:v>28</x:v>
      </x:c>
      <x:c r="D38" s="41">
        <x:f>IF($T$2=0,$D5,$J5)</x:f>
        <x:v>-5</x:v>
      </x:c>
      <x:c r="E38" s="41">
        <x:f>IF($T$2=0,$E5,$K5)</x:f>
        <x:v>31</x:v>
      </x:c>
      <x:c r="F38" s="142"/>
      <x:c r="G38" s="145"/>
      <x:c r="H38" s="36" t="str">
        <x:f>$B10</x:f>
        <x:v>천 성 일</x:v>
      </x:c>
      <x:c r="I38" s="41">
        <x:f>IF($T$2=0,$C10,$I10)</x:f>
        <x:v>-19</x:v>
      </x:c>
      <x:c r="J38" s="41">
        <x:f>IF($T$2=0,$D10,$J10)</x:f>
        <x:v>47</x:v>
      </x:c>
      <x:c r="K38" s="41">
        <x:f>IF($T$2=0,$E10,$K10)</x:f>
        <x:v>-21</x:v>
      </x:c>
      <x:c r="L38" s="150"/>
      <x:c r="M38" s="153"/>
    </x:row>
    <x:row r="39" spans="2:13" s="18" customFormat="1" ht="24.949999999999999" customHeight="1">
      <x:c r="B39" s="36" t="str">
        <x:f>$B6</x:f>
        <x:v>김 태 환</x:v>
      </x:c>
      <x:c r="C39" s="41">
        <x:f>IF($T$2=0,$C6,$I6)</x:f>
        <x:v>0</x:v>
      </x:c>
      <x:c r="D39" s="41">
        <x:f>IF($T$2=0,$D6,$J6)</x:f>
        <x:v>0</x:v>
      </x:c>
      <x:c r="E39" s="41">
        <x:f>IF($T$2=0,$E6,$K6)</x:f>
        <x:v>0</x:v>
      </x:c>
      <x:c r="F39" s="142"/>
      <x:c r="G39" s="145"/>
      <x:c r="H39" s="36" t="str">
        <x:f>$B11</x:f>
        <x:v>이 범 수</x:v>
      </x:c>
      <x:c r="I39" s="41">
        <x:f>IF($T$2=0,$C11,$I11)</x:f>
        <x:v>-24</x:v>
      </x:c>
      <x:c r="J39" s="41">
        <x:f>IF($T$2=0,$D11,$J11)</x:f>
        <x:v>35</x:v>
      </x:c>
      <x:c r="K39" s="41">
        <x:f>IF($T$2=0,$E11,$K11)</x:f>
        <x:v>32</x:v>
      </x:c>
      <x:c r="L39" s="150"/>
      <x:c r="M39" s="153"/>
    </x:row>
    <x:row r="40" spans="2:13" s="18" customFormat="1" ht="24.949999999999999" customHeight="1">
      <x:c r="B40" s="36" t="str">
        <x:f>$B7</x:f>
        <x:v>박 성 현</x:v>
      </x:c>
      <x:c r="C40" s="41">
        <x:f>IF($T$2=0,$C7,$I7)</x:f>
        <x:v>-7</x:v>
      </x:c>
      <x:c r="D40" s="41">
        <x:f>IF($T$2=0,$D7,$J7)</x:f>
        <x:v>9</x:v>
      </x:c>
      <x:c r="E40" s="41">
        <x:f>IF($T$2=0,$E7,$K7)</x:f>
        <x:v>34</x:v>
      </x:c>
      <x:c r="F40" s="142"/>
      <x:c r="G40" s="145"/>
      <x:c r="H40" s="36" t="str">
        <x:f>$B12</x:f>
        <x:v>황 인 교</x:v>
      </x:c>
      <x:c r="I40" s="41">
        <x:f>IF($T$2=0,$C12,$I12)</x:f>
        <x:v>7</x:v>
      </x:c>
      <x:c r="J40" s="41">
        <x:f>IF($T$2=0,$D12,$J12)</x:f>
        <x:v>-7</x:v>
      </x:c>
      <x:c r="K40" s="41">
        <x:f>IF($T$2=0,$E12,$K12)</x:f>
        <x:v>53</x:v>
      </x:c>
      <x:c r="L40" s="150"/>
      <x:c r="M40" s="153"/>
    </x:row>
    <x:row r="41" spans="2:13" s="18" customFormat="1" ht="24.949999999999999" customHeight="1">
      <x:c r="B41" s="36" t="str">
        <x:f>$B8</x:f>
        <x:v>김 미 란</x:v>
      </x:c>
      <x:c r="C41" s="41">
        <x:f>IF($T$2=0,$C8,$I8)</x:f>
        <x:v>-17</x:v>
      </x:c>
      <x:c r="D41" s="41">
        <x:f>IF($T$2=0,$D8,$J8)</x:f>
        <x:v>48</x:v>
      </x:c>
      <x:c r="E41" s="41">
        <x:f>IF($T$2=0,$E8,$K8)</x:f>
        <x:v>32</x:v>
      </x:c>
      <x:c r="F41" s="142"/>
      <x:c r="G41" s="145"/>
      <x:c r="H41" s="36" t="str">
        <x:f>$B13</x:f>
        <x:v>김 정 희</x:v>
      </x:c>
      <x:c r="I41" s="41">
        <x:f>IF($T$2=0,$C13,$I13)</x:f>
        <x:v>0</x:v>
      </x:c>
      <x:c r="J41" s="41">
        <x:f>IF($T$2=0,$D13,$J13)</x:f>
        <x:v>0</x:v>
      </x:c>
      <x:c r="K41" s="41">
        <x:f>IF($T$2=0,$E13,$K13)</x:f>
        <x:v>0</x:v>
      </x:c>
      <x:c r="L41" s="150"/>
      <x:c r="M41" s="153"/>
    </x:row>
    <x:row r="42" spans="2:13" s="18" customFormat="1" ht="24.949999999999999" customHeight="1">
      <x:c r="B42" s="37"/>
      <x:c r="C42" s="42">
        <x:f>SUM(C37:C41)</x:f>
        <x:v>-12</x:v>
      </x:c>
      <x:c r="D42" s="42">
        <x:f>SUM(D37:D41)</x:f>
        <x:v>41</x:v>
      </x:c>
      <x:c r="E42" s="42">
        <x:f>SUM(E37:E41)</x:f>
        <x:v>109</x:v>
      </x:c>
      <x:c r="F42" s="143"/>
      <x:c r="G42" s="146"/>
      <x:c r="H42" s="37"/>
      <x:c r="I42" s="42">
        <x:f>SUM(I37:I41)</x:f>
        <x:v>-24</x:v>
      </x:c>
      <x:c r="J42" s="42">
        <x:f>SUM(J37:J41)</x:f>
        <x:v>133</x:v>
      </x:c>
      <x:c r="K42" s="42">
        <x:f>SUM(K37:K41)</x:f>
        <x:v>88</x:v>
      </x:c>
      <x:c r="L42" s="151"/>
      <x:c r="M42" s="154"/>
    </x:row>
    <x:row r="43" s="18" customFormat="1" ht="24.949999999999999" customHeight="1"/>
    <x:row r="44" spans="2:13" s="18" customFormat="1" ht="24.949999999999999" customHeight="1">
      <x:c r="B44" s="35" t="str">
        <x:f>$B14</x:f>
        <x:v>이 우 석</x:v>
      </x:c>
      <x:c r="C44" s="40">
        <x:f>IF($T$2=0,$C14,$I14)</x:f>
        <x:v>-19</x:v>
      </x:c>
      <x:c r="D44" s="40">
        <x:f>IF($T$2=0,$D14,$J14)</x:f>
        <x:v>-6</x:v>
      </x:c>
      <x:c r="E44" s="40">
        <x:f>IF($T$2=0,$E14,$K14)</x:f>
        <x:v>-17</x:v>
      </x:c>
      <x:c r="F44" s="141">
        <x:f>E49+D49+C49</x:f>
        <x:v>82</x:v>
      </x:c>
      <x:c r="G44" s="144"/>
      <x:c r="H44" s="79" t="str">
        <x:f>$B19</x:f>
        <x:v>변 상 필</x:v>
      </x:c>
      <x:c r="I44" s="40">
        <x:f>IF($T$2=0,$C19,$I19)</x:f>
        <x:v>2</x:v>
      </x:c>
      <x:c r="J44" s="40">
        <x:f>IF($T$2=0,$D19,$J19)</x:f>
        <x:v>-6</x:v>
      </x:c>
      <x:c r="K44" s="40">
        <x:f>IF($T$2=0,$E19,$K19)</x:f>
        <x:v>54</x:v>
      </x:c>
      <x:c r="L44" s="149">
        <x:f>K49+J49+I49</x:f>
        <x:v>-62</x:v>
      </x:c>
      <x:c r="M44" s="152"/>
    </x:row>
    <x:row r="45" spans="2:13" s="17" customFormat="1" ht="24.949999999999999" customHeight="1">
      <x:c r="B45" s="36" t="str">
        <x:f>$B15</x:f>
        <x:v>강 완 규</x:v>
      </x:c>
      <x:c r="C45" s="41">
        <x:f>IF($T$2=0,$C15,$I15)</x:f>
        <x:v>9</x:v>
      </x:c>
      <x:c r="D45" s="41">
        <x:f>IF($T$2=0,$D15,$J15)</x:f>
        <x:v>3</x:v>
      </x:c>
      <x:c r="E45" s="41">
        <x:f>IF($T$2=0,$E15,$K15)</x:f>
        <x:v>7</x:v>
      </x:c>
      <x:c r="F45" s="142"/>
      <x:c r="G45" s="145"/>
      <x:c r="H45" s="36" t="str">
        <x:f>$B20</x:f>
        <x:v>강 희 태</x:v>
      </x:c>
      <x:c r="I45" s="41">
        <x:f>IF($T$2=0,$C20,$I20)</x:f>
        <x:v>24</x:v>
      </x:c>
      <x:c r="J45" s="41">
        <x:f>IF($T$2=0,$D20,$J20)</x:f>
        <x:v>13</x:v>
      </x:c>
      <x:c r="K45" s="41">
        <x:f>IF($T$2=0,$E20,$K20)</x:f>
        <x:v>23</x:v>
      </x:c>
      <x:c r="L45" s="150"/>
      <x:c r="M45" s="153"/>
    </x:row>
    <x:row r="46" spans="2:13" s="17" customFormat="1" ht="24.949999999999999" customHeight="1">
      <x:c r="B46" s="36" t="str">
        <x:f>$B16</x:f>
        <x:v>정 영 우</x:v>
      </x:c>
      <x:c r="C46" s="41">
        <x:f>IF($T$2=0,$C16,$I16)</x:f>
        <x:v>7</x:v>
      </x:c>
      <x:c r="D46" s="41">
        <x:f>IF($T$2=0,$D16,$J16)</x:f>
        <x:v>-15</x:v>
      </x:c>
      <x:c r="E46" s="41">
        <x:f>IF($T$2=0,$E16,$K16)</x:f>
        <x:v>10</x:v>
      </x:c>
      <x:c r="F46" s="142"/>
      <x:c r="G46" s="145"/>
      <x:c r="H46" s="36" t="str">
        <x:f>$B21</x:f>
        <x:v>이 정 석</x:v>
      </x:c>
      <x:c r="I46" s="41">
        <x:f>IF($T$2=0,$C21,$I21)</x:f>
        <x:v>-56</x:v>
      </x:c>
      <x:c r="J46" s="41">
        <x:f>IF($T$2=0,$D21,$J21)</x:f>
        <x:v>18</x:v>
      </x:c>
      <x:c r="K46" s="41">
        <x:f>IF($T$2=0,$E21,$K21)</x:f>
        <x:v>-31</x:v>
      </x:c>
      <x:c r="L46" s="150"/>
      <x:c r="M46" s="153"/>
    </x:row>
    <x:row r="47" spans="2:13" s="17" customFormat="1" ht="24.949999999999999" customHeight="1">
      <x:c r="B47" s="36" t="str">
        <x:f>$B17</x:f>
        <x:v>이 상 현</x:v>
      </x:c>
      <x:c r="C47" s="41">
        <x:f>IF($T$2=0,$C17,$I17)</x:f>
        <x:v>15</x:v>
      </x:c>
      <x:c r="D47" s="41">
        <x:f>IF($T$2=0,$D17,$J17)</x:f>
        <x:v>16</x:v>
      </x:c>
      <x:c r="E47" s="41">
        <x:f>IF($T$2=0,$E17,$K17)</x:f>
        <x:v>-23</x:v>
      </x:c>
      <x:c r="F47" s="142"/>
      <x:c r="G47" s="145"/>
      <x:c r="H47" s="36" t="str">
        <x:f>$B22</x:f>
        <x:v>김 종 훈</x:v>
      </x:c>
      <x:c r="I47" s="41">
        <x:f>IF($T$2=0,$C22,$I22)</x:f>
        <x:v>-22</x:v>
      </x:c>
      <x:c r="J47" s="41">
        <x:f>IF($T$2=0,$D22,$J22)</x:f>
        <x:v>-12</x:v>
      </x:c>
      <x:c r="K47" s="41">
        <x:f>IF($T$2=0,$E22,$K22)</x:f>
        <x:v>-30</x:v>
      </x:c>
      <x:c r="L47" s="150"/>
      <x:c r="M47" s="153"/>
    </x:row>
    <x:row r="48" spans="2:13" s="17" customFormat="1" ht="24.949999999999999" customHeight="1">
      <x:c r="B48" s="36" t="str">
        <x:f>$B18</x:f>
        <x:v>김 선 미</x:v>
      </x:c>
      <x:c r="C48" s="41">
        <x:f>IF($T$2=0,$C18,$I18)</x:f>
        <x:v>21</x:v>
      </x:c>
      <x:c r="D48" s="41">
        <x:f>IF($T$2=0,$D18,$J18)</x:f>
        <x:v>41</x:v>
      </x:c>
      <x:c r="E48" s="41">
        <x:f>IF($T$2=0,$E18,$K18)</x:f>
        <x:v>33</x:v>
      </x:c>
      <x:c r="F48" s="142"/>
      <x:c r="G48" s="145"/>
      <x:c r="H48" s="36" t="str">
        <x:f>$B23</x:f>
        <x:v>손 은 주</x:v>
      </x:c>
      <x:c r="I48" s="41">
        <x:f>IF($T$2=0,$C23,$I23)</x:f>
        <x:v>-24</x:v>
      </x:c>
      <x:c r="J48" s="41">
        <x:f>IF($T$2=0,$D23,$J23)</x:f>
        <x:v>-18</x:v>
      </x:c>
      <x:c r="K48" s="41">
        <x:f>IF($T$2=0,$E23,$K23)</x:f>
        <x:v>3</x:v>
      </x:c>
      <x:c r="L48" s="150"/>
      <x:c r="M48" s="153"/>
    </x:row>
    <x:row r="49" spans="2:13" s="17" customFormat="1" ht="24.949999999999999" customHeight="1">
      <x:c r="B49" s="37"/>
      <x:c r="C49" s="42">
        <x:f>SUM(C44:C48)</x:f>
        <x:v>33</x:v>
      </x:c>
      <x:c r="D49" s="42">
        <x:f>SUM(D44:D48)</x:f>
        <x:v>39</x:v>
      </x:c>
      <x:c r="E49" s="42">
        <x:f>SUM(E44:E48)</x:f>
        <x:v>10</x:v>
      </x:c>
      <x:c r="F49" s="143"/>
      <x:c r="G49" s="146"/>
      <x:c r="H49" s="37"/>
      <x:c r="I49" s="42">
        <x:f>SUM(I44:I48)</x:f>
        <x:v>-76</x:v>
      </x:c>
      <x:c r="J49" s="42">
        <x:f>SUM(J44:J48)</x:f>
        <x:v>-5</x:v>
      </x:c>
      <x:c r="K49" s="42">
        <x:f>SUM(K44:K48)</x:f>
        <x:v>19</x:v>
      </x:c>
      <x:c r="L49" s="151"/>
      <x:c r="M49" s="154"/>
    </x:row>
    <x:row r="50" spans="7:14" ht="24.949999999999999" customHeight="1">
      <x:c r="G50" s="8"/>
      <x:c r="H50" s="8"/>
      <x:c r="I50" s="8"/>
      <x:c r="J50" s="8"/>
      <x:c r="K50" s="8"/>
      <x:c r="L50" s="8"/>
      <x:c r="M50" s="8"/>
      <x:c r="N50" s="8"/>
    </x:row>
    <x:row r="51" spans="2:14" ht="24.949999999999999" customHeight="1">
      <x:c r="B51" s="35" t="str">
        <x:f>$B24</x:f>
        <x:v>정 승 주</x:v>
      </x:c>
      <x:c r="C51" s="40">
        <x:f>IF($T$2=0,$C24,$I24)</x:f>
        <x:v>0</x:v>
      </x:c>
      <x:c r="D51" s="40">
        <x:f>IF($T$2=0,$D24,$J24)</x:f>
        <x:v>0</x:v>
      </x:c>
      <x:c r="E51" s="40">
        <x:f>IF($T$2=0,$E24,$K24)</x:f>
        <x:v>0</x:v>
      </x:c>
      <x:c r="F51" s="141">
        <x:f>E56+D56+C56</x:f>
        <x:v>30</x:v>
      </x:c>
      <x:c r="G51" s="144"/>
      <x:c r="H51" s="117"/>
      <x:c r="I51" s="118"/>
      <x:c r="J51" s="118"/>
      <x:c r="K51" s="118"/>
      <x:c r="L51" s="122"/>
      <x:c r="M51" s="123"/>
      <x:c r="N51" s="8"/>
    </x:row>
    <x:row r="52" spans="2:14" ht="24.949999999999999" customHeight="1">
      <x:c r="B52" s="36" t="str">
        <x:f>$B25</x:f>
        <x:v>임 연 진</x:v>
      </x:c>
      <x:c r="C52" s="41">
        <x:f>IF($T$2=0,$C25,$I25)</x:f>
        <x:v>18</x:v>
      </x:c>
      <x:c r="D52" s="41">
        <x:f>IF($T$2=0,$D25,$J25)</x:f>
        <x:v>10</x:v>
      </x:c>
      <x:c r="E52" s="41">
        <x:f>IF($T$2=0,$E25,$K25)</x:f>
        <x:v>0</x:v>
      </x:c>
      <x:c r="F52" s="142"/>
      <x:c r="G52" s="145"/>
      <x:c r="H52" s="119"/>
      <x:c r="I52" s="120"/>
      <x:c r="J52" s="120"/>
      <x:c r="K52" s="120"/>
      <x:c r="L52" s="124"/>
      <x:c r="M52" s="125"/>
      <x:c r="N52" s="8"/>
    </x:row>
    <x:row r="53" spans="2:14" ht="24.949999999999999" customHeight="1">
      <x:c r="B53" s="36" t="str">
        <x:f>$B26</x:f>
        <x:v>고 경 훈</x:v>
      </x:c>
      <x:c r="C53" s="41">
        <x:f>IF($T$2=0,$C26,$I26)</x:f>
        <x:v>-36</x:v>
      </x:c>
      <x:c r="D53" s="41">
        <x:f>IF($T$2=0,$D26,$J26)</x:f>
        <x:v>-5</x:v>
      </x:c>
      <x:c r="E53" s="41">
        <x:f>IF($T$2=0,$E26,$K26)</x:f>
        <x:v>8</x:v>
      </x:c>
      <x:c r="F53" s="142"/>
      <x:c r="G53" s="145"/>
      <x:c r="H53" s="119"/>
      <x:c r="I53" s="120"/>
      <x:c r="J53" s="120"/>
      <x:c r="K53" s="120"/>
      <x:c r="L53" s="124"/>
      <x:c r="M53" s="125"/>
      <x:c r="N53" s="8"/>
    </x:row>
    <x:row r="54" spans="2:14" ht="24.949999999999999" customHeight="1">
      <x:c r="B54" s="36" t="str">
        <x:f>$B27</x:f>
        <x:v>이 재 용</x:v>
      </x:c>
      <x:c r="C54" s="41">
        <x:f>IF($T$2=0,$C27,$I27)</x:f>
        <x:v>-33</x:v>
      </x:c>
      <x:c r="D54" s="41">
        <x:f>IF($T$2=0,$D27,$J27)</x:f>
        <x:v>13</x:v>
      </x:c>
      <x:c r="E54" s="41">
        <x:f>IF($T$2=0,$E27,$K27)</x:f>
        <x:v>47</x:v>
      </x:c>
      <x:c r="F54" s="142"/>
      <x:c r="G54" s="145"/>
      <x:c r="H54" s="119"/>
      <x:c r="I54" s="120"/>
      <x:c r="J54" s="120"/>
      <x:c r="K54" s="120"/>
      <x:c r="L54" s="124"/>
      <x:c r="M54" s="125"/>
      <x:c r="N54" s="8"/>
    </x:row>
    <x:row r="55" spans="2:14" ht="24.949999999999999" customHeight="1">
      <x:c r="B55" s="36" t="str">
        <x:f>$B28</x:f>
        <x:v>지 옥 명</x:v>
      </x:c>
      <x:c r="C55" s="41">
        <x:f>IF($T$2=0,$C28,$I28)</x:f>
        <x:v>5</x:v>
      </x:c>
      <x:c r="D55" s="41">
        <x:f>IF($T$2=0,$D28,$J28)</x:f>
        <x:v>26</x:v>
      </x:c>
      <x:c r="E55" s="41">
        <x:f>IF($T$2=0,$E28,$K28)</x:f>
        <x:v>-23</x:v>
      </x:c>
      <x:c r="F55" s="142"/>
      <x:c r="G55" s="145"/>
      <x:c r="H55" s="119"/>
      <x:c r="I55" s="120"/>
      <x:c r="J55" s="120"/>
      <x:c r="K55" s="120"/>
      <x:c r="L55" s="124"/>
      <x:c r="M55" s="125"/>
      <x:c r="N55" s="8"/>
    </x:row>
    <x:row r="56" spans="2:14" ht="24.949999999999999" customHeight="1">
      <x:c r="B56" s="37"/>
      <x:c r="C56" s="42">
        <x:f>SUM(C51:C55)</x:f>
        <x:v>-46</x:v>
      </x:c>
      <x:c r="D56" s="42">
        <x:f>SUM(D51:D55)</x:f>
        <x:v>44</x:v>
      </x:c>
      <x:c r="E56" s="42">
        <x:f>SUM(E51:E55)</x:f>
        <x:v>32</x:v>
      </x:c>
      <x:c r="F56" s="143"/>
      <x:c r="G56" s="146"/>
      <x:c r="H56" s="119"/>
      <x:c r="I56" s="121"/>
      <x:c r="J56" s="121"/>
      <x:c r="K56" s="121"/>
      <x:c r="L56" s="124"/>
      <x:c r="M56" s="125"/>
      <x:c r="N56" s="8"/>
    </x:row>
    <x:row r="57" spans="7:14" ht="24.949999999999999" customHeight="1">
      <x:c r="G57" s="8"/>
      <x:c r="H57" s="8"/>
      <x:c r="I57" s="8"/>
      <x:c r="J57" s="8"/>
      <x:c r="K57" s="8"/>
      <x:c r="L57" s="8"/>
      <x:c r="M57" s="8"/>
      <x:c r="N57" s="8"/>
    </x:row>
    <x:row r="58" ht="24.949999999999999" customHeight="1"/>
    <x:row r="59" ht="24.949999999999999" customHeight="1"/>
    <x:row r="60" spans="1:13" ht="60" customHeight="1">
      <x:c r="A60" s="185" t="str">
        <x:f>A1</x:f>
        <x:v>2026 아르케 존 03회 정기 모임 점수</x:v>
      </x:c>
      <x:c r="B60" s="185"/>
      <x:c r="C60" s="185"/>
      <x:c r="D60" s="185"/>
      <x:c r="E60" s="185"/>
      <x:c r="F60" s="185"/>
      <x:c r="G60" s="185"/>
      <x:c r="H60" s="185"/>
      <x:c r="I60" s="185"/>
      <x:c r="J60" s="185"/>
      <x:c r="K60" s="185"/>
      <x:c r="L60" s="185"/>
      <x:c r="M60" s="185"/>
    </x:row>
    <x:row r="61" spans="1:13" ht="24.949999999999999" customHeight="1">
      <x:c r="A61" s="77"/>
      <x:c r="B61" s="77"/>
      <x:c r="C61" s="77"/>
      <x:c r="D61" s="77"/>
      <x:c r="E61" s="77"/>
      <x:c r="F61" s="77"/>
      <x:c r="G61" s="77"/>
      <x:c r="H61" s="77"/>
      <x:c r="I61" s="77"/>
      <x:c r="J61" s="77"/>
      <x:c r="K61" s="78" t="s">
        <x:v>8</x:v>
      </x:c>
      <x:c r="L61" s="166">
        <x:f>L2</x:f>
        <x:v>46058</x:v>
      </x:c>
      <x:c r="M61" s="167"/>
    </x:row>
    <x:row r="62" spans="1:13" ht="24.949999999999999" customHeight="1">
      <x:c r="A62" s="20"/>
      <x:c r="B62" s="14" t="s">
        <x:v>53</x:v>
      </x:c>
      <x:c r="C62" s="14" t="s">
        <x:v>2</x:v>
      </x:c>
      <x:c r="D62" s="14" t="s">
        <x:v>0</x:v>
      </x:c>
      <x:c r="E62" s="14" t="s">
        <x:v>10</x:v>
      </x:c>
      <x:c r="F62" s="14" t="s">
        <x:v>9</x:v>
      </x:c>
      <x:c r="G62" s="14" t="s">
        <x:v>6</x:v>
      </x:c>
      <x:c r="H62" s="16" t="s">
        <x:v>57</x:v>
      </x:c>
      <x:c r="I62" s="14" t="s">
        <x:v>2</x:v>
      </x:c>
      <x:c r="J62" s="14" t="s">
        <x:v>0</x:v>
      </x:c>
      <x:c r="K62" s="14" t="s">
        <x:v>10</x:v>
      </x:c>
      <x:c r="L62" s="15" t="s">
        <x:v>9</x:v>
      </x:c>
      <x:c r="M62" s="22" t="s">
        <x:v>13</x:v>
      </x:c>
    </x:row>
    <x:row r="63" spans="1:13" ht="24.949999999999999" customHeight="1">
      <x:c r="A63" s="12">
        <x:v>1</x:v>
      </x:c>
      <x:c r="B63" s="13" t="str">
        <x:f t="array" ref="B63:B63">INDEX($B$4:$M$28,MATCH($A63,$U$4:$U$28,0),COLUMN(A$1))</x:f>
        <x:v>김 선 미</x:v>
      </x:c>
      <x:c r="C63" s="62">
        <x:f t="array" ref="C63:C63">INDEX($B$4:$M$28,MATCH($A63,$U$4:$U$28,0),COLUMN(B$1))</x:f>
        <x:v>182</x:v>
      </x:c>
      <x:c r="D63" s="62">
        <x:f t="array" ref="D63:D63">INDEX($B$4:$M$28,MATCH($A63,$U$4:$U$28,0),COLUMN(C$1))</x:f>
        <x:v>202</x:v>
      </x:c>
      <x:c r="E63" s="62">
        <x:f t="array" ref="E63:E63">INDEX($B$4:$M$28,MATCH($A63,$U$4:$U$28,0),COLUMN(D$1))</x:f>
        <x:v>194</x:v>
      </x:c>
      <x:c r="F63" s="44">
        <x:f>SUM(C63:E63)</x:f>
        <x:v>578</x:v>
      </x:c>
      <x:c r="G63" s="45">
        <x:f>F63/3</x:f>
        <x:v>192.66666666666666</x:v>
      </x:c>
      <x:c r="H63" s="34">
        <x:f t="array" ref="H63:H63">IF(B63="","",IFERROR(INDEX('회원명단 및 기준에버'!D:G,MATCH(B63,'회원명단 및 기준에버'!$C:$C,0),CHOOSE(INT((MONTH($L$2)-1)/3)+1,1,2,3,4)),""))</x:f>
        <x:v>161</x:v>
      </x:c>
      <x:c r="I63" s="38">
        <x:f>IFERROR(C63+-H63,0)</x:f>
        <x:v>21</x:v>
      </x:c>
      <x:c r="J63" s="38">
        <x:f>IFERROR(D63+-H63,0)</x:f>
        <x:v>41</x:v>
      </x:c>
      <x:c r="K63" s="38">
        <x:f>IFERROR(E63+-H63,0)</x:f>
        <x:v>33</x:v>
      </x:c>
      <x:c r="L63" s="63">
        <x:f>SUM(I63:K63)</x:f>
        <x:v>95</x:v>
      </x:c>
      <x:c r="M63" s="39">
        <x:f>IFERROR(G63+-H63,0)</x:f>
        <x:v>31.666666666666657</x:v>
      </x:c>
    </x:row>
    <x:row r="64" spans="1:13" ht="24.949999999999999" customHeight="1">
      <x:c r="A64" s="12">
        <x:v>2</x:v>
      </x:c>
      <x:c r="B64" s="13" t="str">
        <x:f t="array" ref="B64:B64">INDEX($B$4:$M$28,MATCH($A64,$U$4:$U$28,0),COLUMN(A$1))</x:f>
        <x:v>장 영 민</x:v>
      </x:c>
      <x:c r="C64" s="62">
        <x:f t="array" ref="C64:C64">INDEX($B$4:$M$28,MATCH($A64,$U$4:$U$28,0),COLUMN(B$1))</x:f>
        <x:v>212</x:v>
      </x:c>
      <x:c r="D64" s="62">
        <x:f t="array" ref="D64:D64">INDEX($B$4:$M$28,MATCH($A64,$U$4:$U$28,0),COLUMN(C$1))</x:f>
        <x:v>258</x:v>
      </x:c>
      <x:c r="E64" s="62">
        <x:f t="array" ref="E64:E64">INDEX($B$4:$M$28,MATCH($A64,$U$4:$U$28,0),COLUMN(D$1))</x:f>
        <x:v>224</x:v>
      </x:c>
      <x:c r="F64" s="44">
        <x:f>SUM(C64:E64)</x:f>
        <x:v>694</x:v>
      </x:c>
      <x:c r="G64" s="45">
        <x:f>F64/3</x:f>
        <x:v>231.33333333333334</x:v>
      </x:c>
      <x:c r="H64" s="34">
        <x:f t="array" ref="H64:H64">IF(B64="","",IFERROR(INDEX('회원명단 및 기준에버'!D:G,MATCH(B64,'회원명단 및 기준에버'!$C:$C,0),CHOOSE(INT((MONTH($L$2)-1)/3)+1,1,2,3,4)),""))</x:f>
        <x:v>200</x:v>
      </x:c>
      <x:c r="I64" s="38">
        <x:f>IFERROR(C64+-H64,0)</x:f>
        <x:v>12</x:v>
      </x:c>
      <x:c r="J64" s="38">
        <x:f>IFERROR(D64+-H64,0)</x:f>
        <x:v>58</x:v>
      </x:c>
      <x:c r="K64" s="38">
        <x:f>IFERROR(E64+-H64,0)</x:f>
        <x:v>24</x:v>
      </x:c>
      <x:c r="L64" s="63">
        <x:f>SUM(I64:K64)</x:f>
        <x:v>94</x:v>
      </x:c>
      <x:c r="M64" s="39">
        <x:f>IFERROR(G64+-H64,0)</x:f>
        <x:v>31.333333333333343</x:v>
      </x:c>
    </x:row>
    <x:row r="65" spans="1:13" ht="24.949999999999999" customHeight="1">
      <x:c r="A65" s="12">
        <x:v>3</x:v>
      </x:c>
      <x:c r="B65" s="13" t="str">
        <x:f t="array" ref="B65:B65">INDEX($B$4:$M$28,MATCH($A65,$U$4:$U$28,0),COLUMN(A$1))</x:f>
        <x:v>김 미 란</x:v>
      </x:c>
      <x:c r="C65" s="62">
        <x:f t="array" ref="C65:C65">INDEX($B$4:$M$28,MATCH($A65,$U$4:$U$28,0),COLUMN(B$1))</x:f>
        <x:v>165</x:v>
      </x:c>
      <x:c r="D65" s="62">
        <x:f t="array" ref="D65:D65">INDEX($B$4:$M$28,MATCH($A65,$U$4:$U$28,0),COLUMN(C$1))</x:f>
        <x:v>230</x:v>
      </x:c>
      <x:c r="E65" s="62">
        <x:f t="array" ref="E65:E65">INDEX($B$4:$M$28,MATCH($A65,$U$4:$U$28,0),COLUMN(D$1))</x:f>
        <x:v>214</x:v>
      </x:c>
      <x:c r="F65" s="44">
        <x:f>SUM(C65:E65)</x:f>
        <x:v>609</x:v>
      </x:c>
      <x:c r="G65" s="45">
        <x:f>F65/3</x:f>
        <x:v>203</x:v>
      </x:c>
      <x:c r="H65" s="34">
        <x:f t="array" ref="H65:H65">IF(B65="","",IFERROR(INDEX('회원명단 및 기준에버'!D:G,MATCH(B65,'회원명단 및 기준에버'!$C:$C,0),CHOOSE(INT((MONTH($L$2)-1)/3)+1,1,2,3,4)),""))</x:f>
        <x:v>182</x:v>
      </x:c>
      <x:c r="I65" s="38">
        <x:f t="shared" ref="I65:I87" si="10">IFERROR(C65+-H65,0)</x:f>
        <x:v>-17</x:v>
      </x:c>
      <x:c r="J65" s="38">
        <x:f t="shared" ref="J65:J87" si="11">IFERROR(D65+-H65,0)</x:f>
        <x:v>48</x:v>
      </x:c>
      <x:c r="K65" s="38">
        <x:f t="shared" ref="K65:K87" si="12">IFERROR(E65+-H65,0)</x:f>
        <x:v>32</x:v>
      </x:c>
      <x:c r="L65" s="63">
        <x:f t="shared" ref="L65:L87" si="13">SUM(I65:K65)</x:f>
        <x:v>63</x:v>
      </x:c>
      <x:c r="M65" s="39">
        <x:f t="shared" ref="M65:M87" si="14">IFERROR(G65+-H65,0)</x:f>
        <x:v>21</x:v>
      </x:c>
    </x:row>
    <x:row r="66" spans="1:13" ht="24.949999999999999" customHeight="1">
      <x:c r="A66" s="12">
        <x:v>4</x:v>
      </x:c>
      <x:c r="B66" s="13" t="str">
        <x:f t="array" ref="B66:B66">INDEX($B$4:$M$28,MATCH($A66,$U$4:$U$28,0),COLUMN(A$1))</x:f>
        <x:v>강 희 태</x:v>
      </x:c>
      <x:c r="C66" s="62">
        <x:f t="array" ref="C66:C66">INDEX($B$4:$M$28,MATCH($A66,$U$4:$U$28,0),COLUMN(B$1))</x:f>
        <x:v>224</x:v>
      </x:c>
      <x:c r="D66" s="62">
        <x:f t="array" ref="D66:D66">INDEX($B$4:$M$28,MATCH($A66,$U$4:$U$28,0),COLUMN(C$1))</x:f>
        <x:v>213</x:v>
      </x:c>
      <x:c r="E66" s="62">
        <x:f t="array" ref="E66:E66">INDEX($B$4:$M$28,MATCH($A66,$U$4:$U$28,0),COLUMN(D$1))</x:f>
        <x:v>223</x:v>
      </x:c>
      <x:c r="F66" s="44">
        <x:f>SUM(C66:E66)</x:f>
        <x:v>660</x:v>
      </x:c>
      <x:c r="G66" s="45">
        <x:f>F66/3</x:f>
        <x:v>220</x:v>
      </x:c>
      <x:c r="H66" s="34">
        <x:f t="array" ref="H66:H66">IF(B66="","",IFERROR(INDEX('회원명단 및 기준에버'!D:G,MATCH(B66,'회원명단 및 기준에버'!$C:$C,0),CHOOSE(INT((MONTH($L$2)-1)/3)+1,1,2,3,4)),""))</x:f>
        <x:v>200</x:v>
      </x:c>
      <x:c r="I66" s="38">
        <x:f t="shared" si="10"/>
        <x:v>24</x:v>
      </x:c>
      <x:c r="J66" s="38">
        <x:f t="shared" si="11"/>
        <x:v>13</x:v>
      </x:c>
      <x:c r="K66" s="38">
        <x:f t="shared" si="12"/>
        <x:v>23</x:v>
      </x:c>
      <x:c r="L66" s="63">
        <x:f t="shared" si="13"/>
        <x:v>60</x:v>
      </x:c>
      <x:c r="M66" s="39">
        <x:f t="shared" si="14"/>
        <x:v>20</x:v>
      </x:c>
    </x:row>
    <x:row r="67" spans="1:13" ht="24.949999999999999" customHeight="1">
      <x:c r="A67" s="12">
        <x:v>5</x:v>
      </x:c>
      <x:c r="B67" s="13" t="str">
        <x:f t="array" ref="B67:B67">INDEX($B$4:$M$28,MATCH($A67,$U$4:$U$28,0),COLUMN(A$1))</x:f>
        <x:v>박 시 진</x:v>
      </x:c>
      <x:c r="C67" s="62">
        <x:f t="array" ref="C67:C67">INDEX($B$4:$M$28,MATCH($A67,$U$4:$U$28,0),COLUMN(B$1))</x:f>
        <x:v>224</x:v>
      </x:c>
      <x:c r="D67" s="62">
        <x:f t="array" ref="D67:D67">INDEX($B$4:$M$28,MATCH($A67,$U$4:$U$28,0),COLUMN(C$1))</x:f>
        <x:v>191</x:v>
      </x:c>
      <x:c r="E67" s="62">
        <x:f t="array" ref="E67:E67">INDEX($B$4:$M$28,MATCH($A67,$U$4:$U$28,0),COLUMN(D$1))</x:f>
        <x:v>227</x:v>
      </x:c>
      <x:c r="F67" s="44">
        <x:f t="shared" ref="F67:F87" si="15">SUM(C67:E67)</x:f>
        <x:v>642</x:v>
      </x:c>
      <x:c r="G67" s="45">
        <x:f t="shared" ref="G67:G87" si="16">F67/3</x:f>
        <x:v>214</x:v>
      </x:c>
      <x:c r="H67" s="34">
        <x:f t="array" ref="H67:H67">IF(B67="","",IFERROR(INDEX('회원명단 및 기준에버'!D:G,MATCH(B67,'회원명단 및 기준에버'!$C:$C,0),CHOOSE(INT((MONTH($L$2)-1)/3)+1,1,2,3,4)),""))</x:f>
        <x:v>196</x:v>
      </x:c>
      <x:c r="I67" s="38">
        <x:f t="shared" si="10"/>
        <x:v>28</x:v>
      </x:c>
      <x:c r="J67" s="38">
        <x:f t="shared" si="11"/>
        <x:v>-5</x:v>
      </x:c>
      <x:c r="K67" s="38">
        <x:f t="shared" si="12"/>
        <x:v>31</x:v>
      </x:c>
      <x:c r="L67" s="63">
        <x:f t="shared" si="13"/>
        <x:v>54</x:v>
      </x:c>
      <x:c r="M67" s="39">
        <x:f t="shared" si="14"/>
        <x:v>18</x:v>
      </x:c>
    </x:row>
    <x:row r="68" spans="1:13" ht="24.949999999999999" customHeight="1">
      <x:c r="A68" s="12">
        <x:v>6</x:v>
      </x:c>
      <x:c r="B68" s="13" t="str">
        <x:f t="array" ref="B68:B68">INDEX($B$4:$M$28,MATCH($A68,$U$4:$U$28,0),COLUMN(A$1))</x:f>
        <x:v>황 인 교</x:v>
      </x:c>
      <x:c r="C68" s="62">
        <x:f t="array" ref="C68:C68">INDEX($B$4:$M$28,MATCH($A68,$U$4:$U$28,0),COLUMN(B$1))</x:f>
        <x:v>191</x:v>
      </x:c>
      <x:c r="D68" s="62">
        <x:f t="array" ref="D68:D68">INDEX($B$4:$M$28,MATCH($A68,$U$4:$U$28,0),COLUMN(C$1))</x:f>
        <x:v>177</x:v>
      </x:c>
      <x:c r="E68" s="62">
        <x:f t="array" ref="E68:E68">INDEX($B$4:$M$28,MATCH($A68,$U$4:$U$28,0),COLUMN(D$1))</x:f>
        <x:v>237</x:v>
      </x:c>
      <x:c r="F68" s="44">
        <x:f t="shared" si="15"/>
        <x:v>605</x:v>
      </x:c>
      <x:c r="G68" s="45">
        <x:f t="shared" si="16"/>
        <x:v>201.66666666666666</x:v>
      </x:c>
      <x:c r="H68" s="34">
        <x:f t="array" ref="H68:H68">IF(B68="","",IFERROR(INDEX('회원명단 및 기준에버'!D:G,MATCH(B68,'회원명단 및 기준에버'!$C:$C,0),CHOOSE(INT((MONTH($L$2)-1)/3)+1,1,2,3,4)),""))</x:f>
        <x:v>184</x:v>
      </x:c>
      <x:c r="I68" s="38">
        <x:f t="shared" si="10"/>
        <x:v>7</x:v>
      </x:c>
      <x:c r="J68" s="38">
        <x:f t="shared" si="11"/>
        <x:v>-7</x:v>
      </x:c>
      <x:c r="K68" s="38">
        <x:f t="shared" si="12"/>
        <x:v>53</x:v>
      </x:c>
      <x:c r="L68" s="63">
        <x:f t="shared" si="13"/>
        <x:v>53</x:v>
      </x:c>
      <x:c r="M68" s="39">
        <x:f t="shared" si="14"/>
        <x:v>17.666666666666657</x:v>
      </x:c>
    </x:row>
    <x:row r="69" spans="1:13" ht="24.949999999999999" customHeight="1">
      <x:c r="A69" s="12">
        <x:v>7</x:v>
      </x:c>
      <x:c r="B69" s="13" t="str">
        <x:f t="array" ref="B69:B69">INDEX($B$4:$M$28,MATCH($A69,$U$4:$U$28,0),COLUMN(A$1))</x:f>
        <x:v>변 상 필</x:v>
      </x:c>
      <x:c r="C69" s="62">
        <x:f t="array" ref="C69:C69">INDEX($B$4:$M$28,MATCH($A69,$U$4:$U$28,0),COLUMN(B$1))</x:f>
        <x:v>202</x:v>
      </x:c>
      <x:c r="D69" s="62">
        <x:f t="array" ref="D69:D69">INDEX($B$4:$M$28,MATCH($A69,$U$4:$U$28,0),COLUMN(C$1))</x:f>
        <x:v>194</x:v>
      </x:c>
      <x:c r="E69" s="62">
        <x:f t="array" ref="E69:E69">INDEX($B$4:$M$28,MATCH($A69,$U$4:$U$28,0),COLUMN(D$1))</x:f>
        <x:v>254</x:v>
      </x:c>
      <x:c r="F69" s="44">
        <x:f t="shared" si="15"/>
        <x:v>650</x:v>
      </x:c>
      <x:c r="G69" s="45">
        <x:f t="shared" si="16"/>
        <x:v>216.66666666666666</x:v>
      </x:c>
      <x:c r="H69" s="34">
        <x:f t="array" ref="H69:H69">IF(B69="","",IFERROR(INDEX('회원명단 및 기준에버'!D:G,MATCH(B69,'회원명단 및 기준에버'!$C:$C,0),CHOOSE(INT((MONTH($L$2)-1)/3)+1,1,2,3,4)),""))</x:f>
        <x:v>200</x:v>
      </x:c>
      <x:c r="I69" s="38">
        <x:f t="shared" si="10"/>
        <x:v>2</x:v>
      </x:c>
      <x:c r="J69" s="38">
        <x:f t="shared" si="11"/>
        <x:v>-6</x:v>
      </x:c>
      <x:c r="K69" s="38">
        <x:f t="shared" si="12"/>
        <x:v>54</x:v>
      </x:c>
      <x:c r="L69" s="63">
        <x:f t="shared" si="13"/>
        <x:v>50</x:v>
      </x:c>
      <x:c r="M69" s="39">
        <x:f t="shared" si="14"/>
        <x:v>16.666666666666657</x:v>
      </x:c>
    </x:row>
    <x:row r="70" spans="1:13" ht="24.949999999999999" customHeight="1">
      <x:c r="A70" s="12">
        <x:v>8</x:v>
      </x:c>
      <x:c r="B70" s="13" t="str">
        <x:f t="array" ref="B70:B70">INDEX($B$4:$M$28,MATCH($A70,$U$4:$U$28,0),COLUMN(A$1))</x:f>
        <x:v>이 범 수</x:v>
      </x:c>
      <x:c r="C70" s="62">
        <x:f t="array" ref="C70:C70">INDEX($B$4:$M$28,MATCH($A70,$U$4:$U$28,0),COLUMN(B$1))</x:f>
        <x:v>169</x:v>
      </x:c>
      <x:c r="D70" s="62">
        <x:f t="array" ref="D70:D70">INDEX($B$4:$M$28,MATCH($A70,$U$4:$U$28,0),COLUMN(C$1))</x:f>
        <x:v>228</x:v>
      </x:c>
      <x:c r="E70" s="62">
        <x:f t="array" ref="E70:E70">INDEX($B$4:$M$28,MATCH($A70,$U$4:$U$28,0),COLUMN(D$1))</x:f>
        <x:v>225</x:v>
      </x:c>
      <x:c r="F70" s="44">
        <x:f t="shared" si="15"/>
        <x:v>622</x:v>
      </x:c>
      <x:c r="G70" s="45">
        <x:f t="shared" si="16"/>
        <x:v>207.33333333333334</x:v>
      </x:c>
      <x:c r="H70" s="34">
        <x:f t="array" ref="H70:H70">IF(B70="","",IFERROR(INDEX('회원명단 및 기준에버'!D:G,MATCH(B70,'회원명단 및 기준에버'!$C:$C,0),CHOOSE(INT((MONTH($L$2)-1)/3)+1,1,2,3,4)),""))</x:f>
        <x:v>193</x:v>
      </x:c>
      <x:c r="I70" s="38">
        <x:f t="shared" si="10"/>
        <x:v>-24</x:v>
      </x:c>
      <x:c r="J70" s="38">
        <x:f t="shared" si="11"/>
        <x:v>35</x:v>
      </x:c>
      <x:c r="K70" s="38">
        <x:f t="shared" si="12"/>
        <x:v>32</x:v>
      </x:c>
      <x:c r="L70" s="63">
        <x:f t="shared" si="13"/>
        <x:v>43</x:v>
      </x:c>
      <x:c r="M70" s="39">
        <x:f t="shared" si="14"/>
        <x:v>14.333333333333343</x:v>
      </x:c>
    </x:row>
    <x:row r="71" spans="1:13" ht="24.949999999999999" customHeight="1">
      <x:c r="A71" s="12">
        <x:v>9</x:v>
      </x:c>
      <x:c r="B71" s="13" t="str">
        <x:f t="array" ref="B71:B71">INDEX($B$4:$M$28,MATCH($A71,$U$4:$U$28,0),COLUMN(A$1))</x:f>
        <x:v>박 성 현</x:v>
      </x:c>
      <x:c r="C71" s="62">
        <x:f t="array" ref="C71:C71">INDEX($B$4:$M$28,MATCH($A71,$U$4:$U$28,0),COLUMN(B$1))</x:f>
        <x:v>183</x:v>
      </x:c>
      <x:c r="D71" s="62">
        <x:f t="array" ref="D71:D71">INDEX($B$4:$M$28,MATCH($A71,$U$4:$U$28,0),COLUMN(C$1))</x:f>
        <x:v>199</x:v>
      </x:c>
      <x:c r="E71" s="62">
        <x:f t="array" ref="E71:E71">INDEX($B$4:$M$28,MATCH($A71,$U$4:$U$28,0),COLUMN(D$1))</x:f>
        <x:v>224</x:v>
      </x:c>
      <x:c r="F71" s="44">
        <x:f t="shared" si="15"/>
        <x:v>606</x:v>
      </x:c>
      <x:c r="G71" s="45">
        <x:f t="shared" si="16"/>
        <x:v>202</x:v>
      </x:c>
      <x:c r="H71" s="34">
        <x:f t="array" ref="H71:H71">IF(B71="","",IFERROR(INDEX('회원명단 및 기준에버'!D:G,MATCH(B71,'회원명단 및 기준에버'!$C:$C,0),CHOOSE(INT((MONTH($L$2)-1)/3)+1,1,2,3,4)),""))</x:f>
        <x:v>190</x:v>
      </x:c>
      <x:c r="I71" s="38">
        <x:f t="shared" si="10"/>
        <x:v>-7</x:v>
      </x:c>
      <x:c r="J71" s="38">
        <x:f t="shared" si="11"/>
        <x:v>9</x:v>
      </x:c>
      <x:c r="K71" s="38">
        <x:f t="shared" si="12"/>
        <x:v>34</x:v>
      </x:c>
      <x:c r="L71" s="63">
        <x:f t="shared" si="13"/>
        <x:v>36</x:v>
      </x:c>
      <x:c r="M71" s="39">
        <x:f t="shared" si="14"/>
        <x:v>12</x:v>
      </x:c>
    </x:row>
    <x:row r="72" spans="1:13" ht="24.949999999999999" customHeight="1">
      <x:c r="A72" s="12">
        <x:v>10</x:v>
      </x:c>
      <x:c r="B72" s="13" t="str">
        <x:f t="array" ref="B72:B72">INDEX($B$4:$M$28,MATCH($A72,$U$4:$U$28,0),COLUMN(A$1))</x:f>
        <x:v>임 연 진</x:v>
      </x:c>
      <x:c r="C72" s="62">
        <x:f t="array" ref="C72:C72">INDEX($B$4:$M$28,MATCH($A72,$U$4:$U$28,0),COLUMN(B$1))</x:f>
        <x:v>212</x:v>
      </x:c>
      <x:c r="D72" s="62">
        <x:f t="array" ref="D72:D72">INDEX($B$4:$M$28,MATCH($A72,$U$4:$U$28,0),COLUMN(C$1))</x:f>
        <x:v>204</x:v>
      </x:c>
      <x:c r="E72" s="62">
        <x:f t="array" ref="E72:E72">INDEX($B$4:$M$28,MATCH($A72,$U$4:$U$28,0),COLUMN(D$1))</x:f>
        <x:v>194</x:v>
      </x:c>
      <x:c r="F72" s="44">
        <x:f t="shared" si="15"/>
        <x:v>610</x:v>
      </x:c>
      <x:c r="G72" s="45">
        <x:f t="shared" si="16"/>
        <x:v>203.33333333333334</x:v>
      </x:c>
      <x:c r="H72" s="34">
        <x:f t="array" ref="H72:H72">IF(B72="","",IFERROR(INDEX('회원명단 및 기준에버'!D:G,MATCH(B72,'회원명단 및 기준에버'!$C:$C,0),CHOOSE(INT((MONTH($L$2)-1)/3)+1,1,2,3,4)),""))</x:f>
        <x:v>194</x:v>
      </x:c>
      <x:c r="I72" s="38">
        <x:f t="shared" si="10"/>
        <x:v>18</x:v>
      </x:c>
      <x:c r="J72" s="38">
        <x:f t="shared" si="11"/>
        <x:v>10</x:v>
      </x:c>
      <x:c r="K72" s="38">
        <x:f t="shared" si="12"/>
        <x:v>0</x:v>
      </x:c>
      <x:c r="L72" s="63">
        <x:f t="shared" si="13"/>
        <x:v>28</x:v>
      </x:c>
      <x:c r="M72" s="39">
        <x:f t="shared" si="14"/>
        <x:v>9.3333333333333428</x:v>
      </x:c>
    </x:row>
    <x:row r="73" spans="1:13" ht="24.949999999999999" customHeight="1">
      <x:c r="A73" s="12">
        <x:v>11</x:v>
      </x:c>
      <x:c r="B73" s="13" t="str">
        <x:f t="array" ref="B73:B73">INDEX($B$4:$M$28,MATCH($A73,$U$4:$U$28,0),COLUMN(A$1))</x:f>
        <x:v>이 재 용</x:v>
      </x:c>
      <x:c r="C73" s="62">
        <x:f t="array" ref="C73:C73">INDEX($B$4:$M$28,MATCH($A73,$U$4:$U$28,0),COLUMN(B$1))</x:f>
        <x:v>157</x:v>
      </x:c>
      <x:c r="D73" s="62">
        <x:f t="array" ref="D73:D73">INDEX($B$4:$M$28,MATCH($A73,$U$4:$U$28,0),COLUMN(C$1))</x:f>
        <x:v>203</x:v>
      </x:c>
      <x:c r="E73" s="62">
        <x:f t="array" ref="E73:E73">INDEX($B$4:$M$28,MATCH($A73,$U$4:$U$28,0),COLUMN(D$1))</x:f>
        <x:v>237</x:v>
      </x:c>
      <x:c r="F73" s="44">
        <x:f t="shared" si="15"/>
        <x:v>597</x:v>
      </x:c>
      <x:c r="G73" s="45">
        <x:f t="shared" si="16"/>
        <x:v>199</x:v>
      </x:c>
      <x:c r="H73" s="34">
        <x:f t="array" ref="H73:H73">IF(B73="","",IFERROR(INDEX('회원명단 및 기준에버'!D:G,MATCH(B73,'회원명단 및 기준에버'!$C:$C,0),CHOOSE(INT((MONTH($L$2)-1)/3)+1,1,2,3,4)),""))</x:f>
        <x:v>190</x:v>
      </x:c>
      <x:c r="I73" s="38">
        <x:f t="shared" si="10"/>
        <x:v>-33</x:v>
      </x:c>
      <x:c r="J73" s="38">
        <x:f t="shared" si="11"/>
        <x:v>13</x:v>
      </x:c>
      <x:c r="K73" s="38">
        <x:f t="shared" si="12"/>
        <x:v>47</x:v>
      </x:c>
      <x:c r="L73" s="63">
        <x:f t="shared" si="13"/>
        <x:v>27</x:v>
      </x:c>
      <x:c r="M73" s="39">
        <x:f t="shared" si="14"/>
        <x:v>9</x:v>
      </x:c>
    </x:row>
    <x:row r="74" spans="1:13" ht="24.949999999999999" customHeight="1">
      <x:c r="A74" s="12">
        <x:v>12</x:v>
      </x:c>
      <x:c r="B74" s="13" t="str">
        <x:f t="array" ref="B74:B74">INDEX($B$4:$M$28,MATCH($A74,$U$4:$U$28,0),COLUMN(A$1))</x:f>
        <x:v>강 완 규</x:v>
      </x:c>
      <x:c r="C74" s="62">
        <x:f t="array" ref="C74:C74">INDEX($B$4:$M$28,MATCH($A74,$U$4:$U$28,0),COLUMN(B$1))</x:f>
        <x:v>203</x:v>
      </x:c>
      <x:c r="D74" s="62">
        <x:f t="array" ref="D74:D74">INDEX($B$4:$M$28,MATCH($A74,$U$4:$U$28,0),COLUMN(C$1))</x:f>
        <x:v>197</x:v>
      </x:c>
      <x:c r="E74" s="62">
        <x:f t="array" ref="E74:E74">INDEX($B$4:$M$28,MATCH($A74,$U$4:$U$28,0),COLUMN(D$1))</x:f>
        <x:v>201</x:v>
      </x:c>
      <x:c r="F74" s="44">
        <x:f t="shared" si="15"/>
        <x:v>601</x:v>
      </x:c>
      <x:c r="G74" s="45">
        <x:f t="shared" si="16"/>
        <x:v>200.33333333333334</x:v>
      </x:c>
      <x:c r="H74" s="34">
        <x:f t="array" ref="H74:H74">IF(B74="","",IFERROR(INDEX('회원명단 및 기준에버'!D:G,MATCH(B74,'회원명단 및 기준에버'!$C:$C,0),CHOOSE(INT((MONTH($L$2)-1)/3)+1,1,2,3,4)),""))</x:f>
        <x:v>194</x:v>
      </x:c>
      <x:c r="I74" s="38">
        <x:f t="shared" si="10"/>
        <x:v>9</x:v>
      </x:c>
      <x:c r="J74" s="38">
        <x:f t="shared" si="11"/>
        <x:v>3</x:v>
      </x:c>
      <x:c r="K74" s="38">
        <x:f t="shared" si="12"/>
        <x:v>7</x:v>
      </x:c>
      <x:c r="L74" s="63">
        <x:f t="shared" si="13"/>
        <x:v>19</x:v>
      </x:c>
      <x:c r="M74" s="39">
        <x:f t="shared" si="14"/>
        <x:v>6.3333333333333428</x:v>
      </x:c>
    </x:row>
    <x:row r="75" spans="1:13" ht="24.949999999999999" customHeight="1">
      <x:c r="A75" s="12">
        <x:v>13</x:v>
      </x:c>
      <x:c r="B75" s="13" t="str">
        <x:f t="array" ref="B75:B75">INDEX($B$4:$M$28,MATCH($A75,$U$4:$U$28,0),COLUMN(A$1))</x:f>
        <x:v>지 옥 명</x:v>
      </x:c>
      <x:c r="C75" s="62">
        <x:f t="array" ref="C75:C75">INDEX($B$4:$M$28,MATCH($A75,$U$4:$U$28,0),COLUMN(B$1))</x:f>
        <x:v>188</x:v>
      </x:c>
      <x:c r="D75" s="62">
        <x:f t="array" ref="D75:D75">INDEX($B$4:$M$28,MATCH($A75,$U$4:$U$28,0),COLUMN(C$1))</x:f>
        <x:v>209</x:v>
      </x:c>
      <x:c r="E75" s="62">
        <x:f t="array" ref="E75:E75">INDEX($B$4:$M$28,MATCH($A75,$U$4:$U$28,0),COLUMN(D$1))</x:f>
        <x:v>160</x:v>
      </x:c>
      <x:c r="F75" s="44">
        <x:f t="shared" si="15"/>
        <x:v>557</x:v>
      </x:c>
      <x:c r="G75" s="45">
        <x:f t="shared" si="16"/>
        <x:v>185.66666666666666</x:v>
      </x:c>
      <x:c r="H75" s="34">
        <x:f t="array" ref="H75:H75">IF(B75="","",IFERROR(INDEX('회원명단 및 기준에버'!D:G,MATCH(B75,'회원명단 및 기준에버'!$C:$C,0),CHOOSE(INT((MONTH($L$2)-1)/3)+1,1,2,3,4)),""))</x:f>
        <x:v>183</x:v>
      </x:c>
      <x:c r="I75" s="38">
        <x:f t="shared" si="10"/>
        <x:v>5</x:v>
      </x:c>
      <x:c r="J75" s="38">
        <x:f t="shared" si="11"/>
        <x:v>26</x:v>
      </x:c>
      <x:c r="K75" s="38">
        <x:f t="shared" si="12"/>
        <x:v>-23</x:v>
      </x:c>
      <x:c r="L75" s="63">
        <x:f t="shared" si="13"/>
        <x:v>8</x:v>
      </x:c>
      <x:c r="M75" s="39">
        <x:f t="shared" si="14"/>
        <x:v>2.6666666666666572</x:v>
      </x:c>
    </x:row>
    <x:row r="76" spans="1:13" ht="24.949999999999999" customHeight="1">
      <x:c r="A76" s="12">
        <x:v>14</x:v>
      </x:c>
      <x:c r="B76" s="13" t="str">
        <x:f t="array" ref="B76:B76">INDEX($B$4:$M$28,MATCH($A76,$U$4:$U$28,0),COLUMN(A$1))</x:f>
        <x:v>이 상 현</x:v>
      </x:c>
      <x:c r="C76" s="62">
        <x:f t="array" ref="C76:C76">INDEX($B$4:$M$28,MATCH($A76,$U$4:$U$28,0),COLUMN(B$1))</x:f>
        <x:v>203</x:v>
      </x:c>
      <x:c r="D76" s="62">
        <x:f t="array" ref="D76:D76">INDEX($B$4:$M$28,MATCH($A76,$U$4:$U$28,0),COLUMN(C$1))</x:f>
        <x:v>204</x:v>
      </x:c>
      <x:c r="E76" s="62">
        <x:f t="array" ref="E76:E76">INDEX($B$4:$M$28,MATCH($A76,$U$4:$U$28,0),COLUMN(D$1))</x:f>
        <x:v>165</x:v>
      </x:c>
      <x:c r="F76" s="44">
        <x:f t="shared" si="15"/>
        <x:v>572</x:v>
      </x:c>
      <x:c r="G76" s="45">
        <x:f t="shared" si="16"/>
        <x:v>190.66666666666666</x:v>
      </x:c>
      <x:c r="H76" s="34">
        <x:f t="array" ref="H76:H76">IF(B76="","",IFERROR(INDEX('회원명단 및 기준에버'!D:G,MATCH(B76,'회원명단 및 기준에버'!$C:$C,0),CHOOSE(INT((MONTH($L$2)-1)/3)+1,1,2,3,4)),""))</x:f>
        <x:v>188</x:v>
      </x:c>
      <x:c r="I76" s="38">
        <x:f t="shared" si="10"/>
        <x:v>15</x:v>
      </x:c>
      <x:c r="J76" s="38">
        <x:f t="shared" si="11"/>
        <x:v>16</x:v>
      </x:c>
      <x:c r="K76" s="38">
        <x:f t="shared" si="12"/>
        <x:v>-23</x:v>
      </x:c>
      <x:c r="L76" s="63">
        <x:f t="shared" si="13"/>
        <x:v>8</x:v>
      </x:c>
      <x:c r="M76" s="39">
        <x:f t="shared" si="14"/>
        <x:v>2.6666666666666572</x:v>
      </x:c>
    </x:row>
    <x:row r="77" spans="1:13" ht="24.949999999999999" customHeight="1">
      <x:c r="A77" s="12">
        <x:v>15</x:v>
      </x:c>
      <x:c r="B77" s="13" t="str">
        <x:f t="array" ref="B77:B77">INDEX($B$4:$M$28,MATCH($A77,$U$4:$U$28,0),COLUMN(A$1))</x:f>
        <x:v>천 성 일</x:v>
      </x:c>
      <x:c r="C77" s="62">
        <x:f t="array" ref="C77:C77">INDEX($B$4:$M$28,MATCH($A77,$U$4:$U$28,0),COLUMN(B$1))</x:f>
        <x:v>172</x:v>
      </x:c>
      <x:c r="D77" s="62">
        <x:f t="array" ref="D77:D77">INDEX($B$4:$M$28,MATCH($A77,$U$4:$U$28,0),COLUMN(C$1))</x:f>
        <x:v>238</x:v>
      </x:c>
      <x:c r="E77" s="62">
        <x:f t="array" ref="E77:E77">INDEX($B$4:$M$28,MATCH($A77,$U$4:$U$28,0),COLUMN(D$1))</x:f>
        <x:v>170</x:v>
      </x:c>
      <x:c r="F77" s="44">
        <x:f t="shared" si="15"/>
        <x:v>580</x:v>
      </x:c>
      <x:c r="G77" s="45">
        <x:f t="shared" si="16"/>
        <x:v>193.33333333333334</x:v>
      </x:c>
      <x:c r="H77" s="34">
        <x:f t="array" ref="H77:H77">IF(B77="","",IFERROR(INDEX('회원명단 및 기준에버'!D:G,MATCH(B77,'회원명단 및 기준에버'!$C:$C,0),CHOOSE(INT((MONTH($L$2)-1)/3)+1,1,2,3,4)),""))</x:f>
        <x:v>191</x:v>
      </x:c>
      <x:c r="I77" s="38">
        <x:f t="shared" si="10"/>
        <x:v>-19</x:v>
      </x:c>
      <x:c r="J77" s="38">
        <x:f t="shared" si="11"/>
        <x:v>47</x:v>
      </x:c>
      <x:c r="K77" s="38">
        <x:f t="shared" si="12"/>
        <x:v>-21</x:v>
      </x:c>
      <x:c r="L77" s="63">
        <x:f t="shared" si="13"/>
        <x:v>7</x:v>
      </x:c>
      <x:c r="M77" s="39">
        <x:f t="shared" si="14"/>
        <x:v>2.3333333333333428</x:v>
      </x:c>
    </x:row>
    <x:row r="78" spans="1:13" ht="24.949999999999999" customHeight="1">
      <x:c r="A78" s="12">
        <x:v>16</x:v>
      </x:c>
      <x:c r="B78" s="13" t="str">
        <x:f t="array" ref="B78:B78">INDEX($B$4:$M$28,MATCH($A78,$U$4:$U$28,0),COLUMN(A$1))</x:f>
        <x:v>정 영 우</x:v>
      </x:c>
      <x:c r="C78" s="62">
        <x:f t="array" ref="C78:C78">INDEX($B$4:$M$28,MATCH($A78,$U$4:$U$28,0),COLUMN(B$1))</x:f>
        <x:v>191</x:v>
      </x:c>
      <x:c r="D78" s="62">
        <x:f t="array" ref="D78:D78">INDEX($B$4:$M$28,MATCH($A78,$U$4:$U$28,0),COLUMN(C$1))</x:f>
        <x:v>169</x:v>
      </x:c>
      <x:c r="E78" s="62">
        <x:f t="array" ref="E78:E78">INDEX($B$4:$M$28,MATCH($A78,$U$4:$U$28,0),COLUMN(D$1))</x:f>
        <x:v>194</x:v>
      </x:c>
      <x:c r="F78" s="44">
        <x:f t="shared" si="15"/>
        <x:v>554</x:v>
      </x:c>
      <x:c r="G78" s="45">
        <x:f t="shared" si="16"/>
        <x:v>184.66666666666666</x:v>
      </x:c>
      <x:c r="H78" s="34">
        <x:f t="array" ref="H78:H78">IF(B78="","",IFERROR(INDEX('회원명단 및 기준에버'!D:G,MATCH(B78,'회원명단 및 기준에버'!$C:$C,0),CHOOSE(INT((MONTH($L$2)-1)/3)+1,1,2,3,4)),""))</x:f>
        <x:v>184</x:v>
      </x:c>
      <x:c r="I78" s="38">
        <x:f t="shared" si="10"/>
        <x:v>7</x:v>
      </x:c>
      <x:c r="J78" s="38">
        <x:f t="shared" si="11"/>
        <x:v>-15</x:v>
      </x:c>
      <x:c r="K78" s="38">
        <x:f t="shared" si="12"/>
        <x:v>10</x:v>
      </x:c>
      <x:c r="L78" s="63">
        <x:f t="shared" si="13"/>
        <x:v>2</x:v>
      </x:c>
      <x:c r="M78" s="39">
        <x:f t="shared" si="14"/>
        <x:v>0.66666666666665719</x:v>
      </x:c>
    </x:row>
    <x:row r="79" spans="1:13" ht="24.949999999999999" customHeight="1">
      <x:c r="A79" s="12">
        <x:v>17</x:v>
      </x:c>
      <x:c r="B79" s="13" t="str">
        <x:f t="array" ref="B79:B79">INDEX($B$4:$M$28,MATCH($A79,$U$4:$U$28,0),COLUMN(A$1))</x:f>
        <x:v>정 승 주</x:v>
      </x:c>
      <x:c r="C79" s="62">
        <x:f t="array" ref="C79:C79">INDEX($B$4:$M$28,MATCH($A79,$U$4:$U$28,0),COLUMN(B$1))</x:f>
        <x:v>195</x:v>
      </x:c>
      <x:c r="D79" s="62">
        <x:f t="array" ref="D79:D79">INDEX($B$4:$M$28,MATCH($A79,$U$4:$U$28,0),COLUMN(C$1))</x:f>
        <x:v>217</x:v>
      </x:c>
      <x:c r="E79" s="62">
        <x:f t="array" ref="E79:E79">INDEX($B$4:$M$28,MATCH($A79,$U$4:$U$28,0),COLUMN(D$1))</x:f>
        <x:v>290</x:v>
      </x:c>
      <x:c r="F79" s="44">
        <x:f t="shared" si="15"/>
        <x:v>702</x:v>
      </x:c>
      <x:c r="G79" s="45">
        <x:f t="shared" si="16"/>
        <x:v>234</x:v>
      </x:c>
      <x:c r="H79" s="34" t="str">
        <x:f t="array" ref="H79:H79">IF(B79="","",IFERROR(INDEX('회원명단 및 기준에버'!D:G,MATCH(B79,'회원명단 및 기준에버'!$C:$C,0),CHOOSE(INT((MONTH($L$2)-1)/3)+1,1,2,3,4)),""))</x:f>
        <x:v/>
      </x:c>
      <x:c r="I79" s="38">
        <x:f t="shared" si="10"/>
        <x:v>0</x:v>
      </x:c>
      <x:c r="J79" s="38">
        <x:f t="shared" si="11"/>
        <x:v>0</x:v>
      </x:c>
      <x:c r="K79" s="38">
        <x:f t="shared" si="12"/>
        <x:v>0</x:v>
      </x:c>
      <x:c r="L79" s="63">
        <x:f t="shared" si="13"/>
        <x:v>0</x:v>
      </x:c>
      <x:c r="M79" s="39">
        <x:f t="shared" si="14"/>
        <x:v>0</x:v>
      </x:c>
    </x:row>
    <x:row r="80" spans="1:13" ht="24.949999999999999" customHeight="1">
      <x:c r="A80" s="12">
        <x:v>18</x:v>
      </x:c>
      <x:c r="B80" s="13" t="str">
        <x:f t="array" ref="B80:B80">INDEX($B$4:$M$28,MATCH($A80,$U$4:$U$28,0),COLUMN(A$1))</x:f>
        <x:v>김 정 희</x:v>
      </x:c>
      <x:c r="C80" s="62">
        <x:f t="array" ref="C80:C80">INDEX($B$4:$M$28,MATCH($A80,$U$4:$U$28,0),COLUMN(B$1))</x:f>
        <x:v>206</x:v>
      </x:c>
      <x:c r="D80" s="62">
        <x:f t="array" ref="D80:D80">INDEX($B$4:$M$28,MATCH($A80,$U$4:$U$28,0),COLUMN(C$1))</x:f>
        <x:v>246</x:v>
      </x:c>
      <x:c r="E80" s="62">
        <x:f t="array" ref="E80:E80">INDEX($B$4:$M$28,MATCH($A80,$U$4:$U$28,0),COLUMN(D$1))</x:f>
        <x:v>223</x:v>
      </x:c>
      <x:c r="F80" s="44">
        <x:f t="shared" si="15"/>
        <x:v>675</x:v>
      </x:c>
      <x:c r="G80" s="45">
        <x:f t="shared" si="16"/>
        <x:v>225</x:v>
      </x:c>
      <x:c r="H80" s="34">
        <x:f t="array" ref="H80:H80">IF(B80="","",IFERROR(INDEX('회원명단 및 기준에버'!D:G,MATCH(B80,'회원명단 및 기준에버'!$C:$C,0),CHOOSE(INT((MONTH($L$2)-1)/3)+1,1,2,3,4)),""))</x:f>
        <x:v>200</x:v>
      </x:c>
      <x:c r="I80" s="38">
        <x:f t="shared" si="10"/>
        <x:v>6</x:v>
      </x:c>
      <x:c r="J80" s="38">
        <x:f t="shared" si="11"/>
        <x:v>46</x:v>
      </x:c>
      <x:c r="K80" s="38">
        <x:f t="shared" si="12"/>
        <x:v>23</x:v>
      </x:c>
      <x:c r="L80" s="63">
        <x:f t="shared" si="13"/>
        <x:v>75</x:v>
      </x:c>
      <x:c r="M80" s="39">
        <x:f t="shared" si="14"/>
        <x:v>25</x:v>
      </x:c>
    </x:row>
    <x:row r="81" spans="1:13" ht="24.949999999999999" customHeight="1">
      <x:c r="A81" s="12">
        <x:v>19</x:v>
      </x:c>
      <x:c r="B81" s="13" t="str">
        <x:f t="array" ref="B81:B81">INDEX($B$4:$M$28,MATCH($A81,$U$4:$U$28,0),COLUMN(A$1))</x:f>
        <x:v>김 태 환</x:v>
      </x:c>
      <x:c r="C81" s="62">
        <x:f t="array" ref="C81:C81">INDEX($B$4:$M$28,MATCH($A81,$U$4:$U$28,0),COLUMN(B$1))</x:f>
        <x:v>148</x:v>
      </x:c>
      <x:c r="D81" s="62">
        <x:f t="array" ref="D81:D81">INDEX($B$4:$M$28,MATCH($A81,$U$4:$U$28,0),COLUMN(C$1))</x:f>
        <x:v>163</x:v>
      </x:c>
      <x:c r="E81" s="62">
        <x:f t="array" ref="E81:E81">INDEX($B$4:$M$28,MATCH($A81,$U$4:$U$28,0),COLUMN(D$1))</x:f>
        <x:v>176</x:v>
      </x:c>
      <x:c r="F81" s="44">
        <x:f t="shared" si="15"/>
        <x:v>487</x:v>
      </x:c>
      <x:c r="G81" s="45">
        <x:f t="shared" si="16"/>
        <x:v>162.33333333333334</x:v>
      </x:c>
      <x:c r="H81" s="34"/>
      <x:c r="I81" s="38">
        <x:v>0</x:v>
      </x:c>
      <x:c r="J81" s="38">
        <x:v>0</x:v>
      </x:c>
      <x:c r="K81" s="38">
        <x:v>0</x:v>
      </x:c>
      <x:c r="L81" s="63">
        <x:v>0</x:v>
      </x:c>
      <x:c r="M81" s="39">
        <x:v>0</x:v>
      </x:c>
    </x:row>
    <x:row r="82" spans="1:13" ht="24.949999999999999" customHeight="1">
      <x:c r="A82" s="12">
        <x:v>20</x:v>
      </x:c>
      <x:c r="B82" s="13" t="str">
        <x:f t="array" ref="B82:B82">INDEX($B$4:$M$28,MATCH($A82,$U$4:$U$28,0),COLUMN(A$1))</x:f>
        <x:v>이 대 용</x:v>
      </x:c>
      <x:c r="C82" s="62">
        <x:f t="array" ref="C82:C82">INDEX($B$4:$M$28,MATCH($A82,$U$4:$U$28,0),COLUMN(B$1))</x:f>
        <x:v>184</x:v>
      </x:c>
      <x:c r="D82" s="62">
        <x:f t="array" ref="D82:D82">INDEX($B$4:$M$28,MATCH($A82,$U$4:$U$28,0),COLUMN(C$1))</x:f>
        <x:v>189</x:v>
      </x:c>
      <x:c r="E82" s="62">
        <x:f t="array" ref="E82:E82">INDEX($B$4:$M$28,MATCH($A82,$U$4:$U$28,0),COLUMN(D$1))</x:f>
        <x:v>212</x:v>
      </x:c>
      <x:c r="F82" s="44">
        <x:f t="shared" si="15"/>
        <x:v>585</x:v>
      </x:c>
      <x:c r="G82" s="45">
        <x:f t="shared" si="16"/>
        <x:v>195</x:v>
      </x:c>
      <x:c r="H82" s="34"/>
      <x:c r="I82" s="38">
        <x:v>0</x:v>
      </x:c>
      <x:c r="J82" s="38">
        <x:v>0</x:v>
      </x:c>
      <x:c r="K82" s="38">
        <x:v>0</x:v>
      </x:c>
      <x:c r="L82" s="63">
        <x:v>0</x:v>
      </x:c>
      <x:c r="M82" s="39">
        <x:v>0</x:v>
      </x:c>
    </x:row>
    <x:row r="83" spans="1:13" ht="24.949999999999999" customHeight="1">
      <x:c r="A83" s="12">
        <x:v>21</x:v>
      </x:c>
      <x:c r="B83" s="13" t="str">
        <x:f t="array" ref="B83:B83">INDEX($B$4:$M$28,MATCH($A83,$U$4:$U$28,0),COLUMN(A$1))</x:f>
        <x:v>고 경 훈</x:v>
      </x:c>
      <x:c r="C83" s="62">
        <x:f t="array" ref="C83:C83">INDEX($B$4:$M$28,MATCH($A83,$U$4:$U$28,0),COLUMN(B$1))</x:f>
        <x:v>159</x:v>
      </x:c>
      <x:c r="D83" s="62">
        <x:f t="array" ref="D83:D83">INDEX($B$4:$M$28,MATCH($A83,$U$4:$U$28,0),COLUMN(C$1))</x:f>
        <x:v>190</x:v>
      </x:c>
      <x:c r="E83" s="62">
        <x:f t="array" ref="E83:E83">INDEX($B$4:$M$28,MATCH($A83,$U$4:$U$28,0),COLUMN(D$1))</x:f>
        <x:v>203</x:v>
      </x:c>
      <x:c r="F83" s="44">
        <x:f t="shared" si="15"/>
        <x:v>552</x:v>
      </x:c>
      <x:c r="G83" s="45">
        <x:f t="shared" si="16"/>
        <x:v>184</x:v>
      </x:c>
      <x:c r="H83" s="34">
        <x:f t="array" ref="H83:H83">IF(B83="","",IFERROR(INDEX('회원명단 및 기준에버'!D:G,MATCH(B83,'회원명단 및 기준에버'!$C:$C,0),CHOOSE(INT((MONTH($L$2)-1)/3)+1,1,2,3,4)),""))</x:f>
        <x:v>195</x:v>
      </x:c>
      <x:c r="I83" s="38">
        <x:f t="shared" si="10"/>
        <x:v>-36</x:v>
      </x:c>
      <x:c r="J83" s="38">
        <x:f t="shared" si="11"/>
        <x:v>-5</x:v>
      </x:c>
      <x:c r="K83" s="38">
        <x:f t="shared" si="12"/>
        <x:v>8</x:v>
      </x:c>
      <x:c r="L83" s="63">
        <x:f t="shared" si="13"/>
        <x:v>-33</x:v>
      </x:c>
      <x:c r="M83" s="39">
        <x:f t="shared" si="14"/>
        <x:v>-11</x:v>
      </x:c>
    </x:row>
    <x:row r="84" spans="1:13" ht="24.949999999999999" customHeight="1">
      <x:c r="A84" s="12">
        <x:v>22</x:v>
      </x:c>
      <x:c r="B84" s="13" t="str">
        <x:f t="array" ref="B84:B84">INDEX($B$4:$M$28,MATCH($A84,$U$4:$U$28,0),COLUMN(A$1))</x:f>
        <x:v>손 은 주</x:v>
      </x:c>
      <x:c r="C84" s="62">
        <x:f t="array" ref="C84:C84">INDEX($B$4:$M$28,MATCH($A84,$U$4:$U$28,0),COLUMN(B$1))</x:f>
        <x:v>127</x:v>
      </x:c>
      <x:c r="D84" s="62">
        <x:f t="array" ref="D84:D84">INDEX($B$4:$M$28,MATCH($A84,$U$4:$U$28,0),COLUMN(C$1))</x:f>
        <x:v>133</x:v>
      </x:c>
      <x:c r="E84" s="62">
        <x:f t="array" ref="E84:E84">INDEX($B$4:$M$28,MATCH($A84,$U$4:$U$28,0),COLUMN(D$1))</x:f>
        <x:v>154</x:v>
      </x:c>
      <x:c r="F84" s="44">
        <x:f t="shared" si="15"/>
        <x:v>414</x:v>
      </x:c>
      <x:c r="G84" s="45">
        <x:f t="shared" si="16"/>
        <x:v>138</x:v>
      </x:c>
      <x:c r="H84" s="34">
        <x:f t="array" ref="H84:H84">IF(B84="","",IFERROR(INDEX('회원명단 및 기준에버'!D:G,MATCH(B84,'회원명단 및 기준에버'!$C:$C,0),CHOOSE(INT((MONTH($L$2)-1)/3)+1,1,2,3,4)),""))</x:f>
        <x:v>151</x:v>
      </x:c>
      <x:c r="I84" s="38">
        <x:f t="shared" si="10"/>
        <x:v>-24</x:v>
      </x:c>
      <x:c r="J84" s="38">
        <x:f t="shared" si="11"/>
        <x:v>-18</x:v>
      </x:c>
      <x:c r="K84" s="38">
        <x:f t="shared" si="12"/>
        <x:v>3</x:v>
      </x:c>
      <x:c r="L84" s="63">
        <x:f t="shared" si="13"/>
        <x:v>-39</x:v>
      </x:c>
      <x:c r="M84" s="39">
        <x:f t="shared" si="14"/>
        <x:v>-13</x:v>
      </x:c>
    </x:row>
    <x:row r="85" spans="1:13" ht="24.949999999999999" customHeight="1">
      <x:c r="A85" s="12">
        <x:v>23</x:v>
      </x:c>
      <x:c r="B85" s="13" t="str">
        <x:f t="array" ref="B85:B85">INDEX($B$4:$M$28,MATCH($A85,$U$4:$U$28,0),COLUMN(A$1))</x:f>
        <x:v>이 우 석</x:v>
      </x:c>
      <x:c r="C85" s="62">
        <x:f t="array" ref="C85:C85">INDEX($B$4:$M$28,MATCH($A85,$U$4:$U$28,0),COLUMN(B$1))</x:f>
        <x:v>181</x:v>
      </x:c>
      <x:c r="D85" s="62">
        <x:f t="array" ref="D85:D85">INDEX($B$4:$M$28,MATCH($A85,$U$4:$U$28,0),COLUMN(C$1))</x:f>
        <x:v>194</x:v>
      </x:c>
      <x:c r="E85" s="62">
        <x:f t="array" ref="E85:E85">INDEX($B$4:$M$28,MATCH($A85,$U$4:$U$28,0),COLUMN(D$1))</x:f>
        <x:v>183</x:v>
      </x:c>
      <x:c r="F85" s="44">
        <x:f t="shared" si="15"/>
        <x:v>558</x:v>
      </x:c>
      <x:c r="G85" s="45">
        <x:f t="shared" si="16"/>
        <x:v>186</x:v>
      </x:c>
      <x:c r="H85" s="34">
        <x:f t="array" ref="H85:H85">IF(B85="","",IFERROR(INDEX('회원명단 및 기준에버'!D:G,MATCH(B85,'회원명단 및 기준에버'!$C:$C,0),CHOOSE(INT((MONTH($L$2)-1)/3)+1,1,2,3,4)),""))</x:f>
        <x:v>200</x:v>
      </x:c>
      <x:c r="I85" s="38">
        <x:f t="shared" si="10"/>
        <x:v>-19</x:v>
      </x:c>
      <x:c r="J85" s="38">
        <x:f t="shared" si="11"/>
        <x:v>-6</x:v>
      </x:c>
      <x:c r="K85" s="38">
        <x:f t="shared" si="12"/>
        <x:v>-17</x:v>
      </x:c>
      <x:c r="L85" s="63">
        <x:f t="shared" si="13"/>
        <x:v>-42</x:v>
      </x:c>
      <x:c r="M85" s="39">
        <x:f t="shared" si="14"/>
        <x:v>-14</x:v>
      </x:c>
    </x:row>
    <x:row r="86" spans="1:13" ht="24.949999999999999" customHeight="1">
      <x:c r="A86" s="12">
        <x:v>24</x:v>
      </x:c>
      <x:c r="B86" s="13" t="str">
        <x:f t="array" ref="B86:B86">INDEX($B$4:$M$28,MATCH($A86,$U$4:$U$28,0),COLUMN(A$1))</x:f>
        <x:v>김 종 훈</x:v>
      </x:c>
      <x:c r="C86" s="62">
        <x:f t="array" ref="C86:C86">INDEX($B$4:$M$28,MATCH($A86,$U$4:$U$28,0),COLUMN(B$1))</x:f>
        <x:v>176</x:v>
      </x:c>
      <x:c r="D86" s="62">
        <x:f t="array" ref="D86:D86">INDEX($B$4:$M$28,MATCH($A86,$U$4:$U$28,0),COLUMN(C$1))</x:f>
        <x:v>186</x:v>
      </x:c>
      <x:c r="E86" s="62">
        <x:f t="array" ref="E86:E86">INDEX($B$4:$M$28,MATCH($A86,$U$4:$U$28,0),COLUMN(D$1))</x:f>
        <x:v>168</x:v>
      </x:c>
      <x:c r="F86" s="44">
        <x:f t="shared" si="15"/>
        <x:v>530</x:v>
      </x:c>
      <x:c r="G86" s="45">
        <x:f t="shared" si="16"/>
        <x:v>176.66666666666666</x:v>
      </x:c>
      <x:c r="H86" s="34">
        <x:f t="array" ref="H86:H86">IF(B86="","",IFERROR(INDEX('회원명단 및 기준에버'!D:G,MATCH(B86,'회원명단 및 기준에버'!$C:$C,0),CHOOSE(INT((MONTH($L$2)-1)/3)+1,1,2,3,4)),""))</x:f>
        <x:v>198</x:v>
      </x:c>
      <x:c r="I86" s="38">
        <x:f t="shared" si="10"/>
        <x:v>-22</x:v>
      </x:c>
      <x:c r="J86" s="38">
        <x:f t="shared" si="11"/>
        <x:v>-12</x:v>
      </x:c>
      <x:c r="K86" s="38">
        <x:f t="shared" si="12"/>
        <x:v>-30</x:v>
      </x:c>
      <x:c r="L86" s="63">
        <x:f t="shared" si="13"/>
        <x:v>-64</x:v>
      </x:c>
      <x:c r="M86" s="39">
        <x:f t="shared" si="14"/>
        <x:v>-21.333333333333343</x:v>
      </x:c>
    </x:row>
    <x:row r="87" spans="1:13" ht="24.949999999999999" customHeight="1">
      <x:c r="A87" s="12">
        <x:v>25</x:v>
      </x:c>
      <x:c r="B87" s="13" t="str">
        <x:f t="array" ref="B87:B87">INDEX($B$4:$M$28,MATCH($A87,$U$4:$U$28,0),COLUMN(A$1))</x:f>
        <x:v>이 정 석</x:v>
      </x:c>
      <x:c r="C87" s="62">
        <x:f t="array" ref="C87:C87">INDEX($B$4:$M$28,MATCH($A87,$U$4:$U$28,0),COLUMN(B$1))</x:f>
        <x:v>140</x:v>
      </x:c>
      <x:c r="D87" s="62">
        <x:f t="array" ref="D87:D87">INDEX($B$4:$M$28,MATCH($A87,$U$4:$U$28,0),COLUMN(C$1))</x:f>
        <x:v>214</x:v>
      </x:c>
      <x:c r="E87" s="62">
        <x:f t="array" ref="E87:E87">INDEX($B$4:$M$28,MATCH($A87,$U$4:$U$28,0),COLUMN(D$1))</x:f>
        <x:v>165</x:v>
      </x:c>
      <x:c r="F87" s="44">
        <x:f t="shared" si="15"/>
        <x:v>519</x:v>
      </x:c>
      <x:c r="G87" s="45">
        <x:f t="shared" si="16"/>
        <x:v>173</x:v>
      </x:c>
      <x:c r="H87" s="34">
        <x:f t="array" ref="H87:H87">IF(B87="","",IFERROR(INDEX('회원명단 및 기준에버'!D:G,MATCH(B87,'회원명단 및 기준에버'!$C:$C,0),CHOOSE(INT((MONTH($L$2)-1)/3)+1,1,2,3,4)),""))</x:f>
        <x:v>196</x:v>
      </x:c>
      <x:c r="I87" s="38">
        <x:f t="shared" si="10"/>
        <x:v>-56</x:v>
      </x:c>
      <x:c r="J87" s="38">
        <x:f t="shared" si="11"/>
        <x:v>18</x:v>
      </x:c>
      <x:c r="K87" s="38">
        <x:f t="shared" si="12"/>
        <x:v>-31</x:v>
      </x:c>
      <x:c r="L87" s="63">
        <x:f t="shared" si="13"/>
        <x:v>-69</x:v>
      </x:c>
      <x:c r="M87" s="39">
        <x:f t="shared" si="14"/>
        <x:v>-23</x:v>
      </x:c>
    </x:row>
    <x:row r="88" spans="2:13" ht="24.949999999999999" customHeight="1">
      <x:c r="B88" s="168" t="s">
        <x:v>63</x:v>
      </x:c>
      <x:c r="C88" s="169"/>
      <x:c r="D88" s="169"/>
      <x:c r="E88" s="169"/>
      <x:c r="F88" s="169"/>
      <x:c r="G88" s="169"/>
      <x:c r="H88" s="169"/>
      <x:c r="I88" s="169"/>
      <x:c r="J88" s="169"/>
      <x:c r="K88" s="169"/>
      <x:c r="L88" s="169"/>
      <x:c r="M88" s="170"/>
    </x:row>
    <x:row r="89" spans="2:13" ht="24.949999999999999" customHeight="1">
      <x:c r="B89" s="171" t="s">
        <x:v>68</x:v>
      </x:c>
      <x:c r="C89" s="172"/>
      <x:c r="D89" s="172"/>
      <x:c r="E89" s="173"/>
      <x:c r="F89" s="174" t="s">
        <x:v>28</x:v>
      </x:c>
      <x:c r="G89" s="176" t="s">
        <x:v>14</x:v>
      </x:c>
      <x:c r="H89" s="177"/>
      <x:c r="I89" s="178"/>
      <x:c r="J89" s="179" t="s">
        <x:v>55</x:v>
      </x:c>
      <x:c r="K89" s="180"/>
      <x:c r="L89" s="180"/>
      <x:c r="M89" s="181"/>
    </x:row>
    <x:row r="90" spans="2:13" ht="24.949999999999999" customHeight="1">
      <x:c r="B90" s="54" t="str">
        <x:f>IF(B31="","",B31)</x:f>
        <x:v>장 영 민</x:v>
      </x:c>
      <x:c r="C90" s="115">
        <x:f>IF(C31="","",C31)</x:f>
        <x:v>31.300000000000001</x:v>
      </x:c>
      <x:c r="D90" s="24" t="str">
        <x:f>IF(D31="","",D31)</x:f>
        <x:v>김 선 미</x:v>
      </x:c>
      <x:c r="E90" s="126">
        <x:f>IF(E31="","",E31)</x:f>
        <x:v>37.700000000000003</x:v>
      </x:c>
      <x:c r="F90" s="175"/>
      <x:c r="G90" s="182" t="s">
        <x:v>62</x:v>
      </x:c>
      <x:c r="H90" s="183"/>
      <x:c r="I90" s="184"/>
      <x:c r="J90" s="26" t="str">
        <x:f>IF(J31="","",J31)</x:f>
        <x:v/>
      </x:c>
      <x:c r="K90" s="27" t="str">
        <x:f>IF(K31="","",K31)</x:f>
        <x:v/>
      </x:c>
      <x:c r="L90" s="27" t="str">
        <x:f>IF(L31="","",L31)</x:f>
        <x:v/>
      </x:c>
      <x:c r="M90" s="28" t="str">
        <x:f>IF(M31="","",M31)</x:f>
        <x:v/>
      </x:c>
    </x:row>
    <x:row r="91" spans="2:13" ht="24.949999999999999" customHeight="1">
      <x:c r="B91" s="155" t="s">
        <x:v>29</x:v>
      </x:c>
      <x:c r="C91" s="156"/>
      <x:c r="D91" s="156"/>
      <x:c r="E91" s="156"/>
      <x:c r="F91" s="156"/>
      <x:c r="G91" s="156"/>
      <x:c r="H91" s="157"/>
      <x:c r="I91" s="158" t="s">
        <x:v>66</x:v>
      </x:c>
      <x:c r="J91" s="159"/>
      <x:c r="K91" s="160" t="s">
        <x:v>67</x:v>
      </x:c>
      <x:c r="L91" s="161"/>
      <x:c r="M91" s="162"/>
    </x:row>
    <x:row r="92" spans="2:13" ht="24.949999999999999" customHeight="1">
      <x:c r="B92" s="21" t="str">
        <x:f t="shared" ref="B92:G94" si="17">IF(B33="","",B33)</x:f>
        <x:v>박 시 진</x:v>
      </x:c>
      <x:c r="C92" s="127">
        <x:f t="shared" si="17"/>
        <x:v>224</x:v>
      </x:c>
      <x:c r="D92" s="32" t="str">
        <x:f t="shared" si="17"/>
        <x:v>장 영 민</x:v>
      </x:c>
      <x:c r="E92" s="67">
        <x:f t="shared" si="17"/>
        <x:v>258</x:v>
      </x:c>
      <x:c r="F92" s="30" t="str">
        <x:f t="shared" si="17"/>
        <x:v>강 희 태</x:v>
      </x:c>
      <x:c r="G92" s="70">
        <x:f t="shared" si="17"/>
        <x:v>223</x:v>
      </x:c>
      <x:c r="H92" s="157"/>
      <x:c r="I92" s="23" t="str">
        <x:f>IF(I33="","",I33)</x:f>
        <x:v/>
      </x:c>
      <x:c r="J92" s="50" t="str">
        <x:f>IF(J33="","",J33)</x:f>
        <x:v/>
      </x:c>
      <x:c r="K92" s="57" t="str">
        <x:f>IF(K33="","",K33)</x:f>
        <x:v>손 은 주</x:v>
      </x:c>
      <x:c r="L92" s="58" t="str">
        <x:f t="shared" ref="L92:M92" si="18">IF(L33="","",L33)</x:f>
        <x:v/>
      </x:c>
      <x:c r="M92" s="59" t="str">
        <x:f t="shared" si="18"/>
        <x:v/>
      </x:c>
    </x:row>
    <x:row r="93" spans="2:13" ht="24.949999999999999" customHeight="1">
      <x:c r="B93" s="46" t="str">
        <x:f t="shared" si="17"/>
        <x:v>천 성 일</x:v>
      </x:c>
      <x:c r="C93" s="128">
        <x:f t="shared" si="17"/>
        <x:v>238</x:v>
      </x:c>
      <x:c r="D93" s="47" t="str">
        <x:f t="shared" si="17"/>
        <x:v>이 범 수</x:v>
      </x:c>
      <x:c r="E93" s="68">
        <x:f t="shared" si="17"/>
        <x:v>225</x:v>
      </x:c>
      <x:c r="F93" s="48" t="str">
        <x:f t="shared" si="17"/>
        <x:v/>
      </x:c>
      <x:c r="G93" s="71" t="str">
        <x:f t="shared" si="17"/>
        <x:v/>
      </x:c>
      <x:c r="H93" s="157"/>
      <x:c r="I93" s="49" t="str">
        <x:f>IF(I34="","",I34)</x:f>
        <x:v/>
      </x:c>
      <x:c r="J93" s="51" t="str">
        <x:f>IF(J34="","",J34)</x:f>
        <x:v/>
      </x:c>
      <x:c r="K93" s="57" t="str">
        <x:f t="shared" ref="K93:M94" si="19">IF(K34="","",K34)</x:f>
        <x:v/>
      </x:c>
      <x:c r="L93" s="58" t="str">
        <x:f t="shared" si="19"/>
        <x:v/>
      </x:c>
      <x:c r="M93" s="59" t="str">
        <x:f t="shared" si="19"/>
        <x:v/>
      </x:c>
    </x:row>
    <x:row r="94" spans="2:13" ht="24.949999999999999" customHeight="1">
      <x:c r="B94" s="29" t="str">
        <x:f t="shared" si="17"/>
        <x:v>지 옥 명</x:v>
      </x:c>
      <x:c r="C94" s="129">
        <x:f t="shared" si="17"/>
        <x:v>209</x:v>
      </x:c>
      <x:c r="D94" s="33" t="str">
        <x:f t="shared" si="17"/>
        <x:v>임 연 진</x:v>
      </x:c>
      <x:c r="E94" s="69">
        <x:f t="shared" si="17"/>
        <x:v>194</x:v>
      </x:c>
      <x:c r="F94" s="31" t="str">
        <x:f t="shared" si="17"/>
        <x:v/>
      </x:c>
      <x:c r="G94" s="72" t="str">
        <x:f t="shared" si="17"/>
        <x:v/>
      </x:c>
      <x:c r="H94" s="157"/>
      <x:c r="I94" s="24" t="str">
        <x:f>IF(I35="","",I35)</x:f>
        <x:v/>
      </x:c>
      <x:c r="J94" s="52" t="str">
        <x:f>IF(J35="","",J35)</x:f>
        <x:v/>
      </x:c>
      <x:c r="K94" s="60" t="str">
        <x:f t="shared" si="19"/>
        <x:v/>
      </x:c>
      <x:c r="L94" s="53" t="str">
        <x:f t="shared" si="19"/>
        <x:v/>
      </x:c>
      <x:c r="M94" s="61" t="str">
        <x:f t="shared" si="19"/>
        <x:v/>
      </x:c>
    </x:row>
    <x:row r="95" spans="2:13" ht="24.949999999999999" customHeight="1">
      <x:c r="B95" s="163" t="s">
        <x:v>51</x:v>
      </x:c>
      <x:c r="C95" s="164"/>
      <x:c r="D95" s="164"/>
      <x:c r="E95" s="164"/>
      <x:c r="F95" s="164"/>
      <x:c r="G95" s="164"/>
      <x:c r="H95" s="164"/>
      <x:c r="I95" s="164"/>
      <x:c r="J95" s="164"/>
      <x:c r="K95" s="164"/>
      <x:c r="L95" s="164"/>
      <x:c r="M95" s="165"/>
    </x:row>
    <x:row r="96" spans="2:13" ht="24.949999999999999" customHeight="1">
      <x:c r="B96" s="35" t="str">
        <x:f t="shared" ref="B96:F100" si="20">IF(B37="","",B37)</x:f>
        <x:v>이 대 용</x:v>
      </x:c>
      <x:c r="C96" s="40">
        <x:f t="shared" si="20"/>
        <x:v>-16</x:v>
      </x:c>
      <x:c r="D96" s="40">
        <x:f t="shared" si="20"/>
        <x:v>-11</x:v>
      </x:c>
      <x:c r="E96" s="40">
        <x:f t="shared" si="20"/>
        <x:v>12</x:v>
      </x:c>
      <x:c r="F96" s="141">
        <x:f t="shared" si="20"/>
        <x:v>138</x:v>
      </x:c>
      <x:c r="G96" s="144"/>
      <x:c r="H96" s="79" t="str">
        <x:f t="shared" ref="H96:L100" si="21">IF(H37="","",H37)</x:f>
        <x:v>장 영 민</x:v>
      </x:c>
      <x:c r="I96" s="40">
        <x:f t="shared" si="21"/>
        <x:v>12</x:v>
      </x:c>
      <x:c r="J96" s="40">
        <x:f t="shared" si="21"/>
        <x:v>58</x:v>
      </x:c>
      <x:c r="K96" s="40">
        <x:f t="shared" si="21"/>
        <x:v>24</x:v>
      </x:c>
      <x:c r="L96" s="149">
        <x:f t="shared" si="21"/>
        <x:v>197</x:v>
      </x:c>
      <x:c r="M96" s="152"/>
    </x:row>
    <x:row r="97" spans="2:13" ht="24.949999999999999" customHeight="1">
      <x:c r="B97" s="36" t="str">
        <x:f t="shared" si="20"/>
        <x:v>박 시 진</x:v>
      </x:c>
      <x:c r="C97" s="41">
        <x:f t="shared" si="20"/>
        <x:v>28</x:v>
      </x:c>
      <x:c r="D97" s="41">
        <x:f t="shared" si="20"/>
        <x:v>-5</x:v>
      </x:c>
      <x:c r="E97" s="41">
        <x:f t="shared" si="20"/>
        <x:v>31</x:v>
      </x:c>
      <x:c r="F97" s="142" t="str">
        <x:f t="shared" si="20"/>
        <x:v/>
      </x:c>
      <x:c r="G97" s="145"/>
      <x:c r="H97" s="36" t="str">
        <x:f t="shared" si="21"/>
        <x:v>천 성 일</x:v>
      </x:c>
      <x:c r="I97" s="41">
        <x:f t="shared" si="21"/>
        <x:v>-19</x:v>
      </x:c>
      <x:c r="J97" s="41">
        <x:f t="shared" si="21"/>
        <x:v>47</x:v>
      </x:c>
      <x:c r="K97" s="41">
        <x:f t="shared" si="21"/>
        <x:v>-21</x:v>
      </x:c>
      <x:c r="L97" s="150" t="str">
        <x:f t="shared" si="21"/>
        <x:v/>
      </x:c>
      <x:c r="M97" s="153"/>
    </x:row>
    <x:row r="98" spans="2:13" ht="24.949999999999999" customHeight="1">
      <x:c r="B98" s="36" t="str">
        <x:f t="shared" si="20"/>
        <x:v>김 태 환</x:v>
      </x:c>
      <x:c r="C98" s="41">
        <x:f t="shared" si="20"/>
        <x:v>0</x:v>
      </x:c>
      <x:c r="D98" s="41">
        <x:f t="shared" si="20"/>
        <x:v>0</x:v>
      </x:c>
      <x:c r="E98" s="41">
        <x:f t="shared" si="20"/>
        <x:v>0</x:v>
      </x:c>
      <x:c r="F98" s="142" t="str">
        <x:f t="shared" si="20"/>
        <x:v/>
      </x:c>
      <x:c r="G98" s="145"/>
      <x:c r="H98" s="36" t="str">
        <x:f t="shared" si="21"/>
        <x:v>이 범 수</x:v>
      </x:c>
      <x:c r="I98" s="41">
        <x:f t="shared" si="21"/>
        <x:v>-24</x:v>
      </x:c>
      <x:c r="J98" s="41">
        <x:f t="shared" si="21"/>
        <x:v>35</x:v>
      </x:c>
      <x:c r="K98" s="41">
        <x:f t="shared" si="21"/>
        <x:v>32</x:v>
      </x:c>
      <x:c r="L98" s="150" t="str">
        <x:f t="shared" si="21"/>
        <x:v/>
      </x:c>
      <x:c r="M98" s="153"/>
    </x:row>
    <x:row r="99" spans="2:13" ht="24.949999999999999" customHeight="1">
      <x:c r="B99" s="36" t="str">
        <x:f t="shared" si="20"/>
        <x:v>박 성 현</x:v>
      </x:c>
      <x:c r="C99" s="41">
        <x:f t="shared" si="20"/>
        <x:v>-7</x:v>
      </x:c>
      <x:c r="D99" s="41">
        <x:f t="shared" si="20"/>
        <x:v>9</x:v>
      </x:c>
      <x:c r="E99" s="41">
        <x:f t="shared" si="20"/>
        <x:v>34</x:v>
      </x:c>
      <x:c r="F99" s="142" t="str">
        <x:f t="shared" si="20"/>
        <x:v/>
      </x:c>
      <x:c r="G99" s="145"/>
      <x:c r="H99" s="36" t="str">
        <x:f t="shared" si="21"/>
        <x:v>황 인 교</x:v>
      </x:c>
      <x:c r="I99" s="41">
        <x:f t="shared" si="21"/>
        <x:v>7</x:v>
      </x:c>
      <x:c r="J99" s="41">
        <x:f t="shared" si="21"/>
        <x:v>-7</x:v>
      </x:c>
      <x:c r="K99" s="41">
        <x:f t="shared" si="21"/>
        <x:v>53</x:v>
      </x:c>
      <x:c r="L99" s="150" t="str">
        <x:f t="shared" si="21"/>
        <x:v/>
      </x:c>
      <x:c r="M99" s="153"/>
    </x:row>
    <x:row r="100" spans="2:13" ht="24.949999999999999" customHeight="1">
      <x:c r="B100" s="36" t="str">
        <x:f t="shared" si="20"/>
        <x:v>김 미 란</x:v>
      </x:c>
      <x:c r="C100" s="41">
        <x:f t="shared" si="20"/>
        <x:v>-17</x:v>
      </x:c>
      <x:c r="D100" s="41">
        <x:f t="shared" si="20"/>
        <x:v>48</x:v>
      </x:c>
      <x:c r="E100" s="41">
        <x:f t="shared" si="20"/>
        <x:v>32</x:v>
      </x:c>
      <x:c r="F100" s="142" t="str">
        <x:f t="shared" si="20"/>
        <x:v/>
      </x:c>
      <x:c r="G100" s="145"/>
      <x:c r="H100" s="36" t="str">
        <x:f t="shared" si="21"/>
        <x:v>김 정 희</x:v>
      </x:c>
      <x:c r="I100" s="41">
        <x:f t="shared" si="21"/>
        <x:v>0</x:v>
      </x:c>
      <x:c r="J100" s="41">
        <x:f t="shared" si="21"/>
        <x:v>0</x:v>
      </x:c>
      <x:c r="K100" s="41">
        <x:f t="shared" si="21"/>
        <x:v>0</x:v>
      </x:c>
      <x:c r="L100" s="150" t="str">
        <x:f t="shared" si="21"/>
        <x:v/>
      </x:c>
      <x:c r="M100" s="153"/>
    </x:row>
    <x:row r="101" spans="2:13" ht="24.949999999999999" customHeight="1">
      <x:c r="B101" s="37" t="str">
        <x:f t="shared" ref="B101:F101" si="22">IF(B42="","",B42)</x:f>
        <x:v/>
      </x:c>
      <x:c r="C101" s="42">
        <x:f t="shared" si="22"/>
        <x:v>-12</x:v>
      </x:c>
      <x:c r="D101" s="42">
        <x:f t="shared" si="22"/>
        <x:v>41</x:v>
      </x:c>
      <x:c r="E101" s="42">
        <x:f t="shared" si="22"/>
        <x:v>109</x:v>
      </x:c>
      <x:c r="F101" s="143" t="str">
        <x:f t="shared" si="22"/>
        <x:v/>
      </x:c>
      <x:c r="G101" s="146"/>
      <x:c r="H101" s="37" t="str">
        <x:f t="shared" ref="H101:L101" si="23">IF(H42="","",H42)</x:f>
        <x:v/>
      </x:c>
      <x:c r="I101" s="42">
        <x:f t="shared" si="23"/>
        <x:v>-24</x:v>
      </x:c>
      <x:c r="J101" s="42">
        <x:f t="shared" si="23"/>
        <x:v>133</x:v>
      </x:c>
      <x:c r="K101" s="42">
        <x:f t="shared" si="23"/>
        <x:v>88</x:v>
      </x:c>
      <x:c r="L101" s="151" t="str">
        <x:f t="shared" si="23"/>
        <x:v/>
      </x:c>
      <x:c r="M101" s="154"/>
    </x:row>
    <x:row r="102" spans="2:13" ht="24.949999999999999" customHeight="1"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</x:row>
    <x:row r="103" spans="2:13" ht="24.949999999999999" customHeight="1">
      <x:c r="B103" s="35" t="str">
        <x:f t="shared" ref="B103:M107" si="24">IF(B44="","",B44)</x:f>
        <x:v>이 우 석</x:v>
      </x:c>
      <x:c r="C103" s="40">
        <x:f t="shared" si="24"/>
        <x:v>-19</x:v>
      </x:c>
      <x:c r="D103" s="40">
        <x:f t="shared" si="24"/>
        <x:v>-6</x:v>
      </x:c>
      <x:c r="E103" s="40">
        <x:f t="shared" si="24"/>
        <x:v>-17</x:v>
      </x:c>
      <x:c r="F103" s="149">
        <x:f t="shared" si="24"/>
        <x:v>82</x:v>
      </x:c>
      <x:c r="G103" s="152" t="str">
        <x:f t="shared" si="24"/>
        <x:v/>
      </x:c>
      <x:c r="H103" s="79" t="str">
        <x:f t="shared" si="24"/>
        <x:v>변 상 필</x:v>
      </x:c>
      <x:c r="I103" s="40">
        <x:f t="shared" si="24"/>
        <x:v>2</x:v>
      </x:c>
      <x:c r="J103" s="40">
        <x:f t="shared" si="24"/>
        <x:v>-6</x:v>
      </x:c>
      <x:c r="K103" s="40">
        <x:f t="shared" si="24"/>
        <x:v>54</x:v>
      </x:c>
      <x:c r="L103" s="149">
        <x:f t="shared" si="24"/>
        <x:v>-62</x:v>
      </x:c>
      <x:c r="M103" s="152" t="str">
        <x:f t="shared" si="24"/>
        <x:v/>
      </x:c>
    </x:row>
    <x:row r="104" spans="2:13" ht="24.949999999999999" customHeight="1">
      <x:c r="B104" s="36" t="str">
        <x:f t="shared" si="24"/>
        <x:v>강 완 규</x:v>
      </x:c>
      <x:c r="C104" s="41">
        <x:f t="shared" si="24"/>
        <x:v>9</x:v>
      </x:c>
      <x:c r="D104" s="41">
        <x:f t="shared" si="24"/>
        <x:v>3</x:v>
      </x:c>
      <x:c r="E104" s="41">
        <x:f t="shared" si="24"/>
        <x:v>7</x:v>
      </x:c>
      <x:c r="F104" s="150" t="str">
        <x:f t="shared" si="24"/>
        <x:v/>
      </x:c>
      <x:c r="G104" s="153" t="str">
        <x:f t="shared" si="24"/>
        <x:v/>
      </x:c>
      <x:c r="H104" s="36" t="str">
        <x:f t="shared" si="24"/>
        <x:v>강 희 태</x:v>
      </x:c>
      <x:c r="I104" s="41">
        <x:f t="shared" si="24"/>
        <x:v>24</x:v>
      </x:c>
      <x:c r="J104" s="41">
        <x:f t="shared" si="24"/>
        <x:v>13</x:v>
      </x:c>
      <x:c r="K104" s="41">
        <x:f t="shared" si="24"/>
        <x:v>23</x:v>
      </x:c>
      <x:c r="L104" s="150" t="str">
        <x:f t="shared" si="24"/>
        <x:v/>
      </x:c>
      <x:c r="M104" s="153" t="str">
        <x:f t="shared" si="24"/>
        <x:v/>
      </x:c>
    </x:row>
    <x:row r="105" spans="2:13" ht="24.949999999999999" customHeight="1">
      <x:c r="B105" s="36" t="str">
        <x:f t="shared" si="24"/>
        <x:v>정 영 우</x:v>
      </x:c>
      <x:c r="C105" s="41">
        <x:f t="shared" si="24"/>
        <x:v>7</x:v>
      </x:c>
      <x:c r="D105" s="41">
        <x:f t="shared" si="24"/>
        <x:v>-15</x:v>
      </x:c>
      <x:c r="E105" s="41">
        <x:f t="shared" si="24"/>
        <x:v>10</x:v>
      </x:c>
      <x:c r="F105" s="150" t="str">
        <x:f t="shared" si="24"/>
        <x:v/>
      </x:c>
      <x:c r="G105" s="153" t="str">
        <x:f t="shared" si="24"/>
        <x:v/>
      </x:c>
      <x:c r="H105" s="36" t="str">
        <x:f t="shared" si="24"/>
        <x:v>이 정 석</x:v>
      </x:c>
      <x:c r="I105" s="41">
        <x:f t="shared" si="24"/>
        <x:v>-56</x:v>
      </x:c>
      <x:c r="J105" s="41">
        <x:f t="shared" si="24"/>
        <x:v>18</x:v>
      </x:c>
      <x:c r="K105" s="41">
        <x:f t="shared" si="24"/>
        <x:v>-31</x:v>
      </x:c>
      <x:c r="L105" s="150" t="str">
        <x:f t="shared" si="24"/>
        <x:v/>
      </x:c>
      <x:c r="M105" s="153" t="str">
        <x:f t="shared" si="24"/>
        <x:v/>
      </x:c>
    </x:row>
    <x:row r="106" spans="2:13" ht="24.949999999999999" customHeight="1">
      <x:c r="B106" s="36" t="str">
        <x:f t="shared" si="24"/>
        <x:v>이 상 현</x:v>
      </x:c>
      <x:c r="C106" s="41">
        <x:f t="shared" si="24"/>
        <x:v>15</x:v>
      </x:c>
      <x:c r="D106" s="41">
        <x:f t="shared" si="24"/>
        <x:v>16</x:v>
      </x:c>
      <x:c r="E106" s="41">
        <x:f t="shared" si="24"/>
        <x:v>-23</x:v>
      </x:c>
      <x:c r="F106" s="150" t="str">
        <x:f t="shared" si="24"/>
        <x:v/>
      </x:c>
      <x:c r="G106" s="153" t="str">
        <x:f t="shared" si="24"/>
        <x:v/>
      </x:c>
      <x:c r="H106" s="36" t="str">
        <x:f t="shared" si="24"/>
        <x:v>김 종 훈</x:v>
      </x:c>
      <x:c r="I106" s="41">
        <x:f t="shared" si="24"/>
        <x:v>-22</x:v>
      </x:c>
      <x:c r="J106" s="41">
        <x:f t="shared" si="24"/>
        <x:v>-12</x:v>
      </x:c>
      <x:c r="K106" s="41">
        <x:f t="shared" si="24"/>
        <x:v>-30</x:v>
      </x:c>
      <x:c r="L106" s="150" t="str">
        <x:f t="shared" si="24"/>
        <x:v/>
      </x:c>
      <x:c r="M106" s="153" t="str">
        <x:f t="shared" si="24"/>
        <x:v/>
      </x:c>
    </x:row>
    <x:row r="107" spans="2:13" ht="24.949999999999999" customHeight="1">
      <x:c r="B107" s="36" t="str">
        <x:f t="shared" si="24"/>
        <x:v>김 선 미</x:v>
      </x:c>
      <x:c r="C107" s="41">
        <x:f t="shared" si="24"/>
        <x:v>21</x:v>
      </x:c>
      <x:c r="D107" s="41">
        <x:f t="shared" si="24"/>
        <x:v>41</x:v>
      </x:c>
      <x:c r="E107" s="41">
        <x:f t="shared" si="24"/>
        <x:v>33</x:v>
      </x:c>
      <x:c r="F107" s="150" t="str">
        <x:f t="shared" si="24"/>
        <x:v/>
      </x:c>
      <x:c r="G107" s="153" t="str">
        <x:f t="shared" si="24"/>
        <x:v/>
      </x:c>
      <x:c r="H107" s="36" t="str">
        <x:f t="shared" si="24"/>
        <x:v>손 은 주</x:v>
      </x:c>
      <x:c r="I107" s="41">
        <x:f t="shared" si="24"/>
        <x:v>-24</x:v>
      </x:c>
      <x:c r="J107" s="41">
        <x:f t="shared" si="24"/>
        <x:v>-18</x:v>
      </x:c>
      <x:c r="K107" s="41">
        <x:f t="shared" si="24"/>
        <x:v>3</x:v>
      </x:c>
      <x:c r="L107" s="150" t="str">
        <x:f t="shared" si="24"/>
        <x:v/>
      </x:c>
      <x:c r="M107" s="153" t="str">
        <x:f t="shared" si="24"/>
        <x:v/>
      </x:c>
    </x:row>
    <x:row r="108" spans="2:13" ht="24.949999999999999" customHeight="1">
      <x:c r="B108" s="37" t="str">
        <x:f t="shared" ref="B108:M108" si="25">IF(B49="","",B49)</x:f>
        <x:v/>
      </x:c>
      <x:c r="C108" s="42">
        <x:f t="shared" si="25"/>
        <x:v>33</x:v>
      </x:c>
      <x:c r="D108" s="42">
        <x:f t="shared" si="25"/>
        <x:v>39</x:v>
      </x:c>
      <x:c r="E108" s="42">
        <x:f t="shared" si="25"/>
        <x:v>10</x:v>
      </x:c>
      <x:c r="F108" s="151" t="str">
        <x:f t="shared" si="25"/>
        <x:v/>
      </x:c>
      <x:c r="G108" s="154" t="str">
        <x:f t="shared" si="25"/>
        <x:v/>
      </x:c>
      <x:c r="H108" s="37" t="str">
        <x:f t="shared" si="25"/>
        <x:v/>
      </x:c>
      <x:c r="I108" s="42">
        <x:f t="shared" si="25"/>
        <x:v>-76</x:v>
      </x:c>
      <x:c r="J108" s="42">
        <x:f t="shared" si="25"/>
        <x:v>-5</x:v>
      </x:c>
      <x:c r="K108" s="42">
        <x:f t="shared" si="25"/>
        <x:v>19</x:v>
      </x:c>
      <x:c r="L108" s="151" t="str">
        <x:f t="shared" si="25"/>
        <x:v/>
      </x:c>
      <x:c r="M108" s="154" t="str">
        <x:f t="shared" si="25"/>
        <x:v/>
      </x:c>
    </x:row>
    <x:row r="109" ht="24.949999999999999" customHeight="1"/>
    <x:row r="110" spans="2:13" ht="24.949999999999999" customHeight="1">
      <x:c r="B110" s="35" t="str">
        <x:f t="shared" ref="B110:G114" si="26">IF(B51="","",B51)</x:f>
        <x:v>정 승 주</x:v>
      </x:c>
      <x:c r="C110" s="40">
        <x:f t="shared" si="26"/>
        <x:v>0</x:v>
      </x:c>
      <x:c r="D110" s="40">
        <x:f t="shared" si="26"/>
        <x:v>0</x:v>
      </x:c>
      <x:c r="E110" s="40">
        <x:f t="shared" si="26"/>
        <x:v>0</x:v>
      </x:c>
      <x:c r="F110" s="141">
        <x:f t="shared" si="26"/>
        <x:v>30</x:v>
      </x:c>
      <x:c r="G110" s="144" t="str">
        <x:f t="shared" si="26"/>
        <x:v/>
      </x:c>
      <x:c r="H110" s="18"/>
      <x:c r="I110" s="80"/>
      <x:c r="J110" s="80"/>
      <x:c r="K110" s="80"/>
      <x:c r="L110" s="124"/>
      <x:c r="M110" s="125"/>
    </x:row>
    <x:row r="111" spans="2:13" ht="24.949999999999999" customHeight="1">
      <x:c r="B111" s="36" t="str">
        <x:f t="shared" si="26"/>
        <x:v>임 연 진</x:v>
      </x:c>
      <x:c r="C111" s="41">
        <x:f t="shared" si="26"/>
        <x:v>18</x:v>
      </x:c>
      <x:c r="D111" s="41">
        <x:f t="shared" si="26"/>
        <x:v>10</x:v>
      </x:c>
      <x:c r="E111" s="41">
        <x:f t="shared" si="26"/>
        <x:v>0</x:v>
      </x:c>
      <x:c r="F111" s="142" t="str">
        <x:f t="shared" si="26"/>
        <x:v/>
      </x:c>
      <x:c r="G111" s="145" t="str">
        <x:f t="shared" si="26"/>
        <x:v/>
      </x:c>
      <x:c r="H111" s="18"/>
      <x:c r="I111" s="80"/>
      <x:c r="J111" s="80"/>
      <x:c r="K111" s="80"/>
      <x:c r="L111" s="124"/>
      <x:c r="M111" s="125"/>
    </x:row>
    <x:row r="112" spans="2:13" ht="24.949999999999999" customHeight="1">
      <x:c r="B112" s="36" t="str">
        <x:f t="shared" si="26"/>
        <x:v>고 경 훈</x:v>
      </x:c>
      <x:c r="C112" s="41">
        <x:f t="shared" si="26"/>
        <x:v>-36</x:v>
      </x:c>
      <x:c r="D112" s="41">
        <x:f t="shared" si="26"/>
        <x:v>-5</x:v>
      </x:c>
      <x:c r="E112" s="41">
        <x:f t="shared" si="26"/>
        <x:v>8</x:v>
      </x:c>
      <x:c r="F112" s="142" t="str">
        <x:f t="shared" si="26"/>
        <x:v/>
      </x:c>
      <x:c r="G112" s="145" t="str">
        <x:f t="shared" si="26"/>
        <x:v/>
      </x:c>
      <x:c r="H112" s="18"/>
      <x:c r="I112" s="80"/>
      <x:c r="J112" s="80"/>
      <x:c r="K112" s="80"/>
      <x:c r="L112" s="124"/>
      <x:c r="M112" s="125"/>
    </x:row>
    <x:row r="113" spans="2:13" ht="24.949999999999999" customHeight="1">
      <x:c r="B113" s="36" t="str">
        <x:f t="shared" si="26"/>
        <x:v>이 재 용</x:v>
      </x:c>
      <x:c r="C113" s="41">
        <x:f t="shared" si="26"/>
        <x:v>-33</x:v>
      </x:c>
      <x:c r="D113" s="41">
        <x:f t="shared" si="26"/>
        <x:v>13</x:v>
      </x:c>
      <x:c r="E113" s="41">
        <x:f t="shared" si="26"/>
        <x:v>47</x:v>
      </x:c>
      <x:c r="F113" s="142" t="str">
        <x:f t="shared" si="26"/>
        <x:v/>
      </x:c>
      <x:c r="G113" s="145" t="str">
        <x:f t="shared" si="26"/>
        <x:v/>
      </x:c>
      <x:c r="H113" s="18"/>
      <x:c r="I113" s="80"/>
      <x:c r="J113" s="80"/>
      <x:c r="K113" s="80"/>
      <x:c r="L113" s="124"/>
      <x:c r="M113" s="125"/>
    </x:row>
    <x:row r="114" spans="2:13" ht="24.949999999999999" customHeight="1">
      <x:c r="B114" s="36" t="str">
        <x:f t="shared" si="26"/>
        <x:v>지 옥 명</x:v>
      </x:c>
      <x:c r="C114" s="41">
        <x:f t="shared" si="26"/>
        <x:v>5</x:v>
      </x:c>
      <x:c r="D114" s="41">
        <x:f t="shared" si="26"/>
        <x:v>26</x:v>
      </x:c>
      <x:c r="E114" s="41">
        <x:f t="shared" si="26"/>
        <x:v>-23</x:v>
      </x:c>
      <x:c r="F114" s="142" t="str">
        <x:f t="shared" si="26"/>
        <x:v/>
      </x:c>
      <x:c r="G114" s="145" t="str">
        <x:f t="shared" si="26"/>
        <x:v/>
      </x:c>
      <x:c r="H114" s="18"/>
      <x:c r="I114" s="80"/>
      <x:c r="J114" s="80"/>
      <x:c r="K114" s="80"/>
      <x:c r="L114" s="124"/>
      <x:c r="M114" s="125"/>
    </x:row>
    <x:row r="115" spans="2:13" ht="24.949999999999999" customHeight="1">
      <x:c r="B115" s="37" t="str">
        <x:f t="shared" ref="B115:G115" si="27">IF(B56="","",B56)</x:f>
        <x:v/>
      </x:c>
      <x:c r="C115" s="42">
        <x:f t="shared" si="27"/>
        <x:v>-46</x:v>
      </x:c>
      <x:c r="D115" s="42">
        <x:f t="shared" si="27"/>
        <x:v>44</x:v>
      </x:c>
      <x:c r="E115" s="42">
        <x:f t="shared" si="27"/>
        <x:v>32</x:v>
      </x:c>
      <x:c r="F115" s="143" t="str">
        <x:f t="shared" si="27"/>
        <x:v/>
      </x:c>
      <x:c r="G115" s="146" t="str">
        <x:f t="shared" si="27"/>
        <x:v/>
      </x:c>
      <x:c r="H115" s="18"/>
      <x:c r="I115" s="81"/>
      <x:c r="J115" s="81"/>
      <x:c r="K115" s="81"/>
      <x:c r="L115" s="124"/>
      <x:c r="M115" s="125"/>
    </x:row>
  </x:sheetData>
  <x:mergeCells count="46">
    <x:mergeCell ref="M96:M101"/>
    <x:mergeCell ref="F103:F108"/>
    <x:mergeCell ref="G103:G108"/>
    <x:mergeCell ref="L103:L108"/>
    <x:mergeCell ref="M103:M108"/>
    <x:mergeCell ref="F110:F115"/>
    <x:mergeCell ref="G110:G115"/>
    <x:mergeCell ref="F96:F101"/>
    <x:mergeCell ref="G96:G101"/>
    <x:mergeCell ref="L96:L101"/>
    <x:mergeCell ref="B91:G91"/>
    <x:mergeCell ref="H91:H94"/>
    <x:mergeCell ref="I91:J91"/>
    <x:mergeCell ref="K91:M91"/>
    <x:mergeCell ref="B95:M95"/>
    <x:mergeCell ref="B89:E89"/>
    <x:mergeCell ref="F89:F90"/>
    <x:mergeCell ref="G89:I89"/>
    <x:mergeCell ref="J89:M89"/>
    <x:mergeCell ref="G90:I90"/>
    <x:mergeCell ref="F51:F56"/>
    <x:mergeCell ref="G51:G56"/>
    <x:mergeCell ref="A60:M60"/>
    <x:mergeCell ref="L61:M61"/>
    <x:mergeCell ref="B88:M88"/>
    <x:mergeCell ref="F37:F42"/>
    <x:mergeCell ref="G37:G42"/>
    <x:mergeCell ref="L37:L42"/>
    <x:mergeCell ref="M37:M42"/>
    <x:mergeCell ref="F44:F49"/>
    <x:mergeCell ref="G44:G49"/>
    <x:mergeCell ref="L44:L49"/>
    <x:mergeCell ref="M44:M49"/>
    <x:mergeCell ref="B32:G32"/>
    <x:mergeCell ref="H32:H35"/>
    <x:mergeCell ref="I32:J32"/>
    <x:mergeCell ref="K32:M32"/>
    <x:mergeCell ref="B36:M36"/>
    <x:mergeCell ref="A1:M1"/>
    <x:mergeCell ref="L2:M2"/>
    <x:mergeCell ref="B29:M29"/>
    <x:mergeCell ref="B30:E30"/>
    <x:mergeCell ref="F30:F31"/>
    <x:mergeCell ref="G30:I30"/>
    <x:mergeCell ref="J30:M30"/>
    <x:mergeCell ref="G31:I31"/>
  </x:mergeCells>
  <x:conditionalFormatting sqref="C33:C35">
    <x:cfRule type="cellIs" dxfId="74" priority="19" operator="greaterThan">
      <x:formula>199</x:formula>
    </x:cfRule>
  </x:conditionalFormatting>
  <x:conditionalFormatting sqref="C92:C94">
    <x:cfRule type="cellIs" dxfId="73" priority="3" operator="greaterThan">
      <x:formula>199</x:formula>
    </x:cfRule>
  </x:conditionalFormatting>
  <x:conditionalFormatting sqref="C4:E28">
    <x:cfRule type="cellIs" dxfId="72" priority="14" operator="between">
      <x:formula>200</x:formula>
      <x:formula>200</x:formula>
    </x:cfRule>
    <x:cfRule type="cellIs" dxfId="71" priority="13" operator="between">
      <x:formula>200</x:formula>
      <x:formula>300</x:formula>
    </x:cfRule>
  </x:conditionalFormatting>
  <x:conditionalFormatting sqref="C63:E87">
    <x:cfRule type="cellIs" dxfId="70" priority="7" operator="between">
      <x:formula>200</x:formula>
      <x:formula>200</x:formula>
    </x:cfRule>
    <x:cfRule type="cellIs" dxfId="69" priority="6" operator="between">
      <x:formula>200</x:formula>
      <x:formula>300</x:formula>
    </x:cfRule>
  </x:conditionalFormatting>
  <x:conditionalFormatting sqref="E33:E35">
    <x:cfRule type="cellIs" dxfId="68" priority="18" operator="greaterThan">
      <x:formula>199</x:formula>
    </x:cfRule>
  </x:conditionalFormatting>
  <x:conditionalFormatting sqref="E92:E94">
    <x:cfRule type="cellIs" dxfId="67" priority="2" operator="greaterThan">
      <x:formula>199</x:formula>
    </x:cfRule>
  </x:conditionalFormatting>
  <x:conditionalFormatting sqref="F4:F28">
    <x:cfRule type="cellIs" dxfId="66" priority="22" operator="greaterThan">
      <x:formula>599</x:formula>
    </x:cfRule>
    <x:cfRule type="cellIs" dxfId="65" priority="12" operator="between">
      <x:formula>600</x:formula>
      <x:formula>900</x:formula>
    </x:cfRule>
  </x:conditionalFormatting>
  <x:conditionalFormatting sqref="F63:F87">
    <x:cfRule type="cellIs" dxfId="64" priority="10" operator="greaterThan">
      <x:formula>599</x:formula>
    </x:cfRule>
    <x:cfRule type="cellIs" dxfId="63" priority="5" operator="between">
      <x:formula>600</x:formula>
      <x:formula>900</x:formula>
    </x:cfRule>
  </x:conditionalFormatting>
  <x:conditionalFormatting sqref="G4:G28">
    <x:cfRule type="cellIs" dxfId="62" priority="20" operator="greaterThan">
      <x:formula>199.9</x:formula>
    </x:cfRule>
  </x:conditionalFormatting>
  <x:conditionalFormatting sqref="G33:G35">
    <x:cfRule type="cellIs" dxfId="61" priority="17" operator="greaterThan">
      <x:formula>199</x:formula>
    </x:cfRule>
  </x:conditionalFormatting>
  <x:conditionalFormatting sqref="G63:G87">
    <x:cfRule type="cellIs" dxfId="60" priority="8" operator="greaterThan">
      <x:formula>199.9</x:formula>
    </x:cfRule>
  </x:conditionalFormatting>
  <x:conditionalFormatting sqref="G92:G94">
    <x:cfRule type="cellIs" dxfId="59" priority="1" operator="greaterThan">
      <x:formula>199</x:formula>
    </x:cfRule>
  </x:conditionalFormatting>
  <x:conditionalFormatting sqref="G4:H28">
    <x:cfRule type="cellIs" dxfId="58" priority="11" operator="between">
      <x:formula>200</x:formula>
      <x:formula>300</x:formula>
    </x:cfRule>
  </x:conditionalFormatting>
  <x:conditionalFormatting sqref="G63:H87">
    <x:cfRule type="cellIs" dxfId="57" priority="4" operator="between">
      <x:formula>200</x:formula>
      <x:formula>300</x:formula>
    </x:cfRule>
  </x:conditionalFormatting>
  <x:conditionalFormatting sqref="H4:H28">
    <x:cfRule type="cellIs" dxfId="56" priority="21" operator="greaterThan">
      <x:formula>199</x:formula>
    </x:cfRule>
  </x:conditionalFormatting>
  <x:conditionalFormatting sqref="H63:H87">
    <x:cfRule type="cellIs" dxfId="55" priority="9" operator="greaterThan">
      <x:formula>199</x:formula>
    </x:cfRule>
  </x:conditionalFormatting>
  <x:conditionalFormatting sqref="O32:O32">
    <x:cfRule type="cellIs" dxfId="54" priority="16" operator="greaterThan">
      <x:formula>200</x:formula>
    </x:cfRule>
  </x:conditionalFormatting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  <x:legacyDrawing r:id="rId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V125"/>
  <x:sheetViews>
    <x:sheetView topLeftCell="A7" zoomScale="85" zoomScaleNormal="85" zoomScaleSheetLayoutView="85" workbookViewId="0">
      <x:selection activeCell="G55" activeCellId="0" sqref="G55:G55"/>
    </x:sheetView>
  </x:sheetViews>
  <x:sheetFormatPr defaultColWidth="9" defaultRowHeight="16.399999999999999"/>
  <x:cols>
    <x:col min="1" max="1" width="4.625" style="11" customWidth="1"/>
    <x:col min="2" max="2" width="10.625" style="11" customWidth="1"/>
    <x:col min="3" max="11" width="9.625" style="11" customWidth="1"/>
    <x:col min="12" max="12" width="9" style="11" customWidth="1"/>
    <x:col min="13" max="13" width="9" style="11" bestFit="1" customWidth="1"/>
    <x:col min="14" max="14" width="9.875" style="11" bestFit="1" customWidth="1"/>
    <x:col min="15" max="15" width="9.375" style="11" customWidth="1"/>
    <x:col min="17" max="17" width="10.625" style="11" customWidth="1"/>
    <x:col min="19" max="19" width="13.125" style="11" customWidth="1"/>
    <x:col min="20" max="20" width="9" style="8" bestFit="1" customWidth="1"/>
    <x:col min="21" max="21" width="15" style="11" customWidth="1"/>
    <x:col min="22" max="22" width="9" style="8" bestFit="1" customWidth="1"/>
  </x:cols>
  <x:sheetData>
    <x:row r="1" spans="1:13" ht="60" customHeight="1">
      <x:c r="A1" s="185" t="s">
        <x:v>71</x:v>
      </x:c>
      <x:c r="B1" s="185"/>
      <x:c r="C1" s="185"/>
      <x:c r="D1" s="185"/>
      <x:c r="E1" s="185"/>
      <x:c r="F1" s="185"/>
      <x:c r="G1" s="185"/>
      <x:c r="H1" s="185"/>
      <x:c r="I1" s="185"/>
      <x:c r="J1" s="185"/>
      <x:c r="K1" s="185"/>
      <x:c r="L1" s="185"/>
      <x:c r="M1" s="185"/>
    </x:row>
    <x:row r="2" spans="1:22" ht="22.5" customHeight="1">
      <x:c r="A2" s="77"/>
      <x:c r="B2" s="77"/>
      <x:c r="C2" s="77"/>
      <x:c r="D2" s="77"/>
      <x:c r="E2" s="77"/>
      <x:c r="F2" s="77"/>
      <x:c r="G2" s="77"/>
      <x:c r="H2" s="77"/>
      <x:c r="I2" s="77"/>
      <x:c r="J2" s="77"/>
      <x:c r="K2" s="78" t="s">
        <x:v>8</x:v>
      </x:c>
      <x:c r="L2" s="166">
        <x:v>46037</x:v>
      </x:c>
      <x:c r="M2" s="167"/>
      <x:c r="S2" s="112" t="s">
        <x:v>44</x:v>
      </x:c>
      <x:c r="T2" s="90">
        <x:v>1</x:v>
      </x:c>
      <x:c r="U2" s="112" t="s">
        <x:v>61</x:v>
      </x:c>
      <x:c r="V2" s="90">
        <x:v>1</x:v>
      </x:c>
    </x:row>
    <x:row r="3" spans="1:22" ht="24.949999999999999" customHeight="1">
      <x:c r="A3" s="20"/>
      <x:c r="B3" s="14" t="s">
        <x:v>53</x:v>
      </x:c>
      <x:c r="C3" s="14" t="s">
        <x:v>2</x:v>
      </x:c>
      <x:c r="D3" s="14" t="s">
        <x:v>0</x:v>
      </x:c>
      <x:c r="E3" s="14" t="s">
        <x:v>10</x:v>
      </x:c>
      <x:c r="F3" s="14" t="s">
        <x:v>9</x:v>
      </x:c>
      <x:c r="G3" s="14" t="s">
        <x:v>6</x:v>
      </x:c>
      <x:c r="H3" s="16" t="s">
        <x:v>57</x:v>
      </x:c>
      <x:c r="I3" s="14" t="s">
        <x:v>2</x:v>
      </x:c>
      <x:c r="J3" s="14" t="s">
        <x:v>0</x:v>
      </x:c>
      <x:c r="K3" s="14" t="s">
        <x:v>10</x:v>
      </x:c>
      <x:c r="L3" s="15" t="s">
        <x:v>9</x:v>
      </x:c>
      <x:c r="M3" s="22" t="s">
        <x:v>13</x:v>
      </x:c>
      <x:c r="S3" s="92" t="s">
        <x:v>65</x:v>
      </x:c>
      <x:c r="T3" s="93"/>
      <x:c r="U3" s="93"/>
      <x:c r="V3" s="93"/>
    </x:row>
    <x:row r="4" spans="1:22" ht="24.949999999999999" customHeight="1">
      <x:c r="A4" s="12">
        <x:v>1</x:v>
      </x:c>
      <x:c r="B4" s="13" t="s">
        <x:v>36</x:v>
      </x:c>
      <x:c r="C4" s="62">
        <x:v>220</x:v>
      </x:c>
      <x:c r="D4" s="62">
        <x:v>181</x:v>
      </x:c>
      <x:c r="E4" s="62">
        <x:v>166</x:v>
      </x:c>
      <x:c r="F4" s="44">
        <x:f>SUM(C4:E4)</x:f>
        <x:v>567</x:v>
      </x:c>
      <x:c r="G4" s="45">
        <x:f>F4/3</x:f>
        <x:v>189</x:v>
      </x:c>
      <x:c r="H4" s="34">
        <x:f t="array" ref="H4:H4">IF(B4="","",IFERROR(INDEX('회원명단 및 기준에버'!D:G,MATCH(B4,'회원명단 및 기준에버'!$C:$C,0),CHOOSE(INT((MONTH($L$2)-1)/3)+1,1,2,3,4)),""))</x:f>
        <x:v>200</x:v>
      </x:c>
      <x:c r="I4" s="38">
        <x:f>IFERROR(C4+-H4,0)</x:f>
        <x:v>20</x:v>
      </x:c>
      <x:c r="J4" s="38">
        <x:f>IFERROR(D4+-H4,0)</x:f>
        <x:v>-19</x:v>
      </x:c>
      <x:c r="K4" s="38">
        <x:f>IFERROR(E4+-H4,0)</x:f>
        <x:v>-34</x:v>
      </x:c>
      <x:c r="L4" s="63">
        <x:f>SUM(I4:K4)</x:f>
        <x:v>-33</x:v>
      </x:c>
      <x:c r="M4" s="39">
        <x:f>IFERROR(G4+-H4,0)</x:f>
        <x:v>-11</x:v>
      </x:c>
      <x:c r="N4" s="19"/>
      <x:c r="S4" s="104">
        <x:f t="shared" ref="S4:S33" si="0">MAX(C4:E4)-MIN(C4:E4)</x:f>
        <x:v>54</x:v>
      </x:c>
      <x:c r="T4" s="99">
        <x:f>IF($B4="",-999999999+A4,IF($V$2=0,(F4*10000+S4*1000+A4),(M4*10000+S4*10+A4)))</x:f>
        <x:v>-109459</x:v>
      </x:c>
      <x:c r="U4" s="105">
        <x:f t="shared" ref="U4:U33" si="1">_xlfn.RANK.EQ(T4,$T$4:$T$33,0)</x:f>
        <x:v>22</x:v>
      </x:c>
      <x:c r="V4" s="106"/>
    </x:row>
    <x:row r="5" spans="1:22" ht="24.949999999999999" customHeight="1">
      <x:c r="A5" s="12">
        <x:v>2</x:v>
      </x:c>
      <x:c r="B5" s="13" t="s">
        <x:v>20</x:v>
      </x:c>
      <x:c r="C5" s="62">
        <x:v>225</x:v>
      </x:c>
      <x:c r="D5" s="62">
        <x:v>162</x:v>
      </x:c>
      <x:c r="E5" s="62">
        <x:v>187</x:v>
      </x:c>
      <x:c r="F5" s="44">
        <x:f>SUM(C5:E5)</x:f>
        <x:v>574</x:v>
      </x:c>
      <x:c r="G5" s="45">
        <x:f>F5/3</x:f>
        <x:v>191.33333333333334</x:v>
      </x:c>
      <x:c r="H5" s="34">
        <x:f t="array" ref="H5:H5">IF(B5="","",IFERROR(INDEX('회원명단 및 기준에버'!D:G,MATCH(B5,'회원명단 및 기준에버'!$C:$C,0),CHOOSE(INT((MONTH($L$2)-1)/3)+1,1,2,3,4)),""))</x:f>
        <x:v>196</x:v>
      </x:c>
      <x:c r="I5" s="38">
        <x:f>IFERROR(C5+-H5,0)</x:f>
        <x:v>29</x:v>
      </x:c>
      <x:c r="J5" s="38">
        <x:f>IFERROR(D5+-H5,0)</x:f>
        <x:v>-34</x:v>
      </x:c>
      <x:c r="K5" s="38">
        <x:f>IFERROR(E5+-H5,0)</x:f>
        <x:v>-9</x:v>
      </x:c>
      <x:c r="L5" s="63">
        <x:f>SUM(I5:K5)</x:f>
        <x:v>-14</x:v>
      </x:c>
      <x:c r="M5" s="39">
        <x:f>IFERROR(G5+-H5,0)</x:f>
        <x:v>-4.6666666666666572</x:v>
      </x:c>
      <x:c r="N5" s="19"/>
      <x:c r="S5" s="107">
        <x:f t="shared" si="0"/>
        <x:v>63</x:v>
      </x:c>
      <x:c r="T5" s="97">
        <x:f t="shared" ref="T5:T33" si="2">IF($B5="",-999999999+A5,IF($V$2=0,(F5*10000+S5*1000+A5),(M5*10000+S5*10+A5)))</x:f>
        <x:v>-46034.66666666657</x:v>
      </x:c>
      <x:c r="U5" s="91">
        <x:f t="shared" si="1"/>
        <x:v>20</x:v>
      </x:c>
      <x:c r="V5" s="108"/>
    </x:row>
    <x:row r="6" spans="1:22" ht="24.949999999999999" customHeight="1">
      <x:c r="A6" s="12">
        <x:v>3</x:v>
      </x:c>
      <x:c r="B6" s="13" t="s">
        <x:v>16</x:v>
      </x:c>
      <x:c r="C6" s="62">
        <x:v>182</x:v>
      </x:c>
      <x:c r="D6" s="62">
        <x:v>178</x:v>
      </x:c>
      <x:c r="E6" s="62">
        <x:v>221</x:v>
      </x:c>
      <x:c r="F6" s="44">
        <x:f>SUM(C6:E6)</x:f>
        <x:v>581</x:v>
      </x:c>
      <x:c r="G6" s="45">
        <x:f>F6/3</x:f>
        <x:v>193.66666666666666</x:v>
      </x:c>
      <x:c r="H6" s="34">
        <x:f t="array" ref="H6:H6">IF(B6="","",IFERROR(INDEX('회원명단 및 기준에버'!D:G,MATCH(B6,'회원명단 및 기준에버'!$C:$C,0),CHOOSE(INT((MONTH($L$2)-1)/3)+1,1,2,3,4)),""))</x:f>
        <x:v>184</x:v>
      </x:c>
      <x:c r="I6" s="38">
        <x:f t="shared" ref="I6:I27" si="3">IFERROR(C6+-H6,0)</x:f>
        <x:v>-2</x:v>
      </x:c>
      <x:c r="J6" s="38">
        <x:f t="shared" ref="J6:J27" si="4">IFERROR(D6+-H6,0)</x:f>
        <x:v>-6</x:v>
      </x:c>
      <x:c r="K6" s="38">
        <x:f t="shared" ref="K6:K27" si="5">IFERROR(E6+-H6,0)</x:f>
        <x:v>37</x:v>
      </x:c>
      <x:c r="L6" s="63">
        <x:f t="shared" ref="L6:L27" si="6">SUM(I6:K6)</x:f>
        <x:v>29</x:v>
      </x:c>
      <x:c r="M6" s="39">
        <x:f t="shared" ref="M6:M27" si="7">IFERROR(G6+-H6,0)</x:f>
        <x:v>9.6666666666666572</x:v>
      </x:c>
      <x:c r="S6" s="107">
        <x:f t="shared" si="0"/>
        <x:v>43</x:v>
      </x:c>
      <x:c r="T6" s="97">
        <x:f t="shared" si="2"/>
        <x:v>97099.66666666657</x:v>
      </x:c>
      <x:c r="U6" s="91">
        <x:f t="shared" si="1"/>
        <x:v>12</x:v>
      </x:c>
      <x:c r="V6" s="108"/>
    </x:row>
    <x:row r="7" spans="1:22" ht="24.949999999999999" customHeight="1">
      <x:c r="A7" s="12">
        <x:v>4</x:v>
      </x:c>
      <x:c r="B7" s="13" t="s">
        <x:v>23</x:v>
      </x:c>
      <x:c r="C7" s="62">
        <x:v>224</x:v>
      </x:c>
      <x:c r="D7" s="62">
        <x:v>203</x:v>
      </x:c>
      <x:c r="E7" s="62">
        <x:v>212</x:v>
      </x:c>
      <x:c r="F7" s="44">
        <x:f>SUM(C7:E7)</x:f>
        <x:v>639</x:v>
      </x:c>
      <x:c r="G7" s="45">
        <x:f>F7/3</x:f>
        <x:v>213</x:v>
      </x:c>
      <x:c r="H7" s="34">
        <x:f t="array" ref="H7:H7">IF(B7="","",IFERROR(INDEX('회원명단 및 기준에버'!D:G,MATCH(B7,'회원명단 및 기준에버'!$C:$C,0),CHOOSE(INT((MONTH($L$2)-1)/3)+1,1,2,3,4)),""))</x:f>
        <x:v>187</x:v>
      </x:c>
      <x:c r="I7" s="38">
        <x:f t="shared" si="3"/>
        <x:v>37</x:v>
      </x:c>
      <x:c r="J7" s="38">
        <x:f t="shared" si="4"/>
        <x:v>16</x:v>
      </x:c>
      <x:c r="K7" s="38">
        <x:f t="shared" si="5"/>
        <x:v>25</x:v>
      </x:c>
      <x:c r="L7" s="63">
        <x:f t="shared" si="6"/>
        <x:v>78</x:v>
      </x:c>
      <x:c r="M7" s="39">
        <x:f t="shared" si="7"/>
        <x:v>26</x:v>
      </x:c>
      <x:c r="S7" s="107">
        <x:f t="shared" si="0"/>
        <x:v>21</x:v>
      </x:c>
      <x:c r="T7" s="97">
        <x:f t="shared" si="2"/>
        <x:v>260214</x:v>
      </x:c>
      <x:c r="U7" s="91">
        <x:f t="shared" si="1"/>
        <x:v>3</x:v>
      </x:c>
      <x:c r="V7" s="108"/>
    </x:row>
    <x:row r="8" spans="1:22" ht="24.949999999999999" customHeight="1">
      <x:c r="A8" s="12">
        <x:v>5</x:v>
      </x:c>
      <x:c r="B8" s="13" t="s">
        <x:v>35</x:v>
      </x:c>
      <x:c r="C8" s="62">
        <x:v>170</x:v>
      </x:c>
      <x:c r="D8" s="62">
        <x:v>176</x:v>
      </x:c>
      <x:c r="E8" s="62">
        <x:v>153</x:v>
      </x:c>
      <x:c r="F8" s="44">
        <x:f t="shared" ref="F8:F27" si="8">SUM(C8:E8)</x:f>
        <x:v>499</x:v>
      </x:c>
      <x:c r="G8" s="45">
        <x:f t="shared" ref="G8:G27" si="9">F8/3</x:f>
        <x:v>166.33333333333334</x:v>
      </x:c>
      <x:c r="H8" s="34">
        <x:f t="array" ref="H8:H8">IF(B8="","",IFERROR(INDEX('회원명단 및 기준에버'!D:G,MATCH(B8,'회원명단 및 기준에버'!$C:$C,0),CHOOSE(INT((MONTH($L$2)-1)/3)+1,1,2,3,4)),""))</x:f>
        <x:v>165</x:v>
      </x:c>
      <x:c r="I8" s="38">
        <x:f t="shared" si="3"/>
        <x:v>5</x:v>
      </x:c>
      <x:c r="J8" s="38">
        <x:f t="shared" si="4"/>
        <x:v>11</x:v>
      </x:c>
      <x:c r="K8" s="38">
        <x:f t="shared" si="5"/>
        <x:v>-12</x:v>
      </x:c>
      <x:c r="L8" s="63">
        <x:f t="shared" si="6"/>
        <x:v>4</x:v>
      </x:c>
      <x:c r="M8" s="39">
        <x:f t="shared" si="7"/>
        <x:v>1.3333333333333428</x:v>
      </x:c>
      <x:c r="S8" s="107">
        <x:f t="shared" si="0"/>
        <x:v>23</x:v>
      </x:c>
      <x:c r="T8" s="97">
        <x:f t="shared" si="2"/>
        <x:v>13568.333333333429</x:v>
      </x:c>
      <x:c r="U8" s="91">
        <x:f t="shared" si="1"/>
        <x:v>15</x:v>
      </x:c>
      <x:c r="V8" s="108"/>
    </x:row>
    <x:row r="9" spans="1:22" ht="24.949999999999999" customHeight="1">
      <x:c r="A9" s="12">
        <x:v>6</x:v>
      </x:c>
      <x:c r="B9" s="13" t="s">
        <x:v>47</x:v>
      </x:c>
      <x:c r="C9" s="62">
        <x:v>237</x:v>
      </x:c>
      <x:c r="D9" s="62">
        <x:v>192</x:v>
      </x:c>
      <x:c r="E9" s="62">
        <x:v>213</x:v>
      </x:c>
      <x:c r="F9" s="44">
        <x:f t="shared" si="8"/>
        <x:v>642</x:v>
      </x:c>
      <x:c r="G9" s="45">
        <x:f t="shared" si="9"/>
        <x:v>214</x:v>
      </x:c>
      <x:c r="H9" s="34">
        <x:f t="array" ref="H9:H9">IF(B9="","",IFERROR(INDEX('회원명단 및 기준에버'!D:G,MATCH(B9,'회원명단 및 기준에버'!$C:$C,0),CHOOSE(INT((MONTH($L$2)-1)/3)+1,1,2,3,4)),""))</x:f>
        <x:v>200</x:v>
      </x:c>
      <x:c r="I9" s="38">
        <x:f t="shared" si="3"/>
        <x:v>37</x:v>
      </x:c>
      <x:c r="J9" s="38">
        <x:f t="shared" si="4"/>
        <x:v>-8</x:v>
      </x:c>
      <x:c r="K9" s="38">
        <x:f t="shared" si="5"/>
        <x:v>13</x:v>
      </x:c>
      <x:c r="L9" s="63">
        <x:f t="shared" si="6"/>
        <x:v>42</x:v>
      </x:c>
      <x:c r="M9" s="39">
        <x:f t="shared" si="7"/>
        <x:v>14</x:v>
      </x:c>
      <x:c r="S9" s="107">
        <x:f t="shared" si="0"/>
        <x:v>45</x:v>
      </x:c>
      <x:c r="T9" s="97">
        <x:f t="shared" si="2"/>
        <x:v>140456</x:v>
      </x:c>
      <x:c r="U9" s="91">
        <x:f t="shared" si="1"/>
        <x:v>5</x:v>
      </x:c>
      <x:c r="V9" s="108"/>
    </x:row>
    <x:row r="10" spans="1:22" ht="24.949999999999999" customHeight="1">
      <x:c r="A10" s="12">
        <x:v>7</x:v>
      </x:c>
      <x:c r="B10" s="13" t="s">
        <x:v>34</x:v>
      </x:c>
      <x:c r="C10" s="62">
        <x:v>200</x:v>
      </x:c>
      <x:c r="D10" s="62">
        <x:v>160</x:v>
      </x:c>
      <x:c r="E10" s="62">
        <x:v>205</x:v>
      </x:c>
      <x:c r="F10" s="44">
        <x:f t="shared" si="8"/>
        <x:v>565</x:v>
      </x:c>
      <x:c r="G10" s="45">
        <x:f t="shared" si="9"/>
        <x:v>188.33333333333334</x:v>
      </x:c>
      <x:c r="H10" s="34">
        <x:f t="array" ref="H10:H10">IF(B10="","",IFERROR(INDEX('회원명단 및 기준에버'!D:G,MATCH(B10,'회원명단 및 기준에버'!$C:$C,0),CHOOSE(INT((MONTH($L$2)-1)/3)+1,1,2,3,4)),""))</x:f>
        <x:v>183</x:v>
      </x:c>
      <x:c r="I10" s="38">
        <x:f t="shared" si="3"/>
        <x:v>17</x:v>
      </x:c>
      <x:c r="J10" s="38">
        <x:f t="shared" si="4"/>
        <x:v>-23</x:v>
      </x:c>
      <x:c r="K10" s="38">
        <x:f t="shared" si="5"/>
        <x:v>22</x:v>
      </x:c>
      <x:c r="L10" s="63">
        <x:f t="shared" si="6"/>
        <x:v>16</x:v>
      </x:c>
      <x:c r="M10" s="39">
        <x:f t="shared" si="7"/>
        <x:v>5.3333333333333428</x:v>
      </x:c>
      <x:c r="S10" s="107">
        <x:f t="shared" si="0"/>
        <x:v>45</x:v>
      </x:c>
      <x:c r="T10" s="97">
        <x:f t="shared" si="2"/>
        <x:v>53790.33333333343</x:v>
      </x:c>
      <x:c r="U10" s="91">
        <x:f t="shared" si="1"/>
        <x:v>14</x:v>
      </x:c>
      <x:c r="V10" s="108"/>
    </x:row>
    <x:row r="11" spans="1:22" ht="24.949999999999999" customHeight="1">
      <x:c r="A11" s="12">
        <x:v>8</x:v>
      </x:c>
      <x:c r="B11" s="13" t="s">
        <x:v>48</x:v>
      </x:c>
      <x:c r="C11" s="62">
        <x:v>205</x:v>
      </x:c>
      <x:c r="D11" s="62">
        <x:v>219</x:v>
      </x:c>
      <x:c r="E11" s="62">
        <x:v>198</x:v>
      </x:c>
      <x:c r="F11" s="44">
        <x:f t="shared" si="8"/>
        <x:v>622</x:v>
      </x:c>
      <x:c r="G11" s="45">
        <x:f t="shared" si="9"/>
        <x:v>207.33333333333334</x:v>
      </x:c>
      <x:c r="H11" s="34">
        <x:f t="array" ref="H11:H11">IF(B11="","",IFERROR(INDEX('회원명단 및 기준에버'!D:G,MATCH(B11,'회원명단 및 기준에버'!$C:$C,0),CHOOSE(INT((MONTH($L$2)-1)/3)+1,1,2,3,4)),""))</x:f>
        <x:v>191</x:v>
      </x:c>
      <x:c r="I11" s="38">
        <x:f t="shared" si="3"/>
        <x:v>14</x:v>
      </x:c>
      <x:c r="J11" s="38">
        <x:f t="shared" si="4"/>
        <x:v>28</x:v>
      </x:c>
      <x:c r="K11" s="38">
        <x:f t="shared" si="5"/>
        <x:v>7</x:v>
      </x:c>
      <x:c r="L11" s="63">
        <x:f t="shared" si="6"/>
        <x:v>49</x:v>
      </x:c>
      <x:c r="M11" s="39">
        <x:f t="shared" si="7"/>
        <x:v>16.333333333333343</x:v>
      </x:c>
      <x:c r="S11" s="107">
        <x:f t="shared" si="0"/>
        <x:v>21</x:v>
      </x:c>
      <x:c r="T11" s="97">
        <x:f t="shared" si="2"/>
        <x:v>163551.33333333343</x:v>
      </x:c>
      <x:c r="U11" s="91">
        <x:f t="shared" si="1"/>
        <x:v>4</x:v>
      </x:c>
      <x:c r="V11" s="108"/>
    </x:row>
    <x:row r="12" spans="1:22" ht="24.949999999999999" customHeight="1">
      <x:c r="A12" s="12">
        <x:v>9</x:v>
      </x:c>
      <x:c r="B12" s="13" t="s">
        <x:v>42</x:v>
      </x:c>
      <x:c r="C12" s="62">
        <x:v>168</x:v>
      </x:c>
      <x:c r="D12" s="62">
        <x:v>180</x:v>
      </x:c>
      <x:c r="E12" s="62">
        <x:v>178</x:v>
      </x:c>
      <x:c r="F12" s="44">
        <x:f t="shared" si="8"/>
        <x:v>526</x:v>
      </x:c>
      <x:c r="G12" s="45">
        <x:f t="shared" si="9"/>
        <x:v>175.33333333333334</x:v>
      </x:c>
      <x:c r="H12" s="34">
        <x:f t="array" ref="H12:H12">IF(B12="","",IFERROR(INDEX('회원명단 및 기준에버'!D:G,MATCH(B12,'회원명단 및 기준에버'!$C:$C,0),CHOOSE(INT((MONTH($L$2)-1)/3)+1,1,2,3,4)),""))</x:f>
        <x:v>184</x:v>
      </x:c>
      <x:c r="I12" s="38">
        <x:f t="shared" si="3"/>
        <x:v>-16</x:v>
      </x:c>
      <x:c r="J12" s="38">
        <x:f t="shared" si="4"/>
        <x:v>-4</x:v>
      </x:c>
      <x:c r="K12" s="38">
        <x:f t="shared" si="5"/>
        <x:v>-6</x:v>
      </x:c>
      <x:c r="L12" s="63">
        <x:f t="shared" si="6"/>
        <x:v>-26</x:v>
      </x:c>
      <x:c r="M12" s="39">
        <x:f t="shared" si="7"/>
        <x:v>-8.6666666666666572</x:v>
      </x:c>
      <x:c r="S12" s="107">
        <x:f t="shared" si="0"/>
        <x:v>12</x:v>
      </x:c>
      <x:c r="T12" s="97">
        <x:f t="shared" si="2"/>
        <x:v>-86537.66666666657</x:v>
      </x:c>
      <x:c r="U12" s="91">
        <x:f t="shared" si="1"/>
        <x:v>21</x:v>
      </x:c>
      <x:c r="V12" s="108"/>
    </x:row>
    <x:row r="13" spans="1:22" ht="24.949999999999999" customHeight="1">
      <x:c r="A13" s="12">
        <x:v>10</x:v>
      </x:c>
      <x:c r="B13" s="13">
        <x:v>0</x:v>
      </x:c>
      <x:c r="C13" s="62">
        <x:v>0</x:v>
      </x:c>
      <x:c r="D13" s="62">
        <x:v>0</x:v>
      </x:c>
      <x:c r="E13" s="62">
        <x:v>0</x:v>
      </x:c>
      <x:c r="F13" s="44">
        <x:f t="shared" si="8"/>
        <x:v>0</x:v>
      </x:c>
      <x:c r="G13" s="45">
        <x:f t="shared" si="9"/>
        <x:v>0</x:v>
      </x:c>
      <x:c r="H13" s="34" t="str">
        <x:f t="array" ref="H13:H13">IF(B13="","",IFERROR(INDEX('회원명단 및 기준에버'!D:G,MATCH(B13,'회원명단 및 기준에버'!$C:$C,0),CHOOSE(INT((MONTH($L$2)-1)/3)+1,1,2,3,4)),""))</x:f>
        <x:v/>
      </x:c>
      <x:c r="I13" s="38">
        <x:f t="shared" si="3"/>
        <x:v>0</x:v>
      </x:c>
      <x:c r="J13" s="38">
        <x:f t="shared" si="4"/>
        <x:v>0</x:v>
      </x:c>
      <x:c r="K13" s="38">
        <x:f t="shared" si="5"/>
        <x:v>0</x:v>
      </x:c>
      <x:c r="L13" s="63">
        <x:f t="shared" si="6"/>
        <x:v>0</x:v>
      </x:c>
      <x:c r="M13" s="39">
        <x:f t="shared" si="7"/>
        <x:v>0</x:v>
      </x:c>
      <x:c r="S13" s="107">
        <x:f t="shared" si="0"/>
        <x:v>0</x:v>
      </x:c>
      <x:c r="T13" s="97">
        <x:f t="shared" si="2"/>
        <x:v>10</x:v>
      </x:c>
      <x:c r="U13" s="91">
        <x:f t="shared" si="1"/>
        <x:v>16</x:v>
      </x:c>
      <x:c r="V13" s="108"/>
    </x:row>
    <x:row r="14" spans="1:22" ht="24.949999999999999" customHeight="1">
      <x:c r="A14" s="12">
        <x:v>11</x:v>
      </x:c>
      <x:c r="B14" s="13" t="s">
        <x:v>39</x:v>
      </x:c>
      <x:c r="C14" s="62">
        <x:v>172</x:v>
      </x:c>
      <x:c r="D14" s="62">
        <x:v>222</x:v>
      </x:c>
      <x:c r="E14" s="62">
        <x:v>242</x:v>
      </x:c>
      <x:c r="F14" s="44">
        <x:f t="shared" si="8"/>
        <x:v>636</x:v>
      </x:c>
      <x:c r="G14" s="45">
        <x:f t="shared" si="9"/>
        <x:v>212</x:v>
      </x:c>
      <x:c r="H14" s="34">
        <x:f t="array" ref="H14:H14">IF(B14="","",IFERROR(INDEX('회원명단 및 기준에버'!D:G,MATCH(B14,'회원명단 및 기준에버'!$C:$C,0),CHOOSE(INT((MONTH($L$2)-1)/3)+1,1,2,3,4)),""))</x:f>
        <x:v>200</x:v>
      </x:c>
      <x:c r="I14" s="38">
        <x:f t="shared" si="3"/>
        <x:v>-28</x:v>
      </x:c>
      <x:c r="J14" s="38">
        <x:f t="shared" si="4"/>
        <x:v>22</x:v>
      </x:c>
      <x:c r="K14" s="38">
        <x:f t="shared" si="5"/>
        <x:v>42</x:v>
      </x:c>
      <x:c r="L14" s="63">
        <x:f t="shared" si="6"/>
        <x:v>36</x:v>
      </x:c>
      <x:c r="M14" s="39">
        <x:f t="shared" si="7"/>
        <x:v>12</x:v>
      </x:c>
      <x:c r="S14" s="107">
        <x:f t="shared" si="0"/>
        <x:v>70</x:v>
      </x:c>
      <x:c r="T14" s="97">
        <x:f t="shared" si="2"/>
        <x:v>120711</x:v>
      </x:c>
      <x:c r="U14" s="91">
        <x:f t="shared" si="1"/>
        <x:v>8</x:v>
      </x:c>
      <x:c r="V14" s="108"/>
    </x:row>
    <x:row r="15" spans="1:22" ht="24.949999999999999" customHeight="1">
      <x:c r="A15" s="12">
        <x:v>12</x:v>
      </x:c>
      <x:c r="B15" s="13" t="s">
        <x:v>46</x:v>
      </x:c>
      <x:c r="C15" s="62">
        <x:v>244</x:v>
      </x:c>
      <x:c r="D15" s="62">
        <x:v>215</x:v>
      </x:c>
      <x:c r="E15" s="62">
        <x:v>179</x:v>
      </x:c>
      <x:c r="F15" s="44">
        <x:f t="shared" si="8"/>
        <x:v>638</x:v>
      </x:c>
      <x:c r="G15" s="45">
        <x:f t="shared" si="9"/>
        <x:v>212.66666666666666</x:v>
      </x:c>
      <x:c r="H15" s="34">
        <x:f t="array" ref="H15:H15">IF(B15="","",IFERROR(INDEX('회원명단 및 기준에버'!D:G,MATCH(B15,'회원명단 및 기준에버'!$C:$C,0),CHOOSE(INT((MONTH($L$2)-1)/3)+1,1,2,3,4)),""))</x:f>
        <x:v>200</x:v>
      </x:c>
      <x:c r="I15" s="38">
        <x:f t="shared" si="3"/>
        <x:v>44</x:v>
      </x:c>
      <x:c r="J15" s="38">
        <x:f t="shared" si="4"/>
        <x:v>15</x:v>
      </x:c>
      <x:c r="K15" s="38">
        <x:f t="shared" si="5"/>
        <x:v>-21</x:v>
      </x:c>
      <x:c r="L15" s="63">
        <x:f t="shared" si="6"/>
        <x:v>38</x:v>
      </x:c>
      <x:c r="M15" s="39">
        <x:f t="shared" si="7"/>
        <x:v>12.666666666666657</x:v>
      </x:c>
      <x:c r="S15" s="107">
        <x:f t="shared" si="0"/>
        <x:v>65</x:v>
      </x:c>
      <x:c r="T15" s="97">
        <x:f t="shared" si="2"/>
        <x:v>127328.66666666657</x:v>
      </x:c>
      <x:c r="U15" s="91">
        <x:f t="shared" si="1"/>
        <x:v>7</x:v>
      </x:c>
      <x:c r="V15" s="108"/>
    </x:row>
    <x:row r="16" spans="1:22" ht="24.949999999999999" customHeight="1">
      <x:c r="A16" s="12">
        <x:v>13</x:v>
      </x:c>
      <x:c r="B16" s="13" t="s">
        <x:v>50</x:v>
      </x:c>
      <x:c r="C16" s="62">
        <x:v>247</x:v>
      </x:c>
      <x:c r="D16" s="62">
        <x:v>212</x:v>
      </x:c>
      <x:c r="E16" s="62">
        <x:v>250</x:v>
      </x:c>
      <x:c r="F16" s="44">
        <x:f t="shared" si="8"/>
        <x:v>709</x:v>
      </x:c>
      <x:c r="G16" s="45">
        <x:f t="shared" si="9"/>
        <x:v>236.33333333333334</x:v>
      </x:c>
      <x:c r="H16" s="34">
        <x:f t="array" ref="H16:H16">IF(B16="","",IFERROR(INDEX('회원명단 및 기준에버'!D:G,MATCH(B16,'회원명단 및 기준에버'!$C:$C,0),CHOOSE(INT((MONTH($L$2)-1)/3)+1,1,2,3,4)),""))</x:f>
        <x:v>195</x:v>
      </x:c>
      <x:c r="I16" s="38">
        <x:f t="shared" si="3"/>
        <x:v>52</x:v>
      </x:c>
      <x:c r="J16" s="38">
        <x:f t="shared" si="4"/>
        <x:v>17</x:v>
      </x:c>
      <x:c r="K16" s="38">
        <x:f t="shared" si="5"/>
        <x:v>55</x:v>
      </x:c>
      <x:c r="L16" s="63">
        <x:f t="shared" si="6"/>
        <x:v>124</x:v>
      </x:c>
      <x:c r="M16" s="39">
        <x:f t="shared" si="7"/>
        <x:v>41.333333333333343</x:v>
      </x:c>
      <x:c r="S16" s="107">
        <x:f t="shared" si="0"/>
        <x:v>38</x:v>
      </x:c>
      <x:c r="T16" s="97">
        <x:f t="shared" si="2"/>
        <x:v>413726.33333333343</x:v>
      </x:c>
      <x:c r="U16" s="91">
        <x:f t="shared" si="1"/>
        <x:v>2</x:v>
      </x:c>
      <x:c r="V16" s="108"/>
    </x:row>
    <x:row r="17" spans="1:22" ht="24.949999999999999" customHeight="1">
      <x:c r="A17" s="12">
        <x:v>14</x:v>
      </x:c>
      <x:c r="B17" s="13" t="s">
        <x:v>56</x:v>
      </x:c>
      <x:c r="C17" s="62">
        <x:v>219</x:v>
      </x:c>
      <x:c r="D17" s="62">
        <x:v>215</x:v>
      </x:c>
      <x:c r="E17" s="62">
        <x:v>193</x:v>
      </x:c>
      <x:c r="F17" s="44">
        <x:f t="shared" si="8"/>
        <x:v>627</x:v>
      </x:c>
      <x:c r="G17" s="45">
        <x:f t="shared" si="9"/>
        <x:v>209</x:v>
      </x:c>
      <x:c r="H17" s="34">
        <x:f t="array" ref="H17:H17">IF(B17="","",IFERROR(INDEX('회원명단 및 기준에버'!D:G,MATCH(B17,'회원명단 및 기준에버'!$C:$C,0),CHOOSE(INT((MONTH($L$2)-1)/3)+1,1,2,3,4)),""))</x:f>
        <x:v>198</x:v>
      </x:c>
      <x:c r="I17" s="38">
        <x:f t="shared" si="3"/>
        <x:v>21</x:v>
      </x:c>
      <x:c r="J17" s="38">
        <x:f t="shared" si="4"/>
        <x:v>17</x:v>
      </x:c>
      <x:c r="K17" s="38">
        <x:f t="shared" si="5"/>
        <x:v>-5</x:v>
      </x:c>
      <x:c r="L17" s="63">
        <x:f t="shared" si="6"/>
        <x:v>33</x:v>
      </x:c>
      <x:c r="M17" s="39">
        <x:f t="shared" si="7"/>
        <x:v>11</x:v>
      </x:c>
      <x:c r="S17" s="107">
        <x:f t="shared" si="0"/>
        <x:v>26</x:v>
      </x:c>
      <x:c r="T17" s="97">
        <x:f t="shared" si="2"/>
        <x:v>110274</x:v>
      </x:c>
      <x:c r="U17" s="91">
        <x:f t="shared" si="1"/>
        <x:v>11</x:v>
      </x:c>
      <x:c r="V17" s="108"/>
    </x:row>
    <x:row r="18" spans="1:22" ht="24.949999999999999" customHeight="1">
      <x:c r="A18" s="12">
        <x:v>15</x:v>
      </x:c>
      <x:c r="B18" s="13" t="s">
        <x:v>27</x:v>
      </x:c>
      <x:c r="C18" s="62">
        <x:v>190</x:v>
      </x:c>
      <x:c r="D18" s="62">
        <x:v>168</x:v>
      </x:c>
      <x:c r="E18" s="62">
        <x:v>151</x:v>
      </x:c>
      <x:c r="F18" s="44">
        <x:f t="shared" si="8"/>
        <x:v>509</x:v>
      </x:c>
      <x:c r="G18" s="45">
        <x:f t="shared" si="9"/>
        <x:v>169.66666666666666</x:v>
      </x:c>
      <x:c r="H18" s="34">
        <x:f t="array" ref="H18:H18">IF(B18="","",IFERROR(INDEX('회원명단 및 기준에버'!D:G,MATCH(B18,'회원명단 및 기준에버'!$C:$C,0),CHOOSE(INT((MONTH($L$2)-1)/3)+1,1,2,3,4)),""))</x:f>
        <x:v>171</x:v>
      </x:c>
      <x:c r="I18" s="38">
        <x:f t="shared" si="3"/>
        <x:v>19</x:v>
      </x:c>
      <x:c r="J18" s="38">
        <x:f t="shared" si="4"/>
        <x:v>-3</x:v>
      </x:c>
      <x:c r="K18" s="38">
        <x:f t="shared" si="5"/>
        <x:v>-20</x:v>
      </x:c>
      <x:c r="L18" s="63">
        <x:f t="shared" si="6"/>
        <x:v>-4</x:v>
      </x:c>
      <x:c r="M18" s="39">
        <x:f t="shared" si="7"/>
        <x:v>-1.3333333333333428</x:v>
      </x:c>
      <x:c r="S18" s="107">
        <x:f t="shared" si="0"/>
        <x:v>39</x:v>
      </x:c>
      <x:c r="T18" s="97">
        <x:f t="shared" si="2"/>
        <x:v>-12928.333333333429</x:v>
      </x:c>
      <x:c r="U18" s="91">
        <x:f t="shared" si="1"/>
        <x:v>17</x:v>
      </x:c>
      <x:c r="V18" s="108"/>
    </x:row>
    <x:row r="19" spans="1:22" ht="24.949999999999999" customHeight="1">
      <x:c r="A19" s="12">
        <x:v>16</x:v>
      </x:c>
      <x:c r="B19" s="13" t="s">
        <x:v>37</x:v>
      </x:c>
      <x:c r="C19" s="62">
        <x:v>204</x:v>
      </x:c>
      <x:c r="D19" s="62">
        <x:v>196</x:v>
      </x:c>
      <x:c r="E19" s="62">
        <x:v>235</x:v>
      </x:c>
      <x:c r="F19" s="44">
        <x:f t="shared" si="8"/>
        <x:v>635</x:v>
      </x:c>
      <x:c r="G19" s="45">
        <x:f t="shared" si="9"/>
        <x:v>211.66666666666666</x:v>
      </x:c>
      <x:c r="H19" s="34">
        <x:f t="array" ref="H19:H19">IF(B19="","",IFERROR(INDEX('회원명단 및 기준에버'!D:G,MATCH(B19,'회원명단 및 기준에버'!$C:$C,0),CHOOSE(INT((MONTH($L$2)-1)/3)+1,1,2,3,4)),""))</x:f>
        <x:v>200</x:v>
      </x:c>
      <x:c r="I19" s="38">
        <x:f t="shared" si="3"/>
        <x:v>4</x:v>
      </x:c>
      <x:c r="J19" s="38">
        <x:f t="shared" si="4"/>
        <x:v>-4</x:v>
      </x:c>
      <x:c r="K19" s="38">
        <x:f t="shared" si="5"/>
        <x:v>35</x:v>
      </x:c>
      <x:c r="L19" s="63">
        <x:f t="shared" si="6"/>
        <x:v>35</x:v>
      </x:c>
      <x:c r="M19" s="39">
        <x:f t="shared" si="7"/>
        <x:v>11.666666666666657</x:v>
      </x:c>
      <x:c r="S19" s="107">
        <x:f t="shared" si="0"/>
        <x:v>39</x:v>
      </x:c>
      <x:c r="T19" s="97">
        <x:f t="shared" si="2"/>
        <x:v>117072.66666666657</x:v>
      </x:c>
      <x:c r="U19" s="91">
        <x:f t="shared" si="1"/>
        <x:v>10</x:v>
      </x:c>
      <x:c r="V19" s="108"/>
    </x:row>
    <x:row r="20" spans="1:22" ht="24.949999999999999" customHeight="1">
      <x:c r="A20" s="12">
        <x:v>17</x:v>
      </x:c>
      <x:c r="B20" s="13" t="s">
        <x:v>18</x:v>
      </x:c>
      <x:c r="C20" s="62">
        <x:v>247</x:v>
      </x:c>
      <x:c r="D20" s="62">
        <x:v>189</x:v>
      </x:c>
      <x:c r="E20" s="62">
        <x:v>175</x:v>
      </x:c>
      <x:c r="F20" s="44">
        <x:f t="shared" si="8"/>
        <x:v>611</x:v>
      </x:c>
      <x:c r="G20" s="45">
        <x:f t="shared" si="9"/>
        <x:v>203.66666666666666</x:v>
      </x:c>
      <x:c r="H20" s="34">
        <x:f t="array" ref="H20:H20">IF(B20="","",IFERROR(INDEX('회원명단 및 기준에버'!D:G,MATCH(B20,'회원명단 및 기준에버'!$C:$C,0),CHOOSE(INT((MONTH($L$2)-1)/3)+1,1,2,3,4)),""))</x:f>
        <x:v>192</x:v>
      </x:c>
      <x:c r="I20" s="38">
        <x:f t="shared" si="3"/>
        <x:v>55</x:v>
      </x:c>
      <x:c r="J20" s="38">
        <x:f t="shared" si="4"/>
        <x:v>-3</x:v>
      </x:c>
      <x:c r="K20" s="38">
        <x:f t="shared" si="5"/>
        <x:v>-17</x:v>
      </x:c>
      <x:c r="L20" s="63">
        <x:f t="shared" si="6"/>
        <x:v>35</x:v>
      </x:c>
      <x:c r="M20" s="39">
        <x:f t="shared" si="7"/>
        <x:v>11.666666666666657</x:v>
      </x:c>
      <x:c r="S20" s="107">
        <x:f t="shared" si="0"/>
        <x:v>72</x:v>
      </x:c>
      <x:c r="T20" s="97">
        <x:f t="shared" si="2"/>
        <x:v>117403.66666666657</x:v>
      </x:c>
      <x:c r="U20" s="91">
        <x:f t="shared" si="1"/>
        <x:v>9</x:v>
      </x:c>
      <x:c r="V20" s="108"/>
    </x:row>
    <x:row r="21" spans="1:22" ht="24.949999999999999" customHeight="1">
      <x:c r="A21" s="12">
        <x:v>18</x:v>
      </x:c>
      <x:c r="B21" s="13" t="s">
        <x:v>38</x:v>
      </x:c>
      <x:c r="C21" s="62">
        <x:v>199</x:v>
      </x:c>
      <x:c r="D21" s="62">
        <x:v>132</x:v>
      </x:c>
      <x:c r="E21" s="62">
        <x:v>184</x:v>
      </x:c>
      <x:c r="F21" s="44">
        <x:f t="shared" si="8"/>
        <x:v>515</x:v>
      </x:c>
      <x:c r="G21" s="45">
        <x:f t="shared" si="9"/>
        <x:v>171.66666666666666</x:v>
      </x:c>
      <x:c r="H21" s="34">
        <x:f t="array" ref="H21:H21">IF(B21="","",IFERROR(INDEX('회원명단 및 기준에버'!D:G,MATCH(B21,'회원명단 및 기준에버'!$C:$C,0),CHOOSE(INT((MONTH($L$2)-1)/3)+1,1,2,3,4)),""))</x:f>
        <x:v>190</x:v>
      </x:c>
      <x:c r="I21" s="38">
        <x:f t="shared" si="3"/>
        <x:v>9</x:v>
      </x:c>
      <x:c r="J21" s="38">
        <x:f t="shared" si="4"/>
        <x:v>-58</x:v>
      </x:c>
      <x:c r="K21" s="38">
        <x:f t="shared" si="5"/>
        <x:v>-6</x:v>
      </x:c>
      <x:c r="L21" s="63">
        <x:f t="shared" si="6"/>
        <x:v>-55</x:v>
      </x:c>
      <x:c r="M21" s="39">
        <x:f t="shared" si="7"/>
        <x:v>-18.333333333333343</x:v>
      </x:c>
      <x:c r="S21" s="107">
        <x:f t="shared" si="0"/>
        <x:v>67</x:v>
      </x:c>
      <x:c r="T21" s="97">
        <x:f t="shared" si="2"/>
        <x:v>-182645.33333333343</x:v>
      </x:c>
      <x:c r="U21" s="91">
        <x:f t="shared" si="1"/>
        <x:v>24</x:v>
      </x:c>
      <x:c r="V21" s="108"/>
    </x:row>
    <x:row r="22" spans="1:22" ht="24.949999999999999" customHeight="1">
      <x:c r="A22" s="12">
        <x:v>19</x:v>
      </x:c>
      <x:c r="B22" s="13" t="s">
        <x:v>43</x:v>
      </x:c>
      <x:c r="C22" s="62">
        <x:v>171</x:v>
      </x:c>
      <x:c r="D22" s="62">
        <x:v>157</x:v>
      </x:c>
      <x:c r="E22" s="62">
        <x:v>226</x:v>
      </x:c>
      <x:c r="F22" s="44">
        <x:f t="shared" si="8"/>
        <x:v>554</x:v>
      </x:c>
      <x:c r="G22" s="45">
        <x:f t="shared" si="9"/>
        <x:v>184.66666666666666</x:v>
      </x:c>
      <x:c r="H22" s="34">
        <x:f t="array" ref="H22:H22">IF(B22="","",IFERROR(INDEX('회원명단 및 기준에버'!D:G,MATCH(B22,'회원명단 및 기준에버'!$C:$C,0),CHOOSE(INT((MONTH($L$2)-1)/3)+1,1,2,3,4)),""))</x:f>
        <x:v>188</x:v>
      </x:c>
      <x:c r="I22" s="38">
        <x:f t="shared" si="3"/>
        <x:v>-17</x:v>
      </x:c>
      <x:c r="J22" s="38">
        <x:f t="shared" si="4"/>
        <x:v>-31</x:v>
      </x:c>
      <x:c r="K22" s="38">
        <x:f t="shared" si="5"/>
        <x:v>38</x:v>
      </x:c>
      <x:c r="L22" s="63">
        <x:f t="shared" si="6"/>
        <x:v>-10</x:v>
      </x:c>
      <x:c r="M22" s="39">
        <x:f t="shared" si="7"/>
        <x:v>-3.3333333333333428</x:v>
      </x:c>
      <x:c r="S22" s="107">
        <x:f t="shared" si="0"/>
        <x:v>69</x:v>
      </x:c>
      <x:c r="T22" s="97">
        <x:f t="shared" si="2"/>
        <x:v>-32624.33333333343</x:v>
      </x:c>
      <x:c r="U22" s="91">
        <x:f t="shared" si="1"/>
        <x:v>18</x:v>
      </x:c>
      <x:c r="V22" s="108"/>
    </x:row>
    <x:row r="23" spans="1:22" ht="24.949999999999999" customHeight="1">
      <x:c r="A23" s="12">
        <x:v>20</x:v>
      </x:c>
      <x:c r="B23" s="13" t="s">
        <x:v>45</x:v>
      </x:c>
      <x:c r="C23" s="62">
        <x:v>171</x:v>
      </x:c>
      <x:c r="D23" s="62">
        <x:v>214</x:v>
      </x:c>
      <x:c r="E23" s="62">
        <x:v>126</x:v>
      </x:c>
      <x:c r="F23" s="44">
        <x:f t="shared" si="8"/>
        <x:v>511</x:v>
      </x:c>
      <x:c r="G23" s="45">
        <x:f t="shared" si="9"/>
        <x:v>170.33333333333334</x:v>
      </x:c>
      <x:c r="H23" s="34">
        <x:f t="array" ref="H23:H23">IF(B23="","",IFERROR(INDEX('회원명단 및 기준에버'!D:G,MATCH(B23,'회원명단 및 기준에버'!$C:$C,0),CHOOSE(INT((MONTH($L$2)-1)/3)+1,1,2,3,4)),""))</x:f>
        <x:v>182</x:v>
      </x:c>
      <x:c r="I23" s="38">
        <x:f t="shared" si="3"/>
        <x:v>-11</x:v>
      </x:c>
      <x:c r="J23" s="38">
        <x:f t="shared" si="4"/>
        <x:v>32</x:v>
      </x:c>
      <x:c r="K23" s="38">
        <x:f t="shared" si="5"/>
        <x:v>-56</x:v>
      </x:c>
      <x:c r="L23" s="63">
        <x:f t="shared" si="6"/>
        <x:v>-35</x:v>
      </x:c>
      <x:c r="M23" s="39">
        <x:f t="shared" si="7"/>
        <x:v>-11.666666666666657</x:v>
      </x:c>
      <x:c r="S23" s="107">
        <x:f t="shared" si="0"/>
        <x:v>88</x:v>
      </x:c>
      <x:c r="T23" s="97">
        <x:f t="shared" si="2"/>
        <x:v>-115766.66666666657</x:v>
      </x:c>
      <x:c r="U23" s="91">
        <x:f t="shared" si="1"/>
        <x:v>23</x:v>
      </x:c>
      <x:c r="V23" s="108"/>
    </x:row>
    <x:row r="24" spans="1:22" ht="24.949999999999999" customHeight="1">
      <x:c r="A24" s="12">
        <x:v>21</x:v>
      </x:c>
      <x:c r="B24" s="13" t="s">
        <x:v>54</x:v>
      </x:c>
      <x:c r="C24" s="62">
        <x:v>267</x:v>
      </x:c>
      <x:c r="D24" s="62">
        <x:v>267</x:v>
      </x:c>
      <x:c r="E24" s="62">
        <x:v>202</x:v>
      </x:c>
      <x:c r="F24" s="44">
        <x:f t="shared" si="8"/>
        <x:v>736</x:v>
      </x:c>
      <x:c r="G24" s="45">
        <x:f t="shared" si="9"/>
        <x:v>245.33333333333334</x:v>
      </x:c>
      <x:c r="H24" s="34">
        <x:f t="array" ref="H24:H24">IF(B24="","",IFERROR(INDEX('회원명단 및 기준에버'!D:G,MATCH(B24,'회원명단 및 기준에버'!$C:$C,0),CHOOSE(INT((MONTH($L$2)-1)/3)+1,1,2,3,4)),""))</x:f>
        <x:v>200</x:v>
      </x:c>
      <x:c r="I24" s="38">
        <x:f t="shared" si="3"/>
        <x:v>67</x:v>
      </x:c>
      <x:c r="J24" s="38">
        <x:f t="shared" si="4"/>
        <x:v>67</x:v>
      </x:c>
      <x:c r="K24" s="38">
        <x:f t="shared" si="5"/>
        <x:v>2</x:v>
      </x:c>
      <x:c r="L24" s="63">
        <x:f t="shared" si="6"/>
        <x:v>136</x:v>
      </x:c>
      <x:c r="M24" s="39">
        <x:f t="shared" si="7"/>
        <x:v>45.333333333333343</x:v>
      </x:c>
      <x:c r="S24" s="107">
        <x:f t="shared" si="0"/>
        <x:v>65</x:v>
      </x:c>
      <x:c r="T24" s="97">
        <x:f t="shared" si="2"/>
        <x:v>454004.33333333343</x:v>
      </x:c>
      <x:c r="U24" s="91">
        <x:f t="shared" si="1"/>
        <x:v>1</x:v>
      </x:c>
      <x:c r="V24" s="108"/>
    </x:row>
    <x:row r="25" spans="1:22" ht="24.949999999999999" customHeight="1">
      <x:c r="A25" s="12">
        <x:v>22</x:v>
      </x:c>
      <x:c r="B25" s="13" t="s">
        <x:v>22</x:v>
      </x:c>
      <x:c r="C25" s="62">
        <x:v>195</x:v>
      </x:c>
      <x:c r="D25" s="62">
        <x:v>189</x:v>
      </x:c>
      <x:c r="E25" s="62">
        <x:v>187</x:v>
      </x:c>
      <x:c r="F25" s="44">
        <x:f t="shared" si="8"/>
        <x:v>571</x:v>
      </x:c>
      <x:c r="G25" s="45">
        <x:f t="shared" si="9"/>
        <x:v>190.33333333333334</x:v>
      </x:c>
      <x:c r="H25" s="34">
        <x:f t="array" ref="H25:H25">IF(B25="","",IFERROR(INDEX('회원명단 및 기준에버'!D:G,MATCH(B25,'회원명단 및 기준에버'!$C:$C,0),CHOOSE(INT((MONTH($L$2)-1)/3)+1,1,2,3,4)),""))</x:f>
        <x:v>194</x:v>
      </x:c>
      <x:c r="I25" s="38">
        <x:f t="shared" si="3"/>
        <x:v>1</x:v>
      </x:c>
      <x:c r="J25" s="38">
        <x:f t="shared" si="4"/>
        <x:v>-5</x:v>
      </x:c>
      <x:c r="K25" s="38">
        <x:f t="shared" si="5"/>
        <x:v>-7</x:v>
      </x:c>
      <x:c r="L25" s="63">
        <x:f t="shared" si="6"/>
        <x:v>-11</x:v>
      </x:c>
      <x:c r="M25" s="39">
        <x:f t="shared" si="7"/>
        <x:v>-3.6666666666666572</x:v>
      </x:c>
      <x:c r="S25" s="107">
        <x:f t="shared" si="0"/>
        <x:v>8</x:v>
      </x:c>
      <x:c r="T25" s="97">
        <x:f t="shared" si="2"/>
        <x:v>-36564.66666666657</x:v>
      </x:c>
      <x:c r="U25" s="91">
        <x:f t="shared" si="1"/>
        <x:v>19</x:v>
      </x:c>
      <x:c r="V25" s="108"/>
    </x:row>
    <x:row r="26" spans="1:22" ht="24.949999999999999" customHeight="1">
      <x:c r="A26" s="12">
        <x:v>23</x:v>
      </x:c>
      <x:c r="B26" s="13" t="s">
        <x:v>17</x:v>
      </x:c>
      <x:c r="C26" s="62">
        <x:v>224</x:v>
      </x:c>
      <x:c r="D26" s="62">
        <x:v>187</x:v>
      </x:c>
      <x:c r="E26" s="62">
        <x:v>183</x:v>
      </x:c>
      <x:c r="F26" s="44">
        <x:f t="shared" si="8"/>
        <x:v>594</x:v>
      </x:c>
      <x:c r="G26" s="45">
        <x:f t="shared" si="9"/>
        <x:v>198</x:v>
      </x:c>
      <x:c r="H26" s="34">
        <x:f t="array" ref="H26:H26">IF(B26="","",IFERROR(INDEX('회원명단 및 기준에버'!D:G,MATCH(B26,'회원명단 및 기준에버'!$C:$C,0),CHOOSE(INT((MONTH($L$2)-1)/3)+1,1,2,3,4)),""))</x:f>
        <x:v>184</x:v>
      </x:c>
      <x:c r="I26" s="38">
        <x:f t="shared" si="3"/>
        <x:v>40</x:v>
      </x:c>
      <x:c r="J26" s="38">
        <x:f t="shared" si="4"/>
        <x:v>3</x:v>
      </x:c>
      <x:c r="K26" s="38">
        <x:f t="shared" si="5"/>
        <x:v>-1</x:v>
      </x:c>
      <x:c r="L26" s="63">
        <x:f t="shared" si="6"/>
        <x:v>42</x:v>
      </x:c>
      <x:c r="M26" s="39">
        <x:f t="shared" si="7"/>
        <x:v>14</x:v>
      </x:c>
      <x:c r="S26" s="107">
        <x:f t="shared" si="0"/>
        <x:v>41</x:v>
      </x:c>
      <x:c r="T26" s="97">
        <x:f t="shared" si="2"/>
        <x:v>140433</x:v>
      </x:c>
      <x:c r="U26" s="91">
        <x:f t="shared" si="1"/>
        <x:v>6</x:v>
      </x:c>
      <x:c r="V26" s="108"/>
    </x:row>
    <x:row r="27" spans="1:22" ht="24.949999999999999" customHeight="1">
      <x:c r="A27" s="12">
        <x:v>24</x:v>
      </x:c>
      <x:c r="B27" s="13" t="s">
        <x:v>21</x:v>
      </x:c>
      <x:c r="C27" s="62">
        <x:v>166</x:v>
      </x:c>
      <x:c r="D27" s="62">
        <x:v>194</x:v>
      </x:c>
      <x:c r="E27" s="62">
        <x:v>247</x:v>
      </x:c>
      <x:c r="F27" s="44">
        <x:f t="shared" si="8"/>
        <x:v>607</x:v>
      </x:c>
      <x:c r="G27" s="45">
        <x:f t="shared" si="9"/>
        <x:v>202.33333333333334</x:v>
      </x:c>
      <x:c r="H27" s="34">
        <x:f t="array" ref="H27:H27">IF(B27="","",IFERROR(INDEX('회원명단 및 기준에버'!D:G,MATCH(B27,'회원명단 및 기준에버'!$C:$C,0),CHOOSE(INT((MONTH($L$2)-1)/3)+1,1,2,3,4)),""))</x:f>
        <x:v>194</x:v>
      </x:c>
      <x:c r="I27" s="38">
        <x:f t="shared" si="3"/>
        <x:v>-28</x:v>
      </x:c>
      <x:c r="J27" s="38">
        <x:f t="shared" si="4"/>
        <x:v>0</x:v>
      </x:c>
      <x:c r="K27" s="38">
        <x:f t="shared" si="5"/>
        <x:v>53</x:v>
      </x:c>
      <x:c r="L27" s="63">
        <x:f t="shared" si="6"/>
        <x:v>25</x:v>
      </x:c>
      <x:c r="M27" s="39">
        <x:f t="shared" si="7"/>
        <x:v>8.3333333333333428</x:v>
      </x:c>
      <x:c r="S27" s="107">
        <x:f t="shared" si="0"/>
        <x:v>81</x:v>
      </x:c>
      <x:c r="T27" s="97">
        <x:f t="shared" si="2"/>
        <x:v>84167.33333333343</x:v>
      </x:c>
      <x:c r="U27" s="91">
        <x:f t="shared" si="1"/>
        <x:v>13</x:v>
      </x:c>
      <x:c r="V27" s="108"/>
    </x:row>
    <x:row r="28" spans="1:22" ht="24.949999999999999" customHeight="1">
      <x:c r="A28" s="12">
        <x:v>25</x:v>
      </x:c>
      <x:c r="B28" s="13" t="s">
        <x:v>31</x:v>
      </x:c>
      <x:c r="C28" s="62">
        <x:v>125</x:v>
      </x:c>
      <x:c r="D28" s="62">
        <x:v>146</x:v>
      </x:c>
      <x:c r="E28" s="62">
        <x:v>101</x:v>
      </x:c>
      <x:c r="F28" s="44">
        <x:f t="shared" ref="F28:F33" si="10">SUM(C28:E28)</x:f>
        <x:v>372</x:v>
      </x:c>
      <x:c r="G28" s="45">
        <x:f t="shared" ref="G28:G33" si="11">F28/3</x:f>
        <x:v>124</x:v>
      </x:c>
      <x:c r="H28" s="34">
        <x:f t="array" ref="H28:H28">IF(B28="","",IFERROR(INDEX('회원명단 및 기준에버'!D:G,MATCH(B28,'회원명단 및 기준에버'!$C:$C,0),CHOOSE(INT((MONTH($L$2)-1)/3)+1,1,2,3,4)),""))</x:f>
        <x:v>151</x:v>
      </x:c>
      <x:c r="I28" s="38">
        <x:f t="shared" ref="I28:I33" si="12">IFERROR(C28+-H28,0)</x:f>
        <x:v>-26</x:v>
      </x:c>
      <x:c r="J28" s="38">
        <x:f t="shared" ref="J28:J33" si="13">IFERROR(D28+-H28,0)</x:f>
        <x:v>-5</x:v>
      </x:c>
      <x:c r="K28" s="38">
        <x:f t="shared" ref="K28:K33" si="14">IFERROR(E28+-H28,0)</x:f>
        <x:v>-50</x:v>
      </x:c>
      <x:c r="L28" s="63">
        <x:f t="shared" ref="L28:L33" si="15">SUM(I28:K28)</x:f>
        <x:v>-81</x:v>
      </x:c>
      <x:c r="M28" s="39">
        <x:f t="shared" ref="M28:M33" si="16">IFERROR(G28+-H28,0)</x:f>
        <x:v>-27</x:v>
      </x:c>
      <x:c r="S28" s="107">
        <x:f t="shared" si="0"/>
        <x:v>45</x:v>
      </x:c>
      <x:c r="T28" s="97">
        <x:f t="shared" si="2"/>
        <x:v>-269525</x:v>
      </x:c>
      <x:c r="U28" s="91">
        <x:f t="shared" si="1"/>
        <x:v>25</x:v>
      </x:c>
      <x:c r="V28" s="108"/>
    </x:row>
    <x:row r="29" spans="1:22" ht="24.949999999999999" customHeight="1">
      <x:c r="A29" s="12">
        <x:v>26</x:v>
      </x:c>
      <x:c r="B29" s="13"/>
      <x:c r="C29" s="62"/>
      <x:c r="D29" s="62"/>
      <x:c r="E29" s="62"/>
      <x:c r="F29" s="44">
        <x:f t="shared" si="10"/>
        <x:v>0</x:v>
      </x:c>
      <x:c r="G29" s="45">
        <x:f t="shared" si="11"/>
        <x:v>0</x:v>
      </x:c>
      <x:c r="H29" s="34" t="str">
        <x:f t="array" ref="H29:H29">IF(B29="","",IFERROR(INDEX('회원명단 및 기준에버'!D:G,MATCH(B29,'회원명단 및 기준에버'!$C:$C,0),CHOOSE(INT((MONTH($L$2)-1)/3)+1,1,2,3,4)),""))</x:f>
        <x:v/>
      </x:c>
      <x:c r="I29" s="38">
        <x:f t="shared" si="12"/>
        <x:v>0</x:v>
      </x:c>
      <x:c r="J29" s="38">
        <x:f t="shared" si="13"/>
        <x:v>0</x:v>
      </x:c>
      <x:c r="K29" s="38">
        <x:f t="shared" si="14"/>
        <x:v>0</x:v>
      </x:c>
      <x:c r="L29" s="63">
        <x:f t="shared" si="15"/>
        <x:v>0</x:v>
      </x:c>
      <x:c r="M29" s="39">
        <x:f t="shared" si="16"/>
        <x:v>0</x:v>
      </x:c>
      <x:c r="S29" s="107">
        <x:f t="shared" si="0"/>
        <x:v>0</x:v>
      </x:c>
      <x:c r="T29" s="97">
        <x:f t="shared" si="2"/>
        <x:v>-999999973</x:v>
      </x:c>
      <x:c r="U29" s="91">
        <x:f t="shared" si="1"/>
        <x:v>30</x:v>
      </x:c>
      <x:c r="V29" s="108"/>
    </x:row>
    <x:row r="30" spans="1:22" ht="24.949999999999999" customHeight="1">
      <x:c r="A30" s="12">
        <x:v>27</x:v>
      </x:c>
      <x:c r="B30" s="13"/>
      <x:c r="C30" s="62"/>
      <x:c r="D30" s="62"/>
      <x:c r="E30" s="62"/>
      <x:c r="F30" s="44">
        <x:f t="shared" si="10"/>
        <x:v>0</x:v>
      </x:c>
      <x:c r="G30" s="45">
        <x:f t="shared" si="11"/>
        <x:v>0</x:v>
      </x:c>
      <x:c r="H30" s="34" t="str">
        <x:f t="array" ref="H30:H30">IF(B30="","",IFERROR(INDEX('회원명단 및 기준에버'!D:G,MATCH(B30,'회원명단 및 기준에버'!$C:$C,0),CHOOSE(INT((MONTH($L$2)-1)/3)+1,1,2,3,4)),""))</x:f>
        <x:v/>
      </x:c>
      <x:c r="I30" s="38">
        <x:f t="shared" si="12"/>
        <x:v>0</x:v>
      </x:c>
      <x:c r="J30" s="38">
        <x:f t="shared" si="13"/>
        <x:v>0</x:v>
      </x:c>
      <x:c r="K30" s="38">
        <x:f t="shared" si="14"/>
        <x:v>0</x:v>
      </x:c>
      <x:c r="L30" s="63">
        <x:f t="shared" si="15"/>
        <x:v>0</x:v>
      </x:c>
      <x:c r="M30" s="39">
        <x:f t="shared" si="16"/>
        <x:v>0</x:v>
      </x:c>
      <x:c r="S30" s="107">
        <x:f t="shared" si="0"/>
        <x:v>0</x:v>
      </x:c>
      <x:c r="T30" s="97">
        <x:f t="shared" si="2"/>
        <x:v>-999999972</x:v>
      </x:c>
      <x:c r="U30" s="91">
        <x:f t="shared" si="1"/>
        <x:v>29</x:v>
      </x:c>
      <x:c r="V30" s="108"/>
    </x:row>
    <x:row r="31" spans="1:22" ht="24.949999999999999" customHeight="1">
      <x:c r="A31" s="12">
        <x:v>28</x:v>
      </x:c>
      <x:c r="B31" s="13"/>
      <x:c r="C31" s="62"/>
      <x:c r="D31" s="62"/>
      <x:c r="E31" s="62"/>
      <x:c r="F31" s="44">
        <x:f t="shared" si="10"/>
        <x:v>0</x:v>
      </x:c>
      <x:c r="G31" s="45">
        <x:f t="shared" si="11"/>
        <x:v>0</x:v>
      </x:c>
      <x:c r="H31" s="34" t="str">
        <x:f t="array" ref="H31:H31">IF(B31="","",IFERROR(INDEX('회원명단 및 기준에버'!D:G,MATCH(B31,'회원명단 및 기준에버'!$C:$C,0),CHOOSE(INT((MONTH($L$2)-1)/3)+1,1,2,3,4)),""))</x:f>
        <x:v/>
      </x:c>
      <x:c r="I31" s="38">
        <x:f t="shared" si="12"/>
        <x:v>0</x:v>
      </x:c>
      <x:c r="J31" s="38">
        <x:f t="shared" si="13"/>
        <x:v>0</x:v>
      </x:c>
      <x:c r="K31" s="38">
        <x:f t="shared" si="14"/>
        <x:v>0</x:v>
      </x:c>
      <x:c r="L31" s="63">
        <x:f t="shared" si="15"/>
        <x:v>0</x:v>
      </x:c>
      <x:c r="M31" s="39">
        <x:f t="shared" si="16"/>
        <x:v>0</x:v>
      </x:c>
      <x:c r="S31" s="107">
        <x:f t="shared" si="0"/>
        <x:v>0</x:v>
      </x:c>
      <x:c r="T31" s="97">
        <x:f t="shared" si="2"/>
        <x:v>-999999971</x:v>
      </x:c>
      <x:c r="U31" s="91">
        <x:f t="shared" si="1"/>
        <x:v>28</x:v>
      </x:c>
      <x:c r="V31" s="108"/>
    </x:row>
    <x:row r="32" spans="1:22" ht="24.949999999999999" customHeight="1">
      <x:c r="A32" s="12">
        <x:v>29</x:v>
      </x:c>
      <x:c r="B32" s="13"/>
      <x:c r="C32" s="62"/>
      <x:c r="D32" s="62"/>
      <x:c r="E32" s="62"/>
      <x:c r="F32" s="44">
        <x:f t="shared" si="10"/>
        <x:v>0</x:v>
      </x:c>
      <x:c r="G32" s="45">
        <x:f t="shared" si="11"/>
        <x:v>0</x:v>
      </x:c>
      <x:c r="H32" s="34" t="str">
        <x:f t="array" ref="H32:H32">IF(B32="","",IFERROR(INDEX('회원명단 및 기준에버'!D:G,MATCH(B32,'회원명단 및 기준에버'!$C:$C,0),CHOOSE(INT((MONTH($L$2)-1)/3)+1,1,2,3,4)),""))</x:f>
        <x:v/>
      </x:c>
      <x:c r="I32" s="38">
        <x:f t="shared" si="12"/>
        <x:v>0</x:v>
      </x:c>
      <x:c r="J32" s="38">
        <x:f t="shared" si="13"/>
        <x:v>0</x:v>
      </x:c>
      <x:c r="K32" s="38">
        <x:f t="shared" si="14"/>
        <x:v>0</x:v>
      </x:c>
      <x:c r="L32" s="63">
        <x:f t="shared" si="15"/>
        <x:v>0</x:v>
      </x:c>
      <x:c r="M32" s="39">
        <x:f t="shared" si="16"/>
        <x:v>0</x:v>
      </x:c>
      <x:c r="S32" s="107">
        <x:f t="shared" si="0"/>
        <x:v>0</x:v>
      </x:c>
      <x:c r="T32" s="97">
        <x:f t="shared" si="2"/>
        <x:v>-999999970</x:v>
      </x:c>
      <x:c r="U32" s="91">
        <x:f t="shared" si="1"/>
        <x:v>27</x:v>
      </x:c>
      <x:c r="V32" s="108"/>
    </x:row>
    <x:row r="33" spans="1:22" ht="24.949999999999999" customHeight="1">
      <x:c r="A33" s="12">
        <x:v>30</x:v>
      </x:c>
      <x:c r="B33" s="13"/>
      <x:c r="C33" s="62"/>
      <x:c r="D33" s="62"/>
      <x:c r="E33" s="62"/>
      <x:c r="F33" s="44">
        <x:f t="shared" si="10"/>
        <x:v>0</x:v>
      </x:c>
      <x:c r="G33" s="45">
        <x:f t="shared" si="11"/>
        <x:v>0</x:v>
      </x:c>
      <x:c r="H33" s="34" t="str">
        <x:f t="array" ref="H33:H33">IF(B33="","",IFERROR(INDEX('회원명단 및 기준에버'!D:G,MATCH(B33,'회원명단 및 기준에버'!$C:$C,0),CHOOSE(INT((MONTH($L$2)-1)/3)+1,1,2,3,4)),""))</x:f>
        <x:v/>
      </x:c>
      <x:c r="I33" s="38">
        <x:f t="shared" si="12"/>
        <x:v>0</x:v>
      </x:c>
      <x:c r="J33" s="38">
        <x:f t="shared" si="13"/>
        <x:v>0</x:v>
      </x:c>
      <x:c r="K33" s="38">
        <x:f t="shared" si="14"/>
        <x:v>0</x:v>
      </x:c>
      <x:c r="L33" s="63">
        <x:f t="shared" si="15"/>
        <x:v>0</x:v>
      </x:c>
      <x:c r="M33" s="39">
        <x:f t="shared" si="16"/>
        <x:v>0</x:v>
      </x:c>
      <x:c r="S33" s="109">
        <x:f t="shared" si="0"/>
        <x:v>0</x:v>
      </x:c>
      <x:c r="T33" s="103">
        <x:f t="shared" si="2"/>
        <x:v>-999999969</x:v>
      </x:c>
      <x:c r="U33" s="110">
        <x:f t="shared" si="1"/>
        <x:v>26</x:v>
      </x:c>
      <x:c r="V33" s="111"/>
    </x:row>
    <x:row r="34" spans="2:13" s="18" customFormat="1" ht="24.949999999999999" customHeight="1">
      <x:c r="B34" s="168" t="s">
        <x:v>63</x:v>
      </x:c>
      <x:c r="C34" s="169"/>
      <x:c r="D34" s="169"/>
      <x:c r="E34" s="169"/>
      <x:c r="F34" s="169"/>
      <x:c r="G34" s="169"/>
      <x:c r="H34" s="169"/>
      <x:c r="I34" s="169"/>
      <x:c r="J34" s="169"/>
      <x:c r="K34" s="169"/>
      <x:c r="L34" s="169"/>
      <x:c r="M34" s="170"/>
    </x:row>
    <x:row r="35" spans="2:13" s="18" customFormat="1" ht="24.949999999999999" customHeight="1">
      <x:c r="B35" s="187" t="s">
        <x:v>68</x:v>
      </x:c>
      <x:c r="C35" s="188"/>
      <x:c r="D35" s="188"/>
      <x:c r="E35" s="189"/>
      <x:c r="F35" s="174" t="s">
        <x:v>28</x:v>
      </x:c>
      <x:c r="G35" s="176" t="s">
        <x:v>14</x:v>
      </x:c>
      <x:c r="H35" s="177"/>
      <x:c r="I35" s="178"/>
      <x:c r="J35" s="179" t="s">
        <x:v>55</x:v>
      </x:c>
      <x:c r="K35" s="180"/>
      <x:c r="L35" s="180"/>
      <x:c r="M35" s="181"/>
    </x:row>
    <x:row r="36" spans="2:13" s="18" customFormat="1" ht="24.949999999999999" customHeight="1">
      <x:c r="B36" s="54" t="s">
        <x:v>54</x:v>
      </x:c>
      <x:c r="C36" s="24">
        <x:v>45.299999999999997</x:v>
      </x:c>
      <x:c r="D36" s="55"/>
      <x:c r="E36" s="56"/>
      <x:c r="F36" s="175"/>
      <x:c r="G36" s="182" t="s">
        <x:v>62</x:v>
      </x:c>
      <x:c r="H36" s="183"/>
      <x:c r="I36" s="184"/>
      <x:c r="J36" s="26" t="s">
        <x:v>18</x:v>
      </x:c>
      <x:c r="K36" s="27"/>
      <x:c r="L36" s="27"/>
      <x:c r="M36" s="28"/>
    </x:row>
    <x:row r="37" spans="2:13" s="18" customFormat="1" ht="24.949999999999999" customHeight="1">
      <x:c r="B37" s="155" t="s">
        <x:v>29</x:v>
      </x:c>
      <x:c r="C37" s="156"/>
      <x:c r="D37" s="156"/>
      <x:c r="E37" s="156"/>
      <x:c r="F37" s="156"/>
      <x:c r="G37" s="156"/>
      <x:c r="H37" s="157"/>
      <x:c r="I37" s="158" t="s">
        <x:v>66</x:v>
      </x:c>
      <x:c r="J37" s="159"/>
      <x:c r="K37" s="160" t="s">
        <x:v>67</x:v>
      </x:c>
      <x:c r="L37" s="161"/>
      <x:c r="M37" s="162"/>
    </x:row>
    <x:row r="38" spans="2:13" s="18" customFormat="1" ht="24.949999999999999" customHeight="1">
      <x:c r="B38" s="21" t="s">
        <x:v>23</x:v>
      </x:c>
      <x:c r="C38" s="64">
        <x:v>224</x:v>
      </x:c>
      <x:c r="D38" s="32" t="s">
        <x:v>21</x:v>
      </x:c>
      <x:c r="E38" s="67">
        <x:v>247</x:v>
      </x:c>
      <x:c r="F38" s="30"/>
      <x:c r="G38" s="70"/>
      <x:c r="H38" s="157"/>
      <x:c r="I38" s="23"/>
      <x:c r="J38" s="50"/>
      <x:c r="K38" s="57" t="s">
        <x:v>31</x:v>
      </x:c>
      <x:c r="L38" s="58"/>
      <x:c r="M38" s="59"/>
    </x:row>
    <x:row r="39" spans="2:13" s="18" customFormat="1" ht="24.949999999999999" customHeight="1">
      <x:c r="B39" s="46" t="s">
        <x:v>54</x:v>
      </x:c>
      <x:c r="C39" s="65">
        <x:v>267</x:v>
      </x:c>
      <x:c r="D39" s="47"/>
      <x:c r="E39" s="68"/>
      <x:c r="F39" s="48"/>
      <x:c r="G39" s="71"/>
      <x:c r="H39" s="157"/>
      <x:c r="I39" s="49"/>
      <x:c r="J39" s="51"/>
      <x:c r="K39" s="57" t="s">
        <x:v>20</x:v>
      </x:c>
      <x:c r="L39" s="58"/>
      <x:c r="M39" s="59"/>
    </x:row>
    <x:row r="40" spans="2:13" s="18" customFormat="1" ht="24.949999999999999" customHeight="1">
      <x:c r="B40" s="29" t="s">
        <x:v>37</x:v>
      </x:c>
      <x:c r="C40" s="66">
        <x:v>235</x:v>
      </x:c>
      <x:c r="D40" s="33"/>
      <x:c r="E40" s="69"/>
      <x:c r="F40" s="31"/>
      <x:c r="G40" s="72"/>
      <x:c r="H40" s="157"/>
      <x:c r="I40" s="24"/>
      <x:c r="J40" s="52"/>
      <x:c r="K40" s="60"/>
      <x:c r="L40" s="53"/>
      <x:c r="M40" s="61"/>
    </x:row>
    <x:row r="41" spans="1:13" s="18" customFormat="1" ht="24.949999999999999" customHeight="1">
      <x:c r="A41" s="17"/>
      <x:c r="B41" s="163" t="s">
        <x:v>51</x:v>
      </x:c>
      <x:c r="C41" s="164"/>
      <x:c r="D41" s="164"/>
      <x:c r="E41" s="164"/>
      <x:c r="F41" s="164"/>
      <x:c r="G41" s="164"/>
      <x:c r="H41" s="164"/>
      <x:c r="I41" s="164"/>
      <x:c r="J41" s="164"/>
      <x:c r="K41" s="164"/>
      <x:c r="L41" s="164"/>
      <x:c r="M41" s="165"/>
    </x:row>
    <x:row r="42" spans="2:13" s="18" customFormat="1" ht="24.949999999999999" customHeight="1">
      <x:c r="B42" s="35" t="str">
        <x:f>$B4</x:f>
        <x:v>변 상 필</x:v>
      </x:c>
      <x:c r="C42" s="113">
        <x:f>IF($T$2=0,$C4,$I4)</x:f>
        <x:v>20</x:v>
      </x:c>
      <x:c r="D42" s="40">
        <x:f>IF($T$2=0,$D4,$J4)</x:f>
        <x:v>-19</x:v>
      </x:c>
      <x:c r="E42" s="40">
        <x:f>IF($T$2=0,$E4,$K4)</x:f>
        <x:v>-34</x:v>
      </x:c>
      <x:c r="F42" s="141">
        <x:f>E45</x:f>
        <x:v>25</x:v>
      </x:c>
      <x:c r="G42" s="144">
        <x:v>2</x:v>
      </x:c>
      <x:c r="H42" s="79" t="str">
        <x:f>$B9</x:f>
        <x:v>장 영 민</x:v>
      </x:c>
      <x:c r="I42" s="113">
        <x:f>IF($T$2=0,$C9,$I9)</x:f>
        <x:v>37</x:v>
      </x:c>
      <x:c r="J42" s="40">
        <x:f>IF($T$2=0,$D9,$J9)</x:f>
        <x:v>-8</x:v>
      </x:c>
      <x:c r="K42" s="40">
        <x:f>IF($T$2=0,$E9,$K9)</x:f>
        <x:v>13</x:v>
      </x:c>
      <x:c r="L42" s="149">
        <x:f>K44</x:f>
        <x:v>7</x:v>
      </x:c>
      <x:c r="M42" s="152">
        <x:v>4</x:v>
      </x:c>
    </x:row>
    <x:row r="43" spans="2:13" s="18" customFormat="1" ht="24.949999999999999" customHeight="1">
      <x:c r="B43" s="36" t="str">
        <x:f>$B5</x:f>
        <x:v>이 정 석</x:v>
      </x:c>
      <x:c r="C43" s="114">
        <x:f>IF($T$2=0,$C5,$I5)</x:f>
        <x:v>29</x:v>
      </x:c>
      <x:c r="D43" s="41">
        <x:f>IF($T$2=0,$D5,$J5)</x:f>
        <x:v>-34</x:v>
      </x:c>
      <x:c r="E43" s="41">
        <x:f>IF($T$2=0,$E5,$K5)</x:f>
        <x:v>-9</x:v>
      </x:c>
      <x:c r="F43" s="142"/>
      <x:c r="G43" s="145"/>
      <x:c r="H43" s="36" t="str">
        <x:f>$B10</x:f>
        <x:v>지 옥 명</x:v>
      </x:c>
      <x:c r="I43" s="114">
        <x:f>IF($T$2=0,$C10,$I10)</x:f>
        <x:v>17</x:v>
      </x:c>
      <x:c r="J43" s="41">
        <x:f>IF($T$2=0,$D10,$J10)</x:f>
        <x:v>-23</x:v>
      </x:c>
      <x:c r="K43" s="41">
        <x:f>IF($T$2=0,$E10,$K10)</x:f>
        <x:v>22</x:v>
      </x:c>
      <x:c r="L43" s="150"/>
      <x:c r="M43" s="153"/>
    </x:row>
    <x:row r="44" spans="2:13" s="18" customFormat="1" ht="24.949999999999999" customHeight="1">
      <x:c r="B44" s="36" t="str">
        <x:f>$B6</x:f>
        <x:v>엄 정 도</x:v>
      </x:c>
      <x:c r="C44" s="41">
        <x:f>IF($T$2=0,$C6,$I6)</x:f>
        <x:v>-2</x:v>
      </x:c>
      <x:c r="D44" s="41">
        <x:f>IF($T$2=0,$D6,$J6)</x:f>
        <x:v>-6</x:v>
      </x:c>
      <x:c r="E44" s="41">
        <x:f>IF($T$2=0,$E6,$K6)</x:f>
        <x:v>37</x:v>
      </x:c>
      <x:c r="F44" s="142"/>
      <x:c r="G44" s="145"/>
      <x:c r="H44" s="36" t="str">
        <x:f>$B11</x:f>
        <x:v>천 성 일</x:v>
      </x:c>
      <x:c r="I44" s="114">
        <x:f>IF($T$2=0,$C11,$I11)</x:f>
        <x:v>14</x:v>
      </x:c>
      <x:c r="J44" s="114">
        <x:f>IF($T$2=0,$D11,$J11)</x:f>
        <x:v>28</x:v>
      </x:c>
      <x:c r="K44" s="114">
        <x:f>IF($T$2=0,$E11,$K11)</x:f>
        <x:v>7</x:v>
      </x:c>
      <x:c r="L44" s="150"/>
      <x:c r="M44" s="153"/>
    </x:row>
    <x:row r="45" spans="2:13" s="18" customFormat="1" ht="24.949999999999999" customHeight="1">
      <x:c r="B45" s="36" t="str">
        <x:f>$B7</x:f>
        <x:v>송 정 현</x:v>
      </x:c>
      <x:c r="C45" s="114">
        <x:f>IF($T$2=0,$C7,$I7)</x:f>
        <x:v>37</x:v>
      </x:c>
      <x:c r="D45" s="114">
        <x:f>IF($T$2=0,$D7,$J7)</x:f>
        <x:v>16</x:v>
      </x:c>
      <x:c r="E45" s="114">
        <x:f>IF($T$2=0,$E7,$K7)</x:f>
        <x:v>25</x:v>
      </x:c>
      <x:c r="F45" s="142"/>
      <x:c r="G45" s="145"/>
      <x:c r="H45" s="36" t="str">
        <x:f>$B12</x:f>
        <x:v>황 인 교</x:v>
      </x:c>
      <x:c r="I45" s="41">
        <x:f>IF($T$2=0,$C12,$I12)</x:f>
        <x:v>-16</x:v>
      </x:c>
      <x:c r="J45" s="41">
        <x:f>IF($T$2=0,$D12,$J12)</x:f>
        <x:v>-4</x:v>
      </x:c>
      <x:c r="K45" s="41">
        <x:f>IF($T$2=0,$E12,$K12)</x:f>
        <x:v>-6</x:v>
      </x:c>
      <x:c r="L45" s="150"/>
      <x:c r="M45" s="153"/>
    </x:row>
    <x:row r="46" spans="2:13" s="18" customFormat="1" ht="24.949999999999999" customHeight="1">
      <x:c r="B46" s="36" t="str">
        <x:f>$B8</x:f>
        <x:v>이 승 미</x:v>
      </x:c>
      <x:c r="C46" s="41">
        <x:f>IF($T$2=0,$C8,$I8)</x:f>
        <x:v>5</x:v>
      </x:c>
      <x:c r="D46" s="41">
        <x:f>IF($T$2=0,$D8,$J8)</x:f>
        <x:v>11</x:v>
      </x:c>
      <x:c r="E46" s="41">
        <x:f>IF($T$2=0,$E8,$K8)</x:f>
        <x:v>-12</x:v>
      </x:c>
      <x:c r="F46" s="142"/>
      <x:c r="G46" s="145"/>
      <x:c r="H46" s="36">
        <x:f>$B13</x:f>
        <x:v>0</x:v>
      </x:c>
      <x:c r="I46" s="41">
        <x:f>IF($T$2=0,$C13,$I13)</x:f>
        <x:v>0</x:v>
      </x:c>
      <x:c r="J46" s="41">
        <x:f>IF($T$2=0,$D13,$J13)</x:f>
        <x:v>0</x:v>
      </x:c>
      <x:c r="K46" s="41">
        <x:f>IF($T$2=0,$E13,$K13)</x:f>
        <x:v>0</x:v>
      </x:c>
      <x:c r="L46" s="150"/>
      <x:c r="M46" s="153"/>
    </x:row>
    <x:row r="47" spans="2:13" s="18" customFormat="1" ht="24.949999999999999" customHeight="1">
      <x:c r="B47" s="37"/>
      <x:c r="C47" s="42">
        <x:f>SUM(C42:C46)</x:f>
        <x:v>89</x:v>
      </x:c>
      <x:c r="D47" s="42">
        <x:f>SUM(D42:D46)</x:f>
        <x:v>-32</x:v>
      </x:c>
      <x:c r="E47" s="42">
        <x:f>SUM(E42:E46)</x:f>
        <x:v>7</x:v>
      </x:c>
      <x:c r="F47" s="143"/>
      <x:c r="G47" s="146"/>
      <x:c r="H47" s="37"/>
      <x:c r="I47" s="42">
        <x:f>SUM(I42:I46)</x:f>
        <x:v>52</x:v>
      </x:c>
      <x:c r="J47" s="42">
        <x:f>SUM(J42:J46)</x:f>
        <x:v>-7</x:v>
      </x:c>
      <x:c r="K47" s="42">
        <x:f>SUM(K42:K46)</x:f>
        <x:v>36</x:v>
      </x:c>
      <x:c r="L47" s="151"/>
      <x:c r="M47" s="154"/>
    </x:row>
    <x:row r="48" s="18" customFormat="1" ht="24.949999999999999" customHeight="1"/>
    <x:row r="49" spans="2:13" s="18" customFormat="1" ht="24.949999999999999" customHeight="1">
      <x:c r="B49" s="35" t="str">
        <x:f>$B14</x:f>
        <x:v>이 우 석</x:v>
      </x:c>
      <x:c r="C49" s="40">
        <x:f>IF($T$2=0,$C14,$I14)</x:f>
        <x:v>-28</x:v>
      </x:c>
      <x:c r="D49" s="40">
        <x:f>IF($T$2=0,$D14,$J14)</x:f>
        <x:v>22</x:v>
      </x:c>
      <x:c r="E49" s="40">
        <x:f>IF($T$2=0,$E14,$K14)</x:f>
        <x:v>42</x:v>
      </x:c>
      <x:c r="F49" s="141">
        <x:f>E52</x:f>
        <x:v>-5</x:v>
      </x:c>
      <x:c r="G49" s="144">
        <x:v>3</x:v>
      </x:c>
      <x:c r="H49" s="79" t="str">
        <x:f>$B19</x:f>
        <x:v>이 대 용</x:v>
      </x:c>
      <x:c r="I49" s="113">
        <x:f>IF($T$2=0,$C19,$I19)</x:f>
        <x:v>4</x:v>
      </x:c>
      <x:c r="J49" s="113">
        <x:f>IF($T$2=0,$D19,$J19)</x:f>
        <x:v>-4</x:v>
      </x:c>
      <x:c r="K49" s="113">
        <x:f>IF($T$2=0,$E19,$K19)</x:f>
        <x:v>35</x:v>
      </x:c>
      <x:c r="L49" s="149">
        <x:f>K49</x:f>
        <x:v>35</x:v>
      </x:c>
      <x:c r="M49" s="152">
        <x:v>1</x:v>
      </x:c>
    </x:row>
    <x:row r="50" spans="2:13" s="17" customFormat="1" ht="24.949999999999999" customHeight="1">
      <x:c r="B50" s="36" t="str">
        <x:f>$B15</x:f>
        <x:v>강 희 태</x:v>
      </x:c>
      <x:c r="C50" s="114">
        <x:f>IF($T$2=0,$C15,$I15)</x:f>
        <x:v>44</x:v>
      </x:c>
      <x:c r="D50" s="41">
        <x:f>IF($T$2=0,$D15,$J15)</x:f>
        <x:v>15</x:v>
      </x:c>
      <x:c r="E50" s="41">
        <x:f>IF($T$2=0,$E15,$K15)</x:f>
        <x:v>-21</x:v>
      </x:c>
      <x:c r="F50" s="142"/>
      <x:c r="G50" s="145"/>
      <x:c r="H50" s="36" t="str">
        <x:f>$B20</x:f>
        <x:v>나 경 주</x:v>
      </x:c>
      <x:c r="I50" s="114">
        <x:f>IF($T$2=0,$C20,$I20)</x:f>
        <x:v>55</x:v>
      </x:c>
      <x:c r="J50" s="41">
        <x:f>IF($T$2=0,$D20,$J20)</x:f>
        <x:v>-3</x:v>
      </x:c>
      <x:c r="K50" s="41">
        <x:f>IF($T$2=0,$E20,$K20)</x:f>
        <x:v>-17</x:v>
      </x:c>
      <x:c r="L50" s="150"/>
      <x:c r="M50" s="153"/>
    </x:row>
    <x:row r="51" spans="2:13" s="17" customFormat="1" ht="24.949999999999999" customHeight="1">
      <x:c r="B51" s="36" t="str">
        <x:f>$B16</x:f>
        <x:v>고 경 훈</x:v>
      </x:c>
      <x:c r="C51" s="114">
        <x:f>IF($T$2=0,$C16,$I16)</x:f>
        <x:v>52</x:v>
      </x:c>
      <x:c r="D51" s="41">
        <x:f>IF($T$2=0,$D16,$J16)</x:f>
        <x:v>17</x:v>
      </x:c>
      <x:c r="E51" s="41">
        <x:f>IF($T$2=0,$E16,$K16)</x:f>
        <x:v>55</x:v>
      </x:c>
      <x:c r="F51" s="142"/>
      <x:c r="G51" s="145"/>
      <x:c r="H51" s="36" t="str">
        <x:f>$B21</x:f>
        <x:v>박 성 현</x:v>
      </x:c>
      <x:c r="I51" s="114">
        <x:f>IF($T$2=0,$C21,$I21)</x:f>
        <x:v>9</x:v>
      </x:c>
      <x:c r="J51" s="41">
        <x:f>IF($T$2=0,$D21,$J21)</x:f>
        <x:v>-58</x:v>
      </x:c>
      <x:c r="K51" s="41">
        <x:f>IF($T$2=0,$E21,$K21)</x:f>
        <x:v>-6</x:v>
      </x:c>
      <x:c r="L51" s="150"/>
      <x:c r="M51" s="153"/>
    </x:row>
    <x:row r="52" spans="2:13" s="17" customFormat="1" ht="24.949999999999999" customHeight="1">
      <x:c r="B52" s="36" t="str">
        <x:f>$B17</x:f>
        <x:v>김 종 훈</x:v>
      </x:c>
      <x:c r="C52" s="114">
        <x:f>IF($T$2=0,$C17,$I17)</x:f>
        <x:v>21</x:v>
      </x:c>
      <x:c r="D52" s="114">
        <x:f>IF($T$2=0,$D17,$J17)</x:f>
        <x:v>17</x:v>
      </x:c>
      <x:c r="E52" s="114">
        <x:f>IF($T$2=0,$E17,$K17)</x:f>
        <x:v>-5</x:v>
      </x:c>
      <x:c r="F52" s="142"/>
      <x:c r="G52" s="145"/>
      <x:c r="H52" s="36" t="str">
        <x:f>$B22</x:f>
        <x:v>이 상 현</x:v>
      </x:c>
      <x:c r="I52" s="41">
        <x:f>IF($T$2=0,$C22,$I22)</x:f>
        <x:v>-17</x:v>
      </x:c>
      <x:c r="J52" s="41">
        <x:f>IF($T$2=0,$D22,$J22)</x:f>
        <x:v>-31</x:v>
      </x:c>
      <x:c r="K52" s="41">
        <x:f>IF($T$2=0,$E22,$K22)</x:f>
        <x:v>38</x:v>
      </x:c>
      <x:c r="L52" s="150"/>
      <x:c r="M52" s="153"/>
    </x:row>
    <x:row r="53" spans="2:13" s="17" customFormat="1" ht="24.949999999999999" customHeight="1">
      <x:c r="B53" s="36" t="str">
        <x:f>$B18</x:f>
        <x:v>진 명 옥</x:v>
      </x:c>
      <x:c r="C53" s="41">
        <x:f>IF($T$2=0,$C18,$I18)</x:f>
        <x:v>19</x:v>
      </x:c>
      <x:c r="D53" s="41">
        <x:f>IF($T$2=0,$D18,$J18)</x:f>
        <x:v>-3</x:v>
      </x:c>
      <x:c r="E53" s="41">
        <x:f>IF($T$2=0,$E18,$K18)</x:f>
        <x:v>-20</x:v>
      </x:c>
      <x:c r="F53" s="142"/>
      <x:c r="G53" s="145"/>
      <x:c r="H53" s="36" t="str">
        <x:f>$B23</x:f>
        <x:v>김 미 란</x:v>
      </x:c>
      <x:c r="I53" s="41">
        <x:f>IF($T$2=0,$C23,$I23)</x:f>
        <x:v>-11</x:v>
      </x:c>
      <x:c r="J53" s="41">
        <x:f>IF($T$2=0,$D23,$J23)</x:f>
        <x:v>32</x:v>
      </x:c>
      <x:c r="K53" s="41">
        <x:f>IF($T$2=0,$E23,$K23)</x:f>
        <x:v>-56</x:v>
      </x:c>
      <x:c r="L53" s="150"/>
      <x:c r="M53" s="153"/>
    </x:row>
    <x:row r="54" spans="2:13" s="17" customFormat="1" ht="24.949999999999999" customHeight="1">
      <x:c r="B54" s="37"/>
      <x:c r="C54" s="42">
        <x:f>SUM(C49:C53)</x:f>
        <x:v>108</x:v>
      </x:c>
      <x:c r="D54" s="42">
        <x:f>SUM(D49:D53)</x:f>
        <x:v>68</x:v>
      </x:c>
      <x:c r="E54" s="42">
        <x:f>SUM(E49:E53)</x:f>
        <x:v>51</x:v>
      </x:c>
      <x:c r="F54" s="143"/>
      <x:c r="G54" s="146"/>
      <x:c r="H54" s="37"/>
      <x:c r="I54" s="42">
        <x:f>SUM(I49:I53)</x:f>
        <x:v>40</x:v>
      </x:c>
      <x:c r="J54" s="42">
        <x:f>SUM(J49:J53)</x:f>
        <x:v>-64</x:v>
      </x:c>
      <x:c r="K54" s="42">
        <x:f>SUM(K49:K53)</x:f>
        <x:v>-6</x:v>
      </x:c>
      <x:c r="L54" s="151"/>
      <x:c r="M54" s="154"/>
    </x:row>
    <x:row r="55" ht="24.949999999999999" customHeight="1"/>
    <x:row r="56" spans="2:13" ht="24.949999999999999" customHeight="1">
      <x:c r="B56" s="35" t="str">
        <x:f>$B24</x:f>
        <x:v>최 현 수</x:v>
      </x:c>
      <x:c r="C56" s="113">
        <x:f>IF($T$2=0,$C24,$I24)</x:f>
        <x:v>67</x:v>
      </x:c>
      <x:c r="D56" s="113">
        <x:f>IF($T$2=0,$D24,$J24)</x:f>
        <x:v>67</x:v>
      </x:c>
      <x:c r="E56" s="113">
        <x:f>IF($T$2=0,$E24,$K24)</x:f>
        <x:v>2</x:v>
      </x:c>
      <x:c r="F56" s="141">
        <x:f>E56</x:f>
        <x:v>2</x:v>
      </x:c>
      <x:c r="G56" s="144">
        <x:v>5</x:v>
      </x:c>
      <x:c r="H56" s="35">
        <x:f>$B29</x:f>
        <x:v>0</x:v>
      </x:c>
      <x:c r="I56" s="40">
        <x:f>IF($T$2=0,$C29,$I29)</x:f>
        <x:v>0</x:v>
      </x:c>
      <x:c r="J56" s="40">
        <x:f>IF($T$2=0,$D29,$J29)</x:f>
        <x:v>0</x:v>
      </x:c>
      <x:c r="K56" s="40">
        <x:f>IF($T$2=0,$E29,$K29)</x:f>
        <x:v>0</x:v>
      </x:c>
      <x:c r="L56" s="141">
        <x:f>K61+J61+I61</x:f>
        <x:v>0</x:v>
      </x:c>
      <x:c r="M56" s="144"/>
    </x:row>
    <x:row r="57" spans="2:13" ht="24.949999999999999" customHeight="1">
      <x:c r="B57" s="36" t="str">
        <x:f>$B25</x:f>
        <x:v>강 완 규</x:v>
      </x:c>
      <x:c r="C57" s="114">
        <x:f>IF($T$2=0,$C25,$I25)</x:f>
        <x:v>1</x:v>
      </x:c>
      <x:c r="D57" s="41">
        <x:f>IF($T$2=0,$D25,$J25)</x:f>
        <x:v>-5</x:v>
      </x:c>
      <x:c r="E57" s="41">
        <x:f>IF($T$2=0,$E25,$K25)</x:f>
        <x:v>-7</x:v>
      </x:c>
      <x:c r="F57" s="142"/>
      <x:c r="G57" s="145"/>
      <x:c r="H57" s="36">
        <x:f>$B30</x:f>
        <x:v>0</x:v>
      </x:c>
      <x:c r="I57" s="41">
        <x:f>IF($T$2=0,$C30,$I30)</x:f>
        <x:v>0</x:v>
      </x:c>
      <x:c r="J57" s="41">
        <x:f>IF($T$2=0,$D30,$J30)</x:f>
        <x:v>0</x:v>
      </x:c>
      <x:c r="K57" s="41">
        <x:f>IF($T$2=0,$E30,$K30)</x:f>
        <x:v>0</x:v>
      </x:c>
      <x:c r="L57" s="142"/>
      <x:c r="M57" s="145"/>
    </x:row>
    <x:row r="58" spans="2:13" ht="24.949999999999999" customHeight="1">
      <x:c r="B58" s="36" t="str">
        <x:f>$B26</x:f>
        <x:v>정 영 우</x:v>
      </x:c>
      <x:c r="C58" s="114">
        <x:f>IF($T$2=0,$C26,$I26)</x:f>
        <x:v>40</x:v>
      </x:c>
      <x:c r="D58" s="41">
        <x:f>IF($T$2=0,$D26,$J26)</x:f>
        <x:v>3</x:v>
      </x:c>
      <x:c r="E58" s="41">
        <x:f>IF($T$2=0,$E26,$K26)</x:f>
        <x:v>-1</x:v>
      </x:c>
      <x:c r="F58" s="142"/>
      <x:c r="G58" s="145"/>
      <x:c r="H58" s="36">
        <x:f t="shared" ref="H58:H60" si="17">$B31</x:f>
        <x:v>0</x:v>
      </x:c>
      <x:c r="I58" s="41">
        <x:f>IF($T$2=0,$C31,$I31)</x:f>
        <x:v>0</x:v>
      </x:c>
      <x:c r="J58" s="41">
        <x:f>IF($T$2=0,$D31,$J31)</x:f>
        <x:v>0</x:v>
      </x:c>
      <x:c r="K58" s="41">
        <x:f>IF($T$2=0,$E31,$K31)</x:f>
        <x:v>0</x:v>
      </x:c>
      <x:c r="L58" s="142"/>
      <x:c r="M58" s="145"/>
    </x:row>
    <x:row r="59" spans="2:13" ht="24.949999999999999" customHeight="1">
      <x:c r="B59" s="36" t="str">
        <x:f>$B27</x:f>
        <x:v>임 연 진</x:v>
      </x:c>
      <x:c r="C59" s="41">
        <x:f>IF($T$2=0,$C27,$I27)</x:f>
        <x:v>-28</x:v>
      </x:c>
      <x:c r="D59" s="41">
        <x:f>IF($T$2=0,$D27,$J27)</x:f>
        <x:v>0</x:v>
      </x:c>
      <x:c r="E59" s="41">
        <x:f>IF($T$2=0,$E27,$K27)</x:f>
        <x:v>53</x:v>
      </x:c>
      <x:c r="F59" s="142"/>
      <x:c r="G59" s="145"/>
      <x:c r="H59" s="36">
        <x:f t="shared" si="17"/>
        <x:v>0</x:v>
      </x:c>
      <x:c r="I59" s="41">
        <x:f>IF($T$2=0,$C32,$I32)</x:f>
        <x:v>0</x:v>
      </x:c>
      <x:c r="J59" s="41">
        <x:f>IF($T$2=0,$D32,$J32)</x:f>
        <x:v>0</x:v>
      </x:c>
      <x:c r="K59" s="41">
        <x:f>IF($T$2=0,$E32,$K32)</x:f>
        <x:v>0</x:v>
      </x:c>
      <x:c r="L59" s="142"/>
      <x:c r="M59" s="145"/>
    </x:row>
    <x:row r="60" spans="2:13" ht="24.949999999999999" customHeight="1">
      <x:c r="B60" s="36" t="str">
        <x:f>$B28</x:f>
        <x:v>손 은 주</x:v>
      </x:c>
      <x:c r="C60" s="41">
        <x:f>IF($T$2=0,$C28,$I28)</x:f>
        <x:v>-26</x:v>
      </x:c>
      <x:c r="D60" s="41">
        <x:f>IF($T$2=0,$D28,$J28)</x:f>
        <x:v>-5</x:v>
      </x:c>
      <x:c r="E60" s="41">
        <x:f>IF($T$2=0,$E28,$K28)</x:f>
        <x:v>-50</x:v>
      </x:c>
      <x:c r="F60" s="142"/>
      <x:c r="G60" s="145"/>
      <x:c r="H60" s="36">
        <x:f t="shared" si="17"/>
        <x:v>0</x:v>
      </x:c>
      <x:c r="I60" s="41">
        <x:f>IF($T$2=0,$C33,$I33)</x:f>
        <x:v>0</x:v>
      </x:c>
      <x:c r="J60" s="41">
        <x:f>IF($T$2=0,$D33,$J33)</x:f>
        <x:v>0</x:v>
      </x:c>
      <x:c r="K60" s="41">
        <x:f>IF($T$2=0,$E33,$K33)</x:f>
        <x:v>0</x:v>
      </x:c>
      <x:c r="L60" s="142"/>
      <x:c r="M60" s="145"/>
    </x:row>
    <x:row r="61" spans="2:13" ht="24.949999999999999" customHeight="1">
      <x:c r="B61" s="37"/>
      <x:c r="C61" s="42">
        <x:f>SUM(C56:C60)</x:f>
        <x:v>54</x:v>
      </x:c>
      <x:c r="D61" s="42">
        <x:f>SUM(D56:D60)</x:f>
        <x:v>60</x:v>
      </x:c>
      <x:c r="E61" s="42">
        <x:f>SUM(E56:E60)</x:f>
        <x:v>-3</x:v>
      </x:c>
      <x:c r="F61" s="143"/>
      <x:c r="G61" s="146"/>
      <x:c r="H61" s="37"/>
      <x:c r="I61" s="42">
        <x:f>SUM(I56:I60)</x:f>
        <x:v>0</x:v>
      </x:c>
      <x:c r="J61" s="42">
        <x:f>SUM(J56:J60)</x:f>
        <x:v>0</x:v>
      </x:c>
      <x:c r="K61" s="42">
        <x:f>SUM(K56:K60)</x:f>
        <x:v>0</x:v>
      </x:c>
      <x:c r="L61" s="143"/>
      <x:c r="M61" s="146"/>
    </x:row>
    <x:row r="62" ht="24.949999999999999" customHeight="1"/>
    <x:row r="63" ht="24.949999999999999" customHeight="1"/>
    <x:row r="64" ht="24.949999999999999" customHeight="1"/>
    <x:row r="65" spans="1:13" ht="60" customHeight="1">
      <x:c r="A65" s="185" t="str">
        <x:f>A1</x:f>
        <x:v>2026 아르케 존 02회 정기 모임 점수</x:v>
      </x:c>
      <x:c r="B65" s="185"/>
      <x:c r="C65" s="185"/>
      <x:c r="D65" s="185"/>
      <x:c r="E65" s="185"/>
      <x:c r="F65" s="185"/>
      <x:c r="G65" s="185"/>
      <x:c r="H65" s="185"/>
      <x:c r="I65" s="185"/>
      <x:c r="J65" s="185"/>
      <x:c r="K65" s="185"/>
      <x:c r="L65" s="185"/>
      <x:c r="M65" s="185"/>
    </x:row>
    <x:row r="66" spans="1:13" ht="24.949999999999999" customHeight="1">
      <x:c r="A66" s="77"/>
      <x:c r="B66" s="77"/>
      <x:c r="C66" s="77"/>
      <x:c r="D66" s="77"/>
      <x:c r="E66" s="77"/>
      <x:c r="F66" s="77"/>
      <x:c r="G66" s="77"/>
      <x:c r="H66" s="77"/>
      <x:c r="I66" s="77"/>
      <x:c r="J66" s="77"/>
      <x:c r="K66" s="78" t="s">
        <x:v>8</x:v>
      </x:c>
      <x:c r="L66" s="166">
        <x:f>L2</x:f>
        <x:v>46037</x:v>
      </x:c>
      <x:c r="M66" s="167"/>
    </x:row>
    <x:row r="67" spans="1:13" ht="24.949999999999999" customHeight="1">
      <x:c r="A67" s="20"/>
      <x:c r="B67" s="14" t="s">
        <x:v>53</x:v>
      </x:c>
      <x:c r="C67" s="14" t="s">
        <x:v>2</x:v>
      </x:c>
      <x:c r="D67" s="14" t="s">
        <x:v>0</x:v>
      </x:c>
      <x:c r="E67" s="14" t="s">
        <x:v>10</x:v>
      </x:c>
      <x:c r="F67" s="14" t="s">
        <x:v>9</x:v>
      </x:c>
      <x:c r="G67" s="14" t="s">
        <x:v>6</x:v>
      </x:c>
      <x:c r="H67" s="16" t="s">
        <x:v>57</x:v>
      </x:c>
      <x:c r="I67" s="14" t="s">
        <x:v>2</x:v>
      </x:c>
      <x:c r="J67" s="14" t="s">
        <x:v>0</x:v>
      </x:c>
      <x:c r="K67" s="14" t="s">
        <x:v>10</x:v>
      </x:c>
      <x:c r="L67" s="15" t="s">
        <x:v>9</x:v>
      </x:c>
      <x:c r="M67" s="22" t="s">
        <x:v>13</x:v>
      </x:c>
    </x:row>
    <x:row r="68" spans="1:13" ht="24.949999999999999" customHeight="1">
      <x:c r="A68" s="12">
        <x:v>1</x:v>
      </x:c>
      <x:c r="B68" s="13" t="str">
        <x:f t="array" ref="B68:B68">INDEX($B$4:$M$33,MATCH($A68,$U$4:$U$33,0),COLUMN(A$1))</x:f>
        <x:v>최 현 수</x:v>
      </x:c>
      <x:c r="C68" s="62">
        <x:f t="array" ref="C68:C68">INDEX($B$4:$M$33,MATCH($A68,$U$4:$U$33,0),COLUMN(B$1))</x:f>
        <x:v>267</x:v>
      </x:c>
      <x:c r="D68" s="62">
        <x:f t="array" ref="D68:D68">INDEX($B$4:$M$33,MATCH($A68,$U$4:$U$33,0),COLUMN(C$1))</x:f>
        <x:v>267</x:v>
      </x:c>
      <x:c r="E68" s="62">
        <x:f t="array" ref="E68:E68">INDEX($B$4:$M$33,MATCH($A68,$U$4:$U$33,0),COLUMN(D$1))</x:f>
        <x:v>202</x:v>
      </x:c>
      <x:c r="F68" s="44">
        <x:f>SUM(C68:E68)</x:f>
        <x:v>736</x:v>
      </x:c>
      <x:c r="G68" s="45">
        <x:f>F68/3</x:f>
        <x:v>245.33333333333334</x:v>
      </x:c>
      <x:c r="H68" s="34">
        <x:f t="array" ref="H68:H68">IF(B68="","",IFERROR(INDEX('회원명단 및 기준에버'!D:G,MATCH(B68,'회원명단 및 기준에버'!$C:$C,0),CHOOSE(INT((MONTH($L$2)-1)/3)+1,1,2,3,4)),""))</x:f>
        <x:v>200</x:v>
      </x:c>
      <x:c r="I68" s="38">
        <x:f>IFERROR(C68+-H68,0)</x:f>
        <x:v>67</x:v>
      </x:c>
      <x:c r="J68" s="38">
        <x:f>IFERROR(D68+-H68,0)</x:f>
        <x:v>67</x:v>
      </x:c>
      <x:c r="K68" s="38">
        <x:f>IFERROR(E68+-H68,0)</x:f>
        <x:v>2</x:v>
      </x:c>
      <x:c r="L68" s="63">
        <x:f>SUM(I68:K68)</x:f>
        <x:v>136</x:v>
      </x:c>
      <x:c r="M68" s="39">
        <x:f>IFERROR(G68+-H68,0)</x:f>
        <x:v>45.333333333333343</x:v>
      </x:c>
    </x:row>
    <x:row r="69" spans="1:13" ht="24.949999999999999" customHeight="1">
      <x:c r="A69" s="12">
        <x:v>2</x:v>
      </x:c>
      <x:c r="B69" s="13" t="str">
        <x:f t="array" ref="B69:B69">INDEX($B$4:$M$33,MATCH($A69,$U$4:$U$33,0),COLUMN(A$1))</x:f>
        <x:v>고 경 훈</x:v>
      </x:c>
      <x:c r="C69" s="62">
        <x:f t="array" ref="C69:C69">INDEX($B$4:$M$33,MATCH($A69,$U$4:$U$33,0),COLUMN(B$1))</x:f>
        <x:v>247</x:v>
      </x:c>
      <x:c r="D69" s="62">
        <x:f t="array" ref="D69:D69">INDEX($B$4:$M$33,MATCH($A69,$U$4:$U$33,0),COLUMN(C$1))</x:f>
        <x:v>212</x:v>
      </x:c>
      <x:c r="E69" s="62">
        <x:f t="array" ref="E69:E69">INDEX($B$4:$M$33,MATCH($A69,$U$4:$U$33,0),COLUMN(D$1))</x:f>
        <x:v>250</x:v>
      </x:c>
      <x:c r="F69" s="44">
        <x:f>SUM(C69:E69)</x:f>
        <x:v>709</x:v>
      </x:c>
      <x:c r="G69" s="45">
        <x:f>F69/3</x:f>
        <x:v>236.33333333333334</x:v>
      </x:c>
      <x:c r="H69" s="34">
        <x:f t="array" ref="H69:H69">IF(B69="","",IFERROR(INDEX('회원명단 및 기준에버'!D:G,MATCH(B69,'회원명단 및 기준에버'!$C:$C,0),CHOOSE(INT((MONTH($L$2)-1)/3)+1,1,2,3,4)),""))</x:f>
        <x:v>195</x:v>
      </x:c>
      <x:c r="I69" s="38">
        <x:f>IFERROR(C69+-H69,0)</x:f>
        <x:v>52</x:v>
      </x:c>
      <x:c r="J69" s="38">
        <x:f>IFERROR(D69+-H69,0)</x:f>
        <x:v>17</x:v>
      </x:c>
      <x:c r="K69" s="38">
        <x:f>IFERROR(E69+-H69,0)</x:f>
        <x:v>55</x:v>
      </x:c>
      <x:c r="L69" s="63">
        <x:f>SUM(I69:K69)</x:f>
        <x:v>124</x:v>
      </x:c>
      <x:c r="M69" s="39">
        <x:f>IFERROR(G69+-H69,0)</x:f>
        <x:v>41.333333333333343</x:v>
      </x:c>
    </x:row>
    <x:row r="70" spans="1:13" ht="24.949999999999999" customHeight="1">
      <x:c r="A70" s="12">
        <x:v>3</x:v>
      </x:c>
      <x:c r="B70" s="13" t="str">
        <x:f t="array" ref="B70:B70">INDEX($B$4:$M$33,MATCH($A70,$U$4:$U$33,0),COLUMN(A$1))</x:f>
        <x:v>송 정 현</x:v>
      </x:c>
      <x:c r="C70" s="62">
        <x:f t="array" ref="C70:C70">INDEX($B$4:$M$33,MATCH($A70,$U$4:$U$33,0),COLUMN(B$1))</x:f>
        <x:v>224</x:v>
      </x:c>
      <x:c r="D70" s="62">
        <x:f t="array" ref="D70:D70">INDEX($B$4:$M$33,MATCH($A70,$U$4:$U$33,0),COLUMN(C$1))</x:f>
        <x:v>203</x:v>
      </x:c>
      <x:c r="E70" s="62">
        <x:f t="array" ref="E70:E70">INDEX($B$4:$M$33,MATCH($A70,$U$4:$U$33,0),COLUMN(D$1))</x:f>
        <x:v>212</x:v>
      </x:c>
      <x:c r="F70" s="44">
        <x:f>SUM(C70:E70)</x:f>
        <x:v>639</x:v>
      </x:c>
      <x:c r="G70" s="45">
        <x:f>F70/3</x:f>
        <x:v>213</x:v>
      </x:c>
      <x:c r="H70" s="34">
        <x:f t="array" ref="H70:H70">IF(B70="","",IFERROR(INDEX('회원명단 및 기준에버'!D:G,MATCH(B70,'회원명단 및 기준에버'!$C:$C,0),CHOOSE(INT((MONTH($L$2)-1)/3)+1,1,2,3,4)),""))</x:f>
        <x:v>187</x:v>
      </x:c>
      <x:c r="I70" s="38">
        <x:f t="shared" ref="I70:I97" si="18">IFERROR(C70+-H70,0)</x:f>
        <x:v>37</x:v>
      </x:c>
      <x:c r="J70" s="38">
        <x:f t="shared" ref="J70:J97" si="19">IFERROR(D70+-H70,0)</x:f>
        <x:v>16</x:v>
      </x:c>
      <x:c r="K70" s="38">
        <x:f t="shared" ref="K70:K97" si="20">IFERROR(E70+-H70,0)</x:f>
        <x:v>25</x:v>
      </x:c>
      <x:c r="L70" s="63">
        <x:f t="shared" ref="L70:L97" si="21">SUM(I70:K70)</x:f>
        <x:v>78</x:v>
      </x:c>
      <x:c r="M70" s="39">
        <x:f t="shared" ref="M70:M97" si="22">IFERROR(G70+-H70,0)</x:f>
        <x:v>26</x:v>
      </x:c>
    </x:row>
    <x:row r="71" spans="1:13" ht="24.949999999999999" customHeight="1">
      <x:c r="A71" s="12">
        <x:v>4</x:v>
      </x:c>
      <x:c r="B71" s="13" t="str">
        <x:f t="array" ref="B71:B71">INDEX($B$4:$M$33,MATCH($A71,$U$4:$U$33,0),COLUMN(A$1))</x:f>
        <x:v>천 성 일</x:v>
      </x:c>
      <x:c r="C71" s="62">
        <x:f t="array" ref="C71:C71">INDEX($B$4:$M$33,MATCH($A71,$U$4:$U$33,0),COLUMN(B$1))</x:f>
        <x:v>205</x:v>
      </x:c>
      <x:c r="D71" s="62">
        <x:f t="array" ref="D71:D71">INDEX($B$4:$M$33,MATCH($A71,$U$4:$U$33,0),COLUMN(C$1))</x:f>
        <x:v>219</x:v>
      </x:c>
      <x:c r="E71" s="62">
        <x:f t="array" ref="E71:E71">INDEX($B$4:$M$33,MATCH($A71,$U$4:$U$33,0),COLUMN(D$1))</x:f>
        <x:v>198</x:v>
      </x:c>
      <x:c r="F71" s="44">
        <x:f>SUM(C71:E71)</x:f>
        <x:v>622</x:v>
      </x:c>
      <x:c r="G71" s="45">
        <x:f>F71/3</x:f>
        <x:v>207.33333333333334</x:v>
      </x:c>
      <x:c r="H71" s="34">
        <x:f t="array" ref="H71:H71">IF(B71="","",IFERROR(INDEX('회원명단 및 기준에버'!D:G,MATCH(B71,'회원명단 및 기준에버'!$C:$C,0),CHOOSE(INT((MONTH($L$2)-1)/3)+1,1,2,3,4)),""))</x:f>
        <x:v>191</x:v>
      </x:c>
      <x:c r="I71" s="38">
        <x:f t="shared" si="18"/>
        <x:v>14</x:v>
      </x:c>
      <x:c r="J71" s="38">
        <x:f t="shared" si="19"/>
        <x:v>28</x:v>
      </x:c>
      <x:c r="K71" s="38">
        <x:f t="shared" si="20"/>
        <x:v>7</x:v>
      </x:c>
      <x:c r="L71" s="63">
        <x:f t="shared" si="21"/>
        <x:v>49</x:v>
      </x:c>
      <x:c r="M71" s="39">
        <x:f t="shared" si="22"/>
        <x:v>16.333333333333343</x:v>
      </x:c>
    </x:row>
    <x:row r="72" spans="1:13" ht="24.949999999999999" customHeight="1">
      <x:c r="A72" s="12">
        <x:v>5</x:v>
      </x:c>
      <x:c r="B72" s="13" t="str">
        <x:f t="array" ref="B72:B72">INDEX($B$4:$M$33,MATCH($A72,$U$4:$U$33,0),COLUMN(A$1))</x:f>
        <x:v>장 영 민</x:v>
      </x:c>
      <x:c r="C72" s="62">
        <x:f t="array" ref="C72:C72">INDEX($B$4:$M$33,MATCH($A72,$U$4:$U$33,0),COLUMN(B$1))</x:f>
        <x:v>237</x:v>
      </x:c>
      <x:c r="D72" s="62">
        <x:f t="array" ref="D72:D72">INDEX($B$4:$M$33,MATCH($A72,$U$4:$U$33,0),COLUMN(C$1))</x:f>
        <x:v>192</x:v>
      </x:c>
      <x:c r="E72" s="62">
        <x:f t="array" ref="E72:E72">INDEX($B$4:$M$33,MATCH($A72,$U$4:$U$33,0),COLUMN(D$1))</x:f>
        <x:v>213</x:v>
      </x:c>
      <x:c r="F72" s="44">
        <x:f t="shared" ref="F72:F97" si="23">SUM(C72:E72)</x:f>
        <x:v>642</x:v>
      </x:c>
      <x:c r="G72" s="45">
        <x:f t="shared" ref="G72:G97" si="24">F72/3</x:f>
        <x:v>214</x:v>
      </x:c>
      <x:c r="H72" s="34">
        <x:f t="array" ref="H72:H72">IF(B72="","",IFERROR(INDEX('회원명단 및 기준에버'!D:G,MATCH(B72,'회원명단 및 기준에버'!$C:$C,0),CHOOSE(INT((MONTH($L$2)-1)/3)+1,1,2,3,4)),""))</x:f>
        <x:v>200</x:v>
      </x:c>
      <x:c r="I72" s="38">
        <x:f t="shared" si="18"/>
        <x:v>37</x:v>
      </x:c>
      <x:c r="J72" s="38">
        <x:f t="shared" si="19"/>
        <x:v>-8</x:v>
      </x:c>
      <x:c r="K72" s="38">
        <x:f t="shared" si="20"/>
        <x:v>13</x:v>
      </x:c>
      <x:c r="L72" s="63">
        <x:f t="shared" si="21"/>
        <x:v>42</x:v>
      </x:c>
      <x:c r="M72" s="39">
        <x:f t="shared" si="22"/>
        <x:v>14</x:v>
      </x:c>
    </x:row>
    <x:row r="73" spans="1:13" ht="24.949999999999999" customHeight="1">
      <x:c r="A73" s="12">
        <x:v>6</x:v>
      </x:c>
      <x:c r="B73" s="13" t="str">
        <x:f t="array" ref="B73:B73">INDEX($B$4:$M$33,MATCH($A73,$U$4:$U$33,0),COLUMN(A$1))</x:f>
        <x:v>정 영 우</x:v>
      </x:c>
      <x:c r="C73" s="62">
        <x:f t="array" ref="C73:C73">INDEX($B$4:$M$33,MATCH($A73,$U$4:$U$33,0),COLUMN(B$1))</x:f>
        <x:v>224</x:v>
      </x:c>
      <x:c r="D73" s="62">
        <x:f t="array" ref="D73:D73">INDEX($B$4:$M$33,MATCH($A73,$U$4:$U$33,0),COLUMN(C$1))</x:f>
        <x:v>187</x:v>
      </x:c>
      <x:c r="E73" s="62">
        <x:f t="array" ref="E73:E73">INDEX($B$4:$M$33,MATCH($A73,$U$4:$U$33,0),COLUMN(D$1))</x:f>
        <x:v>183</x:v>
      </x:c>
      <x:c r="F73" s="44">
        <x:f t="shared" si="23"/>
        <x:v>594</x:v>
      </x:c>
      <x:c r="G73" s="45">
        <x:f t="shared" si="24"/>
        <x:v>198</x:v>
      </x:c>
      <x:c r="H73" s="34">
        <x:f t="array" ref="H73:H73">IF(B73="","",IFERROR(INDEX('회원명단 및 기준에버'!D:G,MATCH(B73,'회원명단 및 기준에버'!$C:$C,0),CHOOSE(INT((MONTH($L$2)-1)/3)+1,1,2,3,4)),""))</x:f>
        <x:v>184</x:v>
      </x:c>
      <x:c r="I73" s="38">
        <x:f t="shared" si="18"/>
        <x:v>40</x:v>
      </x:c>
      <x:c r="J73" s="38">
        <x:f t="shared" si="19"/>
        <x:v>3</x:v>
      </x:c>
      <x:c r="K73" s="38">
        <x:f t="shared" si="20"/>
        <x:v>-1</x:v>
      </x:c>
      <x:c r="L73" s="63">
        <x:f t="shared" si="21"/>
        <x:v>42</x:v>
      </x:c>
      <x:c r="M73" s="39">
        <x:f t="shared" si="22"/>
        <x:v>14</x:v>
      </x:c>
    </x:row>
    <x:row r="74" spans="1:13" ht="24.949999999999999" customHeight="1">
      <x:c r="A74" s="12">
        <x:v>7</x:v>
      </x:c>
      <x:c r="B74" s="13" t="str">
        <x:f t="array" ref="B74:B74">INDEX($B$4:$M$33,MATCH($A74,$U$4:$U$33,0),COLUMN(A$1))</x:f>
        <x:v>강 희 태</x:v>
      </x:c>
      <x:c r="C74" s="62">
        <x:f t="array" ref="C74:C74">INDEX($B$4:$M$33,MATCH($A74,$U$4:$U$33,0),COLUMN(B$1))</x:f>
        <x:v>244</x:v>
      </x:c>
      <x:c r="D74" s="62">
        <x:f t="array" ref="D74:D74">INDEX($B$4:$M$33,MATCH($A74,$U$4:$U$33,0),COLUMN(C$1))</x:f>
        <x:v>215</x:v>
      </x:c>
      <x:c r="E74" s="62">
        <x:f t="array" ref="E74:E74">INDEX($B$4:$M$33,MATCH($A74,$U$4:$U$33,0),COLUMN(D$1))</x:f>
        <x:v>179</x:v>
      </x:c>
      <x:c r="F74" s="44">
        <x:f t="shared" si="23"/>
        <x:v>638</x:v>
      </x:c>
      <x:c r="G74" s="45">
        <x:f t="shared" si="24"/>
        <x:v>212.66666666666666</x:v>
      </x:c>
      <x:c r="H74" s="34">
        <x:f t="array" ref="H74:H74">IF(B74="","",IFERROR(INDEX('회원명단 및 기준에버'!D:G,MATCH(B74,'회원명단 및 기준에버'!$C:$C,0),CHOOSE(INT((MONTH($L$2)-1)/3)+1,1,2,3,4)),""))</x:f>
        <x:v>200</x:v>
      </x:c>
      <x:c r="I74" s="38">
        <x:f t="shared" si="18"/>
        <x:v>44</x:v>
      </x:c>
      <x:c r="J74" s="38">
        <x:f t="shared" si="19"/>
        <x:v>15</x:v>
      </x:c>
      <x:c r="K74" s="38">
        <x:f t="shared" si="20"/>
        <x:v>-21</x:v>
      </x:c>
      <x:c r="L74" s="63">
        <x:f t="shared" si="21"/>
        <x:v>38</x:v>
      </x:c>
      <x:c r="M74" s="39">
        <x:f t="shared" si="22"/>
        <x:v>12.666666666666657</x:v>
      </x:c>
    </x:row>
    <x:row r="75" spans="1:13" ht="24.949999999999999" customHeight="1">
      <x:c r="A75" s="12">
        <x:v>8</x:v>
      </x:c>
      <x:c r="B75" s="13" t="str">
        <x:f t="array" ref="B75:B75">INDEX($B$4:$M$33,MATCH($A75,$U$4:$U$33,0),COLUMN(A$1))</x:f>
        <x:v>이 우 석</x:v>
      </x:c>
      <x:c r="C75" s="62">
        <x:f t="array" ref="C75:C75">INDEX($B$4:$M$33,MATCH($A75,$U$4:$U$33,0),COLUMN(B$1))</x:f>
        <x:v>172</x:v>
      </x:c>
      <x:c r="D75" s="62">
        <x:f t="array" ref="D75:D75">INDEX($B$4:$M$33,MATCH($A75,$U$4:$U$33,0),COLUMN(C$1))</x:f>
        <x:v>222</x:v>
      </x:c>
      <x:c r="E75" s="62">
        <x:f t="array" ref="E75:E75">INDEX($B$4:$M$33,MATCH($A75,$U$4:$U$33,0),COLUMN(D$1))</x:f>
        <x:v>242</x:v>
      </x:c>
      <x:c r="F75" s="44">
        <x:f t="shared" si="23"/>
        <x:v>636</x:v>
      </x:c>
      <x:c r="G75" s="45">
        <x:f t="shared" si="24"/>
        <x:v>212</x:v>
      </x:c>
      <x:c r="H75" s="34">
        <x:f t="array" ref="H75:H75">IF(B75="","",IFERROR(INDEX('회원명단 및 기준에버'!D:G,MATCH(B75,'회원명단 및 기준에버'!$C:$C,0),CHOOSE(INT((MONTH($L$2)-1)/3)+1,1,2,3,4)),""))</x:f>
        <x:v>200</x:v>
      </x:c>
      <x:c r="I75" s="38">
        <x:f t="shared" si="18"/>
        <x:v>-28</x:v>
      </x:c>
      <x:c r="J75" s="38">
        <x:f t="shared" si="19"/>
        <x:v>22</x:v>
      </x:c>
      <x:c r="K75" s="38">
        <x:f t="shared" si="20"/>
        <x:v>42</x:v>
      </x:c>
      <x:c r="L75" s="63">
        <x:f t="shared" si="21"/>
        <x:v>36</x:v>
      </x:c>
      <x:c r="M75" s="39">
        <x:f t="shared" si="22"/>
        <x:v>12</x:v>
      </x:c>
    </x:row>
    <x:row r="76" spans="1:13" ht="24.949999999999999" customHeight="1">
      <x:c r="A76" s="12">
        <x:v>9</x:v>
      </x:c>
      <x:c r="B76" s="13" t="str">
        <x:f t="array" ref="B76:B76">INDEX($B$4:$M$33,MATCH($A76,$U$4:$U$33,0),COLUMN(A$1))</x:f>
        <x:v>나 경 주</x:v>
      </x:c>
      <x:c r="C76" s="62">
        <x:f t="array" ref="C76:C76">INDEX($B$4:$M$33,MATCH($A76,$U$4:$U$33,0),COLUMN(B$1))</x:f>
        <x:v>247</x:v>
      </x:c>
      <x:c r="D76" s="62">
        <x:f t="array" ref="D76:D76">INDEX($B$4:$M$33,MATCH($A76,$U$4:$U$33,0),COLUMN(C$1))</x:f>
        <x:v>189</x:v>
      </x:c>
      <x:c r="E76" s="62">
        <x:f t="array" ref="E76:E76">INDEX($B$4:$M$33,MATCH($A76,$U$4:$U$33,0),COLUMN(D$1))</x:f>
        <x:v>175</x:v>
      </x:c>
      <x:c r="F76" s="44">
        <x:f t="shared" si="23"/>
        <x:v>611</x:v>
      </x:c>
      <x:c r="G76" s="45">
        <x:f t="shared" si="24"/>
        <x:v>203.66666666666666</x:v>
      </x:c>
      <x:c r="H76" s="34">
        <x:f t="array" ref="H76:H76">IF(B76="","",IFERROR(INDEX('회원명단 및 기준에버'!D:G,MATCH(B76,'회원명단 및 기준에버'!$C:$C,0),CHOOSE(INT((MONTH($L$2)-1)/3)+1,1,2,3,4)),""))</x:f>
        <x:v>192</x:v>
      </x:c>
      <x:c r="I76" s="38">
        <x:f t="shared" si="18"/>
        <x:v>55</x:v>
      </x:c>
      <x:c r="J76" s="38">
        <x:f t="shared" si="19"/>
        <x:v>-3</x:v>
      </x:c>
      <x:c r="K76" s="38">
        <x:f t="shared" si="20"/>
        <x:v>-17</x:v>
      </x:c>
      <x:c r="L76" s="63">
        <x:f t="shared" si="21"/>
        <x:v>35</x:v>
      </x:c>
      <x:c r="M76" s="39">
        <x:f t="shared" si="22"/>
        <x:v>11.666666666666657</x:v>
      </x:c>
    </x:row>
    <x:row r="77" spans="1:13" ht="24.949999999999999" customHeight="1">
      <x:c r="A77" s="12">
        <x:v>10</x:v>
      </x:c>
      <x:c r="B77" s="13" t="str">
        <x:f t="array" ref="B77:B77">INDEX($B$4:$M$33,MATCH($A77,$U$4:$U$33,0),COLUMN(A$1))</x:f>
        <x:v>이 대 용</x:v>
      </x:c>
      <x:c r="C77" s="62">
        <x:f t="array" ref="C77:C77">INDEX($B$4:$M$33,MATCH($A77,$U$4:$U$33,0),COLUMN(B$1))</x:f>
        <x:v>204</x:v>
      </x:c>
      <x:c r="D77" s="62">
        <x:f t="array" ref="D77:D77">INDEX($B$4:$M$33,MATCH($A77,$U$4:$U$33,0),COLUMN(C$1))</x:f>
        <x:v>196</x:v>
      </x:c>
      <x:c r="E77" s="62">
        <x:f t="array" ref="E77:E77">INDEX($B$4:$M$33,MATCH($A77,$U$4:$U$33,0),COLUMN(D$1))</x:f>
        <x:v>235</x:v>
      </x:c>
      <x:c r="F77" s="44">
        <x:f t="shared" si="23"/>
        <x:v>635</x:v>
      </x:c>
      <x:c r="G77" s="45">
        <x:f t="shared" si="24"/>
        <x:v>211.66666666666666</x:v>
      </x:c>
      <x:c r="H77" s="34">
        <x:f t="array" ref="H77:H77">IF(B77="","",IFERROR(INDEX('회원명단 및 기준에버'!D:G,MATCH(B77,'회원명단 및 기준에버'!$C:$C,0),CHOOSE(INT((MONTH($L$2)-1)/3)+1,1,2,3,4)),""))</x:f>
        <x:v>200</x:v>
      </x:c>
      <x:c r="I77" s="38">
        <x:f t="shared" si="18"/>
        <x:v>4</x:v>
      </x:c>
      <x:c r="J77" s="38">
        <x:f t="shared" si="19"/>
        <x:v>-4</x:v>
      </x:c>
      <x:c r="K77" s="38">
        <x:f t="shared" si="20"/>
        <x:v>35</x:v>
      </x:c>
      <x:c r="L77" s="63">
        <x:f t="shared" si="21"/>
        <x:v>35</x:v>
      </x:c>
      <x:c r="M77" s="39">
        <x:f t="shared" si="22"/>
        <x:v>11.666666666666657</x:v>
      </x:c>
    </x:row>
    <x:row r="78" spans="1:13" ht="24.949999999999999" customHeight="1">
      <x:c r="A78" s="12">
        <x:v>11</x:v>
      </x:c>
      <x:c r="B78" s="13" t="str">
        <x:f t="array" ref="B78:B78">INDEX($B$4:$M$33,MATCH($A78,$U$4:$U$33,0),COLUMN(A$1))</x:f>
        <x:v>김 종 훈</x:v>
      </x:c>
      <x:c r="C78" s="62">
        <x:f t="array" ref="C78:C78">INDEX($B$4:$M$33,MATCH($A78,$U$4:$U$33,0),COLUMN(B$1))</x:f>
        <x:v>219</x:v>
      </x:c>
      <x:c r="D78" s="62">
        <x:f t="array" ref="D78:D78">INDEX($B$4:$M$33,MATCH($A78,$U$4:$U$33,0),COLUMN(C$1))</x:f>
        <x:v>215</x:v>
      </x:c>
      <x:c r="E78" s="62">
        <x:f t="array" ref="E78:E78">INDEX($B$4:$M$33,MATCH($A78,$U$4:$U$33,0),COLUMN(D$1))</x:f>
        <x:v>193</x:v>
      </x:c>
      <x:c r="F78" s="44">
        <x:f t="shared" si="23"/>
        <x:v>627</x:v>
      </x:c>
      <x:c r="G78" s="45">
        <x:f t="shared" si="24"/>
        <x:v>209</x:v>
      </x:c>
      <x:c r="H78" s="34">
        <x:f t="array" ref="H78:H78">IF(B78="","",IFERROR(INDEX('회원명단 및 기준에버'!D:G,MATCH(B78,'회원명단 및 기준에버'!$C:$C,0),CHOOSE(INT((MONTH($L$2)-1)/3)+1,1,2,3,4)),""))</x:f>
        <x:v>198</x:v>
      </x:c>
      <x:c r="I78" s="38">
        <x:f t="shared" si="18"/>
        <x:v>21</x:v>
      </x:c>
      <x:c r="J78" s="38">
        <x:f t="shared" si="19"/>
        <x:v>17</x:v>
      </x:c>
      <x:c r="K78" s="38">
        <x:f t="shared" si="20"/>
        <x:v>-5</x:v>
      </x:c>
      <x:c r="L78" s="63">
        <x:f t="shared" si="21"/>
        <x:v>33</x:v>
      </x:c>
      <x:c r="M78" s="39">
        <x:f t="shared" si="22"/>
        <x:v>11</x:v>
      </x:c>
    </x:row>
    <x:row r="79" spans="1:13" ht="24.949999999999999" customHeight="1">
      <x:c r="A79" s="12">
        <x:v>12</x:v>
      </x:c>
      <x:c r="B79" s="13" t="str">
        <x:f t="array" ref="B79:B79">INDEX($B$4:$M$33,MATCH($A79,$U$4:$U$33,0),COLUMN(A$1))</x:f>
        <x:v>엄 정 도</x:v>
      </x:c>
      <x:c r="C79" s="62">
        <x:f t="array" ref="C79:C79">INDEX($B$4:$M$33,MATCH($A79,$U$4:$U$33,0),COLUMN(B$1))</x:f>
        <x:v>182</x:v>
      </x:c>
      <x:c r="D79" s="62">
        <x:f t="array" ref="D79:D79">INDEX($B$4:$M$33,MATCH($A79,$U$4:$U$33,0),COLUMN(C$1))</x:f>
        <x:v>178</x:v>
      </x:c>
      <x:c r="E79" s="62">
        <x:f t="array" ref="E79:E79">INDEX($B$4:$M$33,MATCH($A79,$U$4:$U$33,0),COLUMN(D$1))</x:f>
        <x:v>221</x:v>
      </x:c>
      <x:c r="F79" s="44">
        <x:f t="shared" si="23"/>
        <x:v>581</x:v>
      </x:c>
      <x:c r="G79" s="45">
        <x:f t="shared" si="24"/>
        <x:v>193.66666666666666</x:v>
      </x:c>
      <x:c r="H79" s="34">
        <x:f t="array" ref="H79:H79">IF(B79="","",IFERROR(INDEX('회원명단 및 기준에버'!D:G,MATCH(B79,'회원명단 및 기준에버'!$C:$C,0),CHOOSE(INT((MONTH($L$2)-1)/3)+1,1,2,3,4)),""))</x:f>
        <x:v>184</x:v>
      </x:c>
      <x:c r="I79" s="38">
        <x:f t="shared" si="18"/>
        <x:v>-2</x:v>
      </x:c>
      <x:c r="J79" s="38">
        <x:f t="shared" si="19"/>
        <x:v>-6</x:v>
      </x:c>
      <x:c r="K79" s="38">
        <x:f t="shared" si="20"/>
        <x:v>37</x:v>
      </x:c>
      <x:c r="L79" s="63">
        <x:f t="shared" si="21"/>
        <x:v>29</x:v>
      </x:c>
      <x:c r="M79" s="39">
        <x:f t="shared" si="22"/>
        <x:v>9.6666666666666572</x:v>
      </x:c>
    </x:row>
    <x:row r="80" spans="1:13" ht="24.949999999999999" customHeight="1">
      <x:c r="A80" s="12">
        <x:v>13</x:v>
      </x:c>
      <x:c r="B80" s="13" t="str">
        <x:f t="array" ref="B80:B80">INDEX($B$4:$M$33,MATCH($A80,$U$4:$U$33,0),COLUMN(A$1))</x:f>
        <x:v>임 연 진</x:v>
      </x:c>
      <x:c r="C80" s="62">
        <x:f t="array" ref="C80:C80">INDEX($B$4:$M$33,MATCH($A80,$U$4:$U$33,0),COLUMN(B$1))</x:f>
        <x:v>166</x:v>
      </x:c>
      <x:c r="D80" s="62">
        <x:f t="array" ref="D80:D80">INDEX($B$4:$M$33,MATCH($A80,$U$4:$U$33,0),COLUMN(C$1))</x:f>
        <x:v>194</x:v>
      </x:c>
      <x:c r="E80" s="62">
        <x:f t="array" ref="E80:E80">INDEX($B$4:$M$33,MATCH($A80,$U$4:$U$33,0),COLUMN(D$1))</x:f>
        <x:v>247</x:v>
      </x:c>
      <x:c r="F80" s="44">
        <x:f t="shared" si="23"/>
        <x:v>607</x:v>
      </x:c>
      <x:c r="G80" s="45">
        <x:f t="shared" si="24"/>
        <x:v>202.33333333333334</x:v>
      </x:c>
      <x:c r="H80" s="34">
        <x:f t="array" ref="H80:H80">IF(B80="","",IFERROR(INDEX('회원명단 및 기준에버'!D:G,MATCH(B80,'회원명단 및 기준에버'!$C:$C,0),CHOOSE(INT((MONTH($L$2)-1)/3)+1,1,2,3,4)),""))</x:f>
        <x:v>194</x:v>
      </x:c>
      <x:c r="I80" s="38">
        <x:f t="shared" si="18"/>
        <x:v>-28</x:v>
      </x:c>
      <x:c r="J80" s="38">
        <x:f t="shared" si="19"/>
        <x:v>0</x:v>
      </x:c>
      <x:c r="K80" s="38">
        <x:f t="shared" si="20"/>
        <x:v>53</x:v>
      </x:c>
      <x:c r="L80" s="63">
        <x:f t="shared" si="21"/>
        <x:v>25</x:v>
      </x:c>
      <x:c r="M80" s="39">
        <x:f t="shared" si="22"/>
        <x:v>8.3333333333333428</x:v>
      </x:c>
    </x:row>
    <x:row r="81" spans="1:13" ht="24.949999999999999" customHeight="1">
      <x:c r="A81" s="12">
        <x:v>14</x:v>
      </x:c>
      <x:c r="B81" s="13" t="str">
        <x:f t="array" ref="B81:B81">INDEX($B$4:$M$33,MATCH($A81,$U$4:$U$33,0),COLUMN(A$1))</x:f>
        <x:v>지 옥 명</x:v>
      </x:c>
      <x:c r="C81" s="62">
        <x:f t="array" ref="C81:C81">INDEX($B$4:$M$33,MATCH($A81,$U$4:$U$33,0),COLUMN(B$1))</x:f>
        <x:v>200</x:v>
      </x:c>
      <x:c r="D81" s="62">
        <x:f t="array" ref="D81:D81">INDEX($B$4:$M$33,MATCH($A81,$U$4:$U$33,0),COLUMN(C$1))</x:f>
        <x:v>160</x:v>
      </x:c>
      <x:c r="E81" s="62">
        <x:f t="array" ref="E81:E81">INDEX($B$4:$M$33,MATCH($A81,$U$4:$U$33,0),COLUMN(D$1))</x:f>
        <x:v>205</x:v>
      </x:c>
      <x:c r="F81" s="44">
        <x:f t="shared" si="23"/>
        <x:v>565</x:v>
      </x:c>
      <x:c r="G81" s="45">
        <x:f t="shared" si="24"/>
        <x:v>188.33333333333334</x:v>
      </x:c>
      <x:c r="H81" s="34">
        <x:f t="array" ref="H81:H81">IF(B81="","",IFERROR(INDEX('회원명단 및 기준에버'!D:G,MATCH(B81,'회원명단 및 기준에버'!$C:$C,0),CHOOSE(INT((MONTH($L$2)-1)/3)+1,1,2,3,4)),""))</x:f>
        <x:v>183</x:v>
      </x:c>
      <x:c r="I81" s="38">
        <x:f t="shared" si="18"/>
        <x:v>17</x:v>
      </x:c>
      <x:c r="J81" s="38">
        <x:f t="shared" si="19"/>
        <x:v>-23</x:v>
      </x:c>
      <x:c r="K81" s="38">
        <x:f t="shared" si="20"/>
        <x:v>22</x:v>
      </x:c>
      <x:c r="L81" s="63">
        <x:f t="shared" si="21"/>
        <x:v>16</x:v>
      </x:c>
      <x:c r="M81" s="39">
        <x:f t="shared" si="22"/>
        <x:v>5.3333333333333428</x:v>
      </x:c>
    </x:row>
    <x:row r="82" spans="1:13" ht="24.949999999999999" customHeight="1">
      <x:c r="A82" s="12">
        <x:v>15</x:v>
      </x:c>
      <x:c r="B82" s="13" t="str">
        <x:f t="array" ref="B82:B82">INDEX($B$4:$M$33,MATCH($A82,$U$4:$U$33,0),COLUMN(A$1))</x:f>
        <x:v>이 승 미</x:v>
      </x:c>
      <x:c r="C82" s="62">
        <x:f t="array" ref="C82:C82">INDEX($B$4:$M$33,MATCH($A82,$U$4:$U$33,0),COLUMN(B$1))</x:f>
        <x:v>170</x:v>
      </x:c>
      <x:c r="D82" s="62">
        <x:f t="array" ref="D82:D82">INDEX($B$4:$M$33,MATCH($A82,$U$4:$U$33,0),COLUMN(C$1))</x:f>
        <x:v>176</x:v>
      </x:c>
      <x:c r="E82" s="62">
        <x:f t="array" ref="E82:E82">INDEX($B$4:$M$33,MATCH($A82,$U$4:$U$33,0),COLUMN(D$1))</x:f>
        <x:v>153</x:v>
      </x:c>
      <x:c r="F82" s="44">
        <x:f t="shared" si="23"/>
        <x:v>499</x:v>
      </x:c>
      <x:c r="G82" s="45">
        <x:f t="shared" si="24"/>
        <x:v>166.33333333333334</x:v>
      </x:c>
      <x:c r="H82" s="34">
        <x:f t="array" ref="H82:H82">IF(B82="","",IFERROR(INDEX('회원명단 및 기준에버'!D:G,MATCH(B82,'회원명단 및 기준에버'!$C:$C,0),CHOOSE(INT((MONTH($L$2)-1)/3)+1,1,2,3,4)),""))</x:f>
        <x:v>165</x:v>
      </x:c>
      <x:c r="I82" s="38">
        <x:f t="shared" si="18"/>
        <x:v>5</x:v>
      </x:c>
      <x:c r="J82" s="38">
        <x:f t="shared" si="19"/>
        <x:v>11</x:v>
      </x:c>
      <x:c r="K82" s="38">
        <x:f t="shared" si="20"/>
        <x:v>-12</x:v>
      </x:c>
      <x:c r="L82" s="63">
        <x:f t="shared" si="21"/>
        <x:v>4</x:v>
      </x:c>
      <x:c r="M82" s="39">
        <x:f t="shared" si="22"/>
        <x:v>1.3333333333333428</x:v>
      </x:c>
    </x:row>
    <x:row r="83" spans="1:13" ht="24.949999999999999" customHeight="1">
      <x:c r="A83" s="12">
        <x:v>16</x:v>
      </x:c>
      <x:c r="B83" s="13">
        <x:f t="array" ref="B83:B83">INDEX($B$4:$M$33,MATCH($A83,$U$4:$U$33,0),COLUMN(A$1))</x:f>
        <x:v>0</x:v>
      </x:c>
      <x:c r="C83" s="62">
        <x:f t="array" ref="C83:C83">INDEX($B$4:$M$33,MATCH($A83,$U$4:$U$33,0),COLUMN(B$1))</x:f>
        <x:v>0</x:v>
      </x:c>
      <x:c r="D83" s="62">
        <x:f t="array" ref="D83:D83">INDEX($B$4:$M$33,MATCH($A83,$U$4:$U$33,0),COLUMN(C$1))</x:f>
        <x:v>0</x:v>
      </x:c>
      <x:c r="E83" s="62">
        <x:f t="array" ref="E83:E83">INDEX($B$4:$M$33,MATCH($A83,$U$4:$U$33,0),COLUMN(D$1))</x:f>
        <x:v>0</x:v>
      </x:c>
      <x:c r="F83" s="44">
        <x:f t="shared" si="23"/>
        <x:v>0</x:v>
      </x:c>
      <x:c r="G83" s="45">
        <x:f t="shared" si="24"/>
        <x:v>0</x:v>
      </x:c>
      <x:c r="H83" s="34" t="str">
        <x:f t="array" ref="H83:H83">IF(B83="","",IFERROR(INDEX('회원명단 및 기준에버'!D:G,MATCH(B83,'회원명단 및 기준에버'!$C:$C,0),CHOOSE(INT((MONTH($L$2)-1)/3)+1,1,2,3,4)),""))</x:f>
        <x:v/>
      </x:c>
      <x:c r="I83" s="38">
        <x:f t="shared" si="18"/>
        <x:v>0</x:v>
      </x:c>
      <x:c r="J83" s="38">
        <x:f t="shared" si="19"/>
        <x:v>0</x:v>
      </x:c>
      <x:c r="K83" s="38">
        <x:f t="shared" si="20"/>
        <x:v>0</x:v>
      </x:c>
      <x:c r="L83" s="63">
        <x:f t="shared" si="21"/>
        <x:v>0</x:v>
      </x:c>
      <x:c r="M83" s="39">
        <x:f t="shared" si="22"/>
        <x:v>0</x:v>
      </x:c>
    </x:row>
    <x:row r="84" spans="1:13" ht="24.949999999999999" customHeight="1">
      <x:c r="A84" s="12">
        <x:v>17</x:v>
      </x:c>
      <x:c r="B84" s="13" t="str">
        <x:f t="array" ref="B84:B84">INDEX($B$4:$M$33,MATCH($A84,$U$4:$U$33,0),COLUMN(A$1))</x:f>
        <x:v>진 명 옥</x:v>
      </x:c>
      <x:c r="C84" s="62">
        <x:f t="array" ref="C84:C84">INDEX($B$4:$M$33,MATCH($A84,$U$4:$U$33,0),COLUMN(B$1))</x:f>
        <x:v>190</x:v>
      </x:c>
      <x:c r="D84" s="62">
        <x:f t="array" ref="D84:D84">INDEX($B$4:$M$33,MATCH($A84,$U$4:$U$33,0),COLUMN(C$1))</x:f>
        <x:v>168</x:v>
      </x:c>
      <x:c r="E84" s="62">
        <x:f t="array" ref="E84:E84">INDEX($B$4:$M$33,MATCH($A84,$U$4:$U$33,0),COLUMN(D$1))</x:f>
        <x:v>151</x:v>
      </x:c>
      <x:c r="F84" s="44">
        <x:f t="shared" si="23"/>
        <x:v>509</x:v>
      </x:c>
      <x:c r="G84" s="45">
        <x:f t="shared" si="24"/>
        <x:v>169.66666666666666</x:v>
      </x:c>
      <x:c r="H84" s="34">
        <x:f t="array" ref="H84:H84">IF(B84="","",IFERROR(INDEX('회원명단 및 기준에버'!D:G,MATCH(B84,'회원명단 및 기준에버'!$C:$C,0),CHOOSE(INT((MONTH($L$2)-1)/3)+1,1,2,3,4)),""))</x:f>
        <x:v>171</x:v>
      </x:c>
      <x:c r="I84" s="38">
        <x:f t="shared" si="18"/>
        <x:v>19</x:v>
      </x:c>
      <x:c r="J84" s="38">
        <x:f t="shared" si="19"/>
        <x:v>-3</x:v>
      </x:c>
      <x:c r="K84" s="38">
        <x:f t="shared" si="20"/>
        <x:v>-20</x:v>
      </x:c>
      <x:c r="L84" s="63">
        <x:f t="shared" si="21"/>
        <x:v>-4</x:v>
      </x:c>
      <x:c r="M84" s="39">
        <x:f t="shared" si="22"/>
        <x:v>-1.3333333333333428</x:v>
      </x:c>
    </x:row>
    <x:row r="85" spans="1:13" ht="24.949999999999999" customHeight="1">
      <x:c r="A85" s="12">
        <x:v>18</x:v>
      </x:c>
      <x:c r="B85" s="13" t="str">
        <x:f t="array" ref="B85:B85">INDEX($B$4:$M$33,MATCH($A85,$U$4:$U$33,0),COLUMN(A$1))</x:f>
        <x:v>이 상 현</x:v>
      </x:c>
      <x:c r="C85" s="62">
        <x:f t="array" ref="C85:C85">INDEX($B$4:$M$33,MATCH($A85,$U$4:$U$33,0),COLUMN(B$1))</x:f>
        <x:v>171</x:v>
      </x:c>
      <x:c r="D85" s="62">
        <x:f t="array" ref="D85:D85">INDEX($B$4:$M$33,MATCH($A85,$U$4:$U$33,0),COLUMN(C$1))</x:f>
        <x:v>157</x:v>
      </x:c>
      <x:c r="E85" s="62">
        <x:f t="array" ref="E85:E85">INDEX($B$4:$M$33,MATCH($A85,$U$4:$U$33,0),COLUMN(D$1))</x:f>
        <x:v>226</x:v>
      </x:c>
      <x:c r="F85" s="44">
        <x:f t="shared" si="23"/>
        <x:v>554</x:v>
      </x:c>
      <x:c r="G85" s="45">
        <x:f t="shared" si="24"/>
        <x:v>184.66666666666666</x:v>
      </x:c>
      <x:c r="H85" s="34">
        <x:f t="array" ref="H85:H85">IF(B85="","",IFERROR(INDEX('회원명단 및 기준에버'!D:G,MATCH(B85,'회원명단 및 기준에버'!$C:$C,0),CHOOSE(INT((MONTH($L$2)-1)/3)+1,1,2,3,4)),""))</x:f>
        <x:v>188</x:v>
      </x:c>
      <x:c r="I85" s="38">
        <x:f t="shared" si="18"/>
        <x:v>-17</x:v>
      </x:c>
      <x:c r="J85" s="38">
        <x:f t="shared" si="19"/>
        <x:v>-31</x:v>
      </x:c>
      <x:c r="K85" s="38">
        <x:f t="shared" si="20"/>
        <x:v>38</x:v>
      </x:c>
      <x:c r="L85" s="63">
        <x:f t="shared" si="21"/>
        <x:v>-10</x:v>
      </x:c>
      <x:c r="M85" s="39">
        <x:f t="shared" si="22"/>
        <x:v>-3.3333333333333428</x:v>
      </x:c>
    </x:row>
    <x:row r="86" spans="1:13" ht="24.949999999999999" customHeight="1">
      <x:c r="A86" s="12">
        <x:v>19</x:v>
      </x:c>
      <x:c r="B86" s="13" t="str">
        <x:f t="array" ref="B86:B86">INDEX($B$4:$M$33,MATCH($A86,$U$4:$U$33,0),COLUMN(A$1))</x:f>
        <x:v>강 완 규</x:v>
      </x:c>
      <x:c r="C86" s="62">
        <x:f t="array" ref="C86:C86">INDEX($B$4:$M$33,MATCH($A86,$U$4:$U$33,0),COLUMN(B$1))</x:f>
        <x:v>195</x:v>
      </x:c>
      <x:c r="D86" s="62">
        <x:f t="array" ref="D86:D86">INDEX($B$4:$M$33,MATCH($A86,$U$4:$U$33,0),COLUMN(C$1))</x:f>
        <x:v>189</x:v>
      </x:c>
      <x:c r="E86" s="62">
        <x:f t="array" ref="E86:E86">INDEX($B$4:$M$33,MATCH($A86,$U$4:$U$33,0),COLUMN(D$1))</x:f>
        <x:v>187</x:v>
      </x:c>
      <x:c r="F86" s="44">
        <x:f t="shared" si="23"/>
        <x:v>571</x:v>
      </x:c>
      <x:c r="G86" s="45">
        <x:f t="shared" si="24"/>
        <x:v>190.33333333333334</x:v>
      </x:c>
      <x:c r="H86" s="34">
        <x:f t="array" ref="H86:H86">IF(B86="","",IFERROR(INDEX('회원명단 및 기준에버'!D:G,MATCH(B86,'회원명단 및 기준에버'!$C:$C,0),CHOOSE(INT((MONTH($L$2)-1)/3)+1,1,2,3,4)),""))</x:f>
        <x:v>194</x:v>
      </x:c>
      <x:c r="I86" s="38">
        <x:f t="shared" si="18"/>
        <x:v>1</x:v>
      </x:c>
      <x:c r="J86" s="38">
        <x:f t="shared" si="19"/>
        <x:v>-5</x:v>
      </x:c>
      <x:c r="K86" s="38">
        <x:f t="shared" si="20"/>
        <x:v>-7</x:v>
      </x:c>
      <x:c r="L86" s="63">
        <x:f t="shared" si="21"/>
        <x:v>-11</x:v>
      </x:c>
      <x:c r="M86" s="39">
        <x:f t="shared" si="22"/>
        <x:v>-3.6666666666666572</x:v>
      </x:c>
    </x:row>
    <x:row r="87" spans="1:13" ht="24.949999999999999" customHeight="1">
      <x:c r="A87" s="12">
        <x:v>20</x:v>
      </x:c>
      <x:c r="B87" s="13" t="str">
        <x:f t="array" ref="B87:B87">INDEX($B$4:$M$33,MATCH($A87,$U$4:$U$33,0),COLUMN(A$1))</x:f>
        <x:v>이 정 석</x:v>
      </x:c>
      <x:c r="C87" s="62">
        <x:f t="array" ref="C87:C87">INDEX($B$4:$M$33,MATCH($A87,$U$4:$U$33,0),COLUMN(B$1))</x:f>
        <x:v>225</x:v>
      </x:c>
      <x:c r="D87" s="62">
        <x:f t="array" ref="D87:D87">INDEX($B$4:$M$33,MATCH($A87,$U$4:$U$33,0),COLUMN(C$1))</x:f>
        <x:v>162</x:v>
      </x:c>
      <x:c r="E87" s="62">
        <x:f t="array" ref="E87:E87">INDEX($B$4:$M$33,MATCH($A87,$U$4:$U$33,0),COLUMN(D$1))</x:f>
        <x:v>187</x:v>
      </x:c>
      <x:c r="F87" s="44">
        <x:f t="shared" si="23"/>
        <x:v>574</x:v>
      </x:c>
      <x:c r="G87" s="45">
        <x:f t="shared" si="24"/>
        <x:v>191.33333333333334</x:v>
      </x:c>
      <x:c r="H87" s="34">
        <x:f t="array" ref="H87:H87">IF(B87="","",IFERROR(INDEX('회원명단 및 기준에버'!D:G,MATCH(B87,'회원명단 및 기준에버'!$C:$C,0),CHOOSE(INT((MONTH($L$2)-1)/3)+1,1,2,3,4)),""))</x:f>
        <x:v>196</x:v>
      </x:c>
      <x:c r="I87" s="38">
        <x:f t="shared" si="18"/>
        <x:v>29</x:v>
      </x:c>
      <x:c r="J87" s="38">
        <x:f t="shared" si="19"/>
        <x:v>-34</x:v>
      </x:c>
      <x:c r="K87" s="38">
        <x:f t="shared" si="20"/>
        <x:v>-9</x:v>
      </x:c>
      <x:c r="L87" s="63">
        <x:f t="shared" si="21"/>
        <x:v>-14</x:v>
      </x:c>
      <x:c r="M87" s="39">
        <x:f t="shared" si="22"/>
        <x:v>-4.6666666666666572</x:v>
      </x:c>
    </x:row>
    <x:row r="88" spans="1:13" ht="24.949999999999999" customHeight="1">
      <x:c r="A88" s="12">
        <x:v>21</x:v>
      </x:c>
      <x:c r="B88" s="13" t="str">
        <x:f t="array" ref="B88:B88">INDEX($B$4:$M$33,MATCH($A88,$U$4:$U$33,0),COLUMN(A$1))</x:f>
        <x:v>황 인 교</x:v>
      </x:c>
      <x:c r="C88" s="62">
        <x:f t="array" ref="C88:C88">INDEX($B$4:$M$33,MATCH($A88,$U$4:$U$33,0),COLUMN(B$1))</x:f>
        <x:v>168</x:v>
      </x:c>
      <x:c r="D88" s="62">
        <x:f t="array" ref="D88:D88">INDEX($B$4:$M$33,MATCH($A88,$U$4:$U$33,0),COLUMN(C$1))</x:f>
        <x:v>180</x:v>
      </x:c>
      <x:c r="E88" s="62">
        <x:f t="array" ref="E88:E88">INDEX($B$4:$M$33,MATCH($A88,$U$4:$U$33,0),COLUMN(D$1))</x:f>
        <x:v>178</x:v>
      </x:c>
      <x:c r="F88" s="44">
        <x:f t="shared" si="23"/>
        <x:v>526</x:v>
      </x:c>
      <x:c r="G88" s="45">
        <x:f t="shared" si="24"/>
        <x:v>175.33333333333334</x:v>
      </x:c>
      <x:c r="H88" s="34">
        <x:f t="array" ref="H88:H88">IF(B88="","",IFERROR(INDEX('회원명단 및 기준에버'!D:G,MATCH(B88,'회원명단 및 기준에버'!$C:$C,0),CHOOSE(INT((MONTH($L$2)-1)/3)+1,1,2,3,4)),""))</x:f>
        <x:v>184</x:v>
      </x:c>
      <x:c r="I88" s="38">
        <x:f t="shared" si="18"/>
        <x:v>-16</x:v>
      </x:c>
      <x:c r="J88" s="38">
        <x:f t="shared" si="19"/>
        <x:v>-4</x:v>
      </x:c>
      <x:c r="K88" s="38">
        <x:f t="shared" si="20"/>
        <x:v>-6</x:v>
      </x:c>
      <x:c r="L88" s="63">
        <x:f t="shared" si="21"/>
        <x:v>-26</x:v>
      </x:c>
      <x:c r="M88" s="39">
        <x:f t="shared" si="22"/>
        <x:v>-8.6666666666666572</x:v>
      </x:c>
    </x:row>
    <x:row r="89" spans="1:13" ht="24.949999999999999" customHeight="1">
      <x:c r="A89" s="12">
        <x:v>22</x:v>
      </x:c>
      <x:c r="B89" s="13" t="str">
        <x:f t="array" ref="B89:B89">INDEX($B$4:$M$33,MATCH($A89,$U$4:$U$33,0),COLUMN(A$1))</x:f>
        <x:v>변 상 필</x:v>
      </x:c>
      <x:c r="C89" s="62">
        <x:f t="array" ref="C89:C89">INDEX($B$4:$M$33,MATCH($A89,$U$4:$U$33,0),COLUMN(B$1))</x:f>
        <x:v>220</x:v>
      </x:c>
      <x:c r="D89" s="62">
        <x:f t="array" ref="D89:D89">INDEX($B$4:$M$33,MATCH($A89,$U$4:$U$33,0),COLUMN(C$1))</x:f>
        <x:v>181</x:v>
      </x:c>
      <x:c r="E89" s="62">
        <x:f t="array" ref="E89:E89">INDEX($B$4:$M$33,MATCH($A89,$U$4:$U$33,0),COLUMN(D$1))</x:f>
        <x:v>166</x:v>
      </x:c>
      <x:c r="F89" s="44">
        <x:f t="shared" si="23"/>
        <x:v>567</x:v>
      </x:c>
      <x:c r="G89" s="45">
        <x:f t="shared" si="24"/>
        <x:v>189</x:v>
      </x:c>
      <x:c r="H89" s="34">
        <x:f t="array" ref="H89:H89">IF(B89="","",IFERROR(INDEX('회원명단 및 기준에버'!D:G,MATCH(B89,'회원명단 및 기준에버'!$C:$C,0),CHOOSE(INT((MONTH($L$2)-1)/3)+1,1,2,3,4)),""))</x:f>
        <x:v>200</x:v>
      </x:c>
      <x:c r="I89" s="38">
        <x:f t="shared" si="18"/>
        <x:v>20</x:v>
      </x:c>
      <x:c r="J89" s="38">
        <x:f t="shared" si="19"/>
        <x:v>-19</x:v>
      </x:c>
      <x:c r="K89" s="38">
        <x:f t="shared" si="20"/>
        <x:v>-34</x:v>
      </x:c>
      <x:c r="L89" s="63">
        <x:f t="shared" si="21"/>
        <x:v>-33</x:v>
      </x:c>
      <x:c r="M89" s="39">
        <x:f t="shared" si="22"/>
        <x:v>-11</x:v>
      </x:c>
    </x:row>
    <x:row r="90" spans="1:13" ht="24.949999999999999" customHeight="1">
      <x:c r="A90" s="12">
        <x:v>23</x:v>
      </x:c>
      <x:c r="B90" s="13" t="str">
        <x:f t="array" ref="B90:B90">INDEX($B$4:$M$33,MATCH($A90,$U$4:$U$33,0),COLUMN(A$1))</x:f>
        <x:v>김 미 란</x:v>
      </x:c>
      <x:c r="C90" s="62">
        <x:f t="array" ref="C90:C90">INDEX($B$4:$M$33,MATCH($A90,$U$4:$U$33,0),COLUMN(B$1))</x:f>
        <x:v>171</x:v>
      </x:c>
      <x:c r="D90" s="62">
        <x:f t="array" ref="D90:D90">INDEX($B$4:$M$33,MATCH($A90,$U$4:$U$33,0),COLUMN(C$1))</x:f>
        <x:v>214</x:v>
      </x:c>
      <x:c r="E90" s="62">
        <x:f t="array" ref="E90:E90">INDEX($B$4:$M$33,MATCH($A90,$U$4:$U$33,0),COLUMN(D$1))</x:f>
        <x:v>126</x:v>
      </x:c>
      <x:c r="F90" s="44">
        <x:f t="shared" si="23"/>
        <x:v>511</x:v>
      </x:c>
      <x:c r="G90" s="45">
        <x:f t="shared" si="24"/>
        <x:v>170.33333333333334</x:v>
      </x:c>
      <x:c r="H90" s="34">
        <x:f t="array" ref="H90:H90">IF(B90="","",IFERROR(INDEX('회원명단 및 기준에버'!D:G,MATCH(B90,'회원명단 및 기준에버'!$C:$C,0),CHOOSE(INT((MONTH($L$2)-1)/3)+1,1,2,3,4)),""))</x:f>
        <x:v>182</x:v>
      </x:c>
      <x:c r="I90" s="38">
        <x:f t="shared" si="18"/>
        <x:v>-11</x:v>
      </x:c>
      <x:c r="J90" s="38">
        <x:f t="shared" si="19"/>
        <x:v>32</x:v>
      </x:c>
      <x:c r="K90" s="38">
        <x:f t="shared" si="20"/>
        <x:v>-56</x:v>
      </x:c>
      <x:c r="L90" s="63">
        <x:f t="shared" si="21"/>
        <x:v>-35</x:v>
      </x:c>
      <x:c r="M90" s="39">
        <x:f t="shared" si="22"/>
        <x:v>-11.666666666666657</x:v>
      </x:c>
    </x:row>
    <x:row r="91" spans="1:13" ht="24.949999999999999" customHeight="1">
      <x:c r="A91" s="12">
        <x:v>24</x:v>
      </x:c>
      <x:c r="B91" s="13" t="str">
        <x:f t="array" ref="B91:B91">INDEX($B$4:$M$33,MATCH($A91,$U$4:$U$33,0),COLUMN(A$1))</x:f>
        <x:v>박 성 현</x:v>
      </x:c>
      <x:c r="C91" s="62">
        <x:f t="array" ref="C91:C91">INDEX($B$4:$M$33,MATCH($A91,$U$4:$U$33,0),COLUMN(B$1))</x:f>
        <x:v>199</x:v>
      </x:c>
      <x:c r="D91" s="62">
        <x:f t="array" ref="D91:D91">INDEX($B$4:$M$33,MATCH($A91,$U$4:$U$33,0),COLUMN(C$1))</x:f>
        <x:v>132</x:v>
      </x:c>
      <x:c r="E91" s="62">
        <x:f t="array" ref="E91:E91">INDEX($B$4:$M$33,MATCH($A91,$U$4:$U$33,0),COLUMN(D$1))</x:f>
        <x:v>184</x:v>
      </x:c>
      <x:c r="F91" s="44">
        <x:f t="shared" si="23"/>
        <x:v>515</x:v>
      </x:c>
      <x:c r="G91" s="45">
        <x:f t="shared" si="24"/>
        <x:v>171.66666666666666</x:v>
      </x:c>
      <x:c r="H91" s="34">
        <x:f t="array" ref="H91:H91">IF(B91="","",IFERROR(INDEX('회원명단 및 기준에버'!D:G,MATCH(B91,'회원명단 및 기준에버'!$C:$C,0),CHOOSE(INT((MONTH($L$2)-1)/3)+1,1,2,3,4)),""))</x:f>
        <x:v>190</x:v>
      </x:c>
      <x:c r="I91" s="38">
        <x:f t="shared" si="18"/>
        <x:v>9</x:v>
      </x:c>
      <x:c r="J91" s="38">
        <x:f t="shared" si="19"/>
        <x:v>-58</x:v>
      </x:c>
      <x:c r="K91" s="38">
        <x:f t="shared" si="20"/>
        <x:v>-6</x:v>
      </x:c>
      <x:c r="L91" s="63">
        <x:f t="shared" si="21"/>
        <x:v>-55</x:v>
      </x:c>
      <x:c r="M91" s="39">
        <x:f t="shared" si="22"/>
        <x:v>-18.333333333333343</x:v>
      </x:c>
    </x:row>
    <x:row r="92" spans="1:13" ht="24.949999999999999" customHeight="1">
      <x:c r="A92" s="12">
        <x:v>25</x:v>
      </x:c>
      <x:c r="B92" s="13" t="str">
        <x:f t="array" ref="B92:B92">INDEX($B$4:$M$33,MATCH($A92,$U$4:$U$33,0),COLUMN(A$1))</x:f>
        <x:v>손 은 주</x:v>
      </x:c>
      <x:c r="C92" s="62">
        <x:f t="array" ref="C92:C92">INDEX($B$4:$M$33,MATCH($A92,$U$4:$U$33,0),COLUMN(B$1))</x:f>
        <x:v>125</x:v>
      </x:c>
      <x:c r="D92" s="62">
        <x:f t="array" ref="D92:D92">INDEX($B$4:$M$33,MATCH($A92,$U$4:$U$33,0),COLUMN(C$1))</x:f>
        <x:v>146</x:v>
      </x:c>
      <x:c r="E92" s="62">
        <x:f t="array" ref="E92:E92">INDEX($B$4:$M$33,MATCH($A92,$U$4:$U$33,0),COLUMN(D$1))</x:f>
        <x:v>101</x:v>
      </x:c>
      <x:c r="F92" s="44">
        <x:f t="shared" si="23"/>
        <x:v>372</x:v>
      </x:c>
      <x:c r="G92" s="45">
        <x:f t="shared" si="24"/>
        <x:v>124</x:v>
      </x:c>
      <x:c r="H92" s="34">
        <x:f t="array" ref="H92:H92">IF(B92="","",IFERROR(INDEX('회원명단 및 기준에버'!D:G,MATCH(B92,'회원명단 및 기준에버'!$C:$C,0),CHOOSE(INT((MONTH($L$2)-1)/3)+1,1,2,3,4)),""))</x:f>
        <x:v>151</x:v>
      </x:c>
      <x:c r="I92" s="38">
        <x:f t="shared" si="18"/>
        <x:v>-26</x:v>
      </x:c>
      <x:c r="J92" s="38">
        <x:f t="shared" si="19"/>
        <x:v>-5</x:v>
      </x:c>
      <x:c r="K92" s="38">
        <x:f t="shared" si="20"/>
        <x:v>-50</x:v>
      </x:c>
      <x:c r="L92" s="63">
        <x:f t="shared" si="21"/>
        <x:v>-81</x:v>
      </x:c>
      <x:c r="M92" s="39">
        <x:f t="shared" si="22"/>
        <x:v>-27</x:v>
      </x:c>
    </x:row>
    <x:row r="93" spans="1:13" ht="24.949999999999999" customHeight="1">
      <x:c r="A93" s="12">
        <x:v>26</x:v>
      </x:c>
      <x:c r="B93" s="13">
        <x:f t="array" ref="B93:B93">INDEX($B$4:$M$33,MATCH($A93,$U$4:$U$33,0),COLUMN(A$1))</x:f>
        <x:v>0</x:v>
      </x:c>
      <x:c r="C93" s="62">
        <x:f t="array" ref="C93:C93">INDEX($B$4:$M$33,MATCH($A93,$U$4:$U$33,0),COLUMN(B$1))</x:f>
        <x:v>0</x:v>
      </x:c>
      <x:c r="D93" s="62">
        <x:f t="array" ref="D93:D93">INDEX($B$4:$M$33,MATCH($A93,$U$4:$U$33,0),COLUMN(C$1))</x:f>
        <x:v>0</x:v>
      </x:c>
      <x:c r="E93" s="62">
        <x:f t="array" ref="E93:E93">INDEX($B$4:$M$33,MATCH($A93,$U$4:$U$33,0),COLUMN(D$1))</x:f>
        <x:v>0</x:v>
      </x:c>
      <x:c r="F93" s="44">
        <x:f t="shared" si="23"/>
        <x:v>0</x:v>
      </x:c>
      <x:c r="G93" s="45">
        <x:f t="shared" si="24"/>
        <x:v>0</x:v>
      </x:c>
      <x:c r="H93" s="34" t="str">
        <x:f t="array" ref="H93:H93">IF(B93="","",IFERROR(INDEX('회원명단 및 기준에버'!D:G,MATCH(B93,'회원명단 및 기준에버'!$C:$C,0),CHOOSE(INT((MONTH($L$2)-1)/3)+1,1,2,3,4)),""))</x:f>
        <x:v/>
      </x:c>
      <x:c r="I93" s="38">
        <x:f t="shared" si="18"/>
        <x:v>0</x:v>
      </x:c>
      <x:c r="J93" s="38">
        <x:f t="shared" si="19"/>
        <x:v>0</x:v>
      </x:c>
      <x:c r="K93" s="38">
        <x:f t="shared" si="20"/>
        <x:v>0</x:v>
      </x:c>
      <x:c r="L93" s="63">
        <x:f t="shared" si="21"/>
        <x:v>0</x:v>
      </x:c>
      <x:c r="M93" s="39">
        <x:f t="shared" si="22"/>
        <x:v>0</x:v>
      </x:c>
    </x:row>
    <x:row r="94" spans="1:13" ht="24.949999999999999" customHeight="1">
      <x:c r="A94" s="12">
        <x:v>27</x:v>
      </x:c>
      <x:c r="B94" s="13">
        <x:f t="array" ref="B94:B94">INDEX($B$4:$M$33,MATCH($A94,$U$4:$U$33,0),COLUMN(A$1))</x:f>
        <x:v>0</x:v>
      </x:c>
      <x:c r="C94" s="62">
        <x:f t="array" ref="C94:C94">INDEX($B$4:$M$33,MATCH($A94,$U$4:$U$33,0),COLUMN(B$1))</x:f>
        <x:v>0</x:v>
      </x:c>
      <x:c r="D94" s="62">
        <x:f t="array" ref="D94:D94">INDEX($B$4:$M$33,MATCH($A94,$U$4:$U$33,0),COLUMN(C$1))</x:f>
        <x:v>0</x:v>
      </x:c>
      <x:c r="E94" s="62">
        <x:f t="array" ref="E94:E94">INDEX($B$4:$M$33,MATCH($A94,$U$4:$U$33,0),COLUMN(D$1))</x:f>
        <x:v>0</x:v>
      </x:c>
      <x:c r="F94" s="44">
        <x:f t="shared" si="23"/>
        <x:v>0</x:v>
      </x:c>
      <x:c r="G94" s="45">
        <x:f t="shared" si="24"/>
        <x:v>0</x:v>
      </x:c>
      <x:c r="H94" s="34" t="str">
        <x:f t="array" ref="H94:H94">IF(B94="","",IFERROR(INDEX('회원명단 및 기준에버'!D:G,MATCH(B94,'회원명단 및 기준에버'!$C:$C,0),CHOOSE(INT((MONTH($L$2)-1)/3)+1,1,2,3,4)),""))</x:f>
        <x:v/>
      </x:c>
      <x:c r="I94" s="38">
        <x:f t="shared" si="18"/>
        <x:v>0</x:v>
      </x:c>
      <x:c r="J94" s="38">
        <x:f t="shared" si="19"/>
        <x:v>0</x:v>
      </x:c>
      <x:c r="K94" s="38">
        <x:f t="shared" si="20"/>
        <x:v>0</x:v>
      </x:c>
      <x:c r="L94" s="63">
        <x:f t="shared" si="21"/>
        <x:v>0</x:v>
      </x:c>
      <x:c r="M94" s="39">
        <x:f t="shared" si="22"/>
        <x:v>0</x:v>
      </x:c>
    </x:row>
    <x:row r="95" spans="1:13" ht="24.949999999999999" customHeight="1">
      <x:c r="A95" s="12">
        <x:v>28</x:v>
      </x:c>
      <x:c r="B95" s="13">
        <x:f t="array" ref="B95:B95">INDEX($B$4:$M$33,MATCH($A95,$U$4:$U$33,0),COLUMN(A$1))</x:f>
        <x:v>0</x:v>
      </x:c>
      <x:c r="C95" s="62">
        <x:f t="array" ref="C95:C95">INDEX($B$4:$M$33,MATCH($A95,$U$4:$U$33,0),COLUMN(B$1))</x:f>
        <x:v>0</x:v>
      </x:c>
      <x:c r="D95" s="62">
        <x:f t="array" ref="D95:D95">INDEX($B$4:$M$33,MATCH($A95,$U$4:$U$33,0),COLUMN(C$1))</x:f>
        <x:v>0</x:v>
      </x:c>
      <x:c r="E95" s="62">
        <x:f t="array" ref="E95:E95">INDEX($B$4:$M$33,MATCH($A95,$U$4:$U$33,0),COLUMN(D$1))</x:f>
        <x:v>0</x:v>
      </x:c>
      <x:c r="F95" s="44">
        <x:f t="shared" si="23"/>
        <x:v>0</x:v>
      </x:c>
      <x:c r="G95" s="45">
        <x:f t="shared" si="24"/>
        <x:v>0</x:v>
      </x:c>
      <x:c r="H95" s="34" t="str">
        <x:f t="array" ref="H95:H95">IF(B95="","",IFERROR(INDEX('회원명단 및 기준에버'!D:G,MATCH(B95,'회원명단 및 기준에버'!$C:$C,0),CHOOSE(INT((MONTH($L$2)-1)/3)+1,1,2,3,4)),""))</x:f>
        <x:v/>
      </x:c>
      <x:c r="I95" s="38">
        <x:f t="shared" si="18"/>
        <x:v>0</x:v>
      </x:c>
      <x:c r="J95" s="38">
        <x:f t="shared" si="19"/>
        <x:v>0</x:v>
      </x:c>
      <x:c r="K95" s="38">
        <x:f t="shared" si="20"/>
        <x:v>0</x:v>
      </x:c>
      <x:c r="L95" s="63">
        <x:f t="shared" si="21"/>
        <x:v>0</x:v>
      </x:c>
      <x:c r="M95" s="39">
        <x:f t="shared" si="22"/>
        <x:v>0</x:v>
      </x:c>
    </x:row>
    <x:row r="96" spans="1:13" ht="24.949999999999999" customHeight="1">
      <x:c r="A96" s="12">
        <x:v>29</x:v>
      </x:c>
      <x:c r="B96" s="13">
        <x:f t="array" ref="B96:B96">INDEX($B$4:$M$33,MATCH($A96,$U$4:$U$33,0),COLUMN(A$1))</x:f>
        <x:v>0</x:v>
      </x:c>
      <x:c r="C96" s="62">
        <x:f t="array" ref="C96:C96">INDEX($B$4:$M$33,MATCH($A96,$U$4:$U$33,0),COLUMN(B$1))</x:f>
        <x:v>0</x:v>
      </x:c>
      <x:c r="D96" s="62">
        <x:f t="array" ref="D96:D96">INDEX($B$4:$M$33,MATCH($A96,$U$4:$U$33,0),COLUMN(C$1))</x:f>
        <x:v>0</x:v>
      </x:c>
      <x:c r="E96" s="62">
        <x:f t="array" ref="E96:E96">INDEX($B$4:$M$33,MATCH($A96,$U$4:$U$33,0),COLUMN(D$1))</x:f>
        <x:v>0</x:v>
      </x:c>
      <x:c r="F96" s="44">
        <x:f t="shared" si="23"/>
        <x:v>0</x:v>
      </x:c>
      <x:c r="G96" s="45">
        <x:f t="shared" si="24"/>
        <x:v>0</x:v>
      </x:c>
      <x:c r="H96" s="34" t="str">
        <x:f t="array" ref="H96:H96">IF(B96="","",IFERROR(INDEX('회원명단 및 기준에버'!D:G,MATCH(B96,'회원명단 및 기준에버'!$C:$C,0),CHOOSE(INT((MONTH($L$2)-1)/3)+1,1,2,3,4)),""))</x:f>
        <x:v/>
      </x:c>
      <x:c r="I96" s="38">
        <x:f t="shared" si="18"/>
        <x:v>0</x:v>
      </x:c>
      <x:c r="J96" s="38">
        <x:f t="shared" si="19"/>
        <x:v>0</x:v>
      </x:c>
      <x:c r="K96" s="38">
        <x:f t="shared" si="20"/>
        <x:v>0</x:v>
      </x:c>
      <x:c r="L96" s="63">
        <x:f t="shared" si="21"/>
        <x:v>0</x:v>
      </x:c>
      <x:c r="M96" s="39">
        <x:f t="shared" si="22"/>
        <x:v>0</x:v>
      </x:c>
    </x:row>
    <x:row r="97" spans="1:13" ht="24.949999999999999" customHeight="1">
      <x:c r="A97" s="12">
        <x:v>30</x:v>
      </x:c>
      <x:c r="B97" s="13">
        <x:f t="array" ref="B97:B97">INDEX($B$4:$M$33,MATCH($A97,$U$4:$U$33,0),COLUMN(A$1))</x:f>
        <x:v>0</x:v>
      </x:c>
      <x:c r="C97" s="62">
        <x:f t="array" ref="C97:C97">INDEX($B$4:$M$33,MATCH($A97,$U$4:$U$33,0),COLUMN(B$1))</x:f>
        <x:v>0</x:v>
      </x:c>
      <x:c r="D97" s="62">
        <x:f t="array" ref="D97:D97">INDEX($B$4:$M$33,MATCH($A97,$U$4:$U$33,0),COLUMN(C$1))</x:f>
        <x:v>0</x:v>
      </x:c>
      <x:c r="E97" s="62">
        <x:f t="array" ref="E97:E97">INDEX($B$4:$M$33,MATCH($A97,$U$4:$U$33,0),COLUMN(D$1))</x:f>
        <x:v>0</x:v>
      </x:c>
      <x:c r="F97" s="44">
        <x:f t="shared" si="23"/>
        <x:v>0</x:v>
      </x:c>
      <x:c r="G97" s="45">
        <x:f t="shared" si="24"/>
        <x:v>0</x:v>
      </x:c>
      <x:c r="H97" s="34" t="str">
        <x:f t="array" ref="H97:H97">IF(B97="","",IFERROR(INDEX('회원명단 및 기준에버'!D:G,MATCH(B97,'회원명단 및 기준에버'!$C:$C,0),CHOOSE(INT((MONTH($L$2)-1)/3)+1,1,2,3,4)),""))</x:f>
        <x:v/>
      </x:c>
      <x:c r="I97" s="38">
        <x:f t="shared" si="18"/>
        <x:v>0</x:v>
      </x:c>
      <x:c r="J97" s="38">
        <x:f t="shared" si="19"/>
        <x:v>0</x:v>
      </x:c>
      <x:c r="K97" s="38">
        <x:f t="shared" si="20"/>
        <x:v>0</x:v>
      </x:c>
      <x:c r="L97" s="63">
        <x:f t="shared" si="21"/>
        <x:v>0</x:v>
      </x:c>
      <x:c r="M97" s="39">
        <x:f t="shared" si="22"/>
        <x:v>0</x:v>
      </x:c>
    </x:row>
    <x:row r="98" spans="2:13" ht="24.949999999999999" customHeight="1">
      <x:c r="B98" s="168" t="s">
        <x:v>63</x:v>
      </x:c>
      <x:c r="C98" s="169"/>
      <x:c r="D98" s="169"/>
      <x:c r="E98" s="169"/>
      <x:c r="F98" s="169"/>
      <x:c r="G98" s="169"/>
      <x:c r="H98" s="169"/>
      <x:c r="I98" s="169"/>
      <x:c r="J98" s="169"/>
      <x:c r="K98" s="169"/>
      <x:c r="L98" s="169"/>
      <x:c r="M98" s="170"/>
    </x:row>
    <x:row r="99" spans="2:13" ht="24.949999999999999" customHeight="1">
      <x:c r="B99" s="187" t="s">
        <x:v>68</x:v>
      </x:c>
      <x:c r="C99" s="188"/>
      <x:c r="D99" s="188"/>
      <x:c r="E99" s="189"/>
      <x:c r="F99" s="174" t="s">
        <x:v>28</x:v>
      </x:c>
      <x:c r="G99" s="176" t="s">
        <x:v>14</x:v>
      </x:c>
      <x:c r="H99" s="177"/>
      <x:c r="I99" s="178"/>
      <x:c r="J99" s="179" t="s">
        <x:v>55</x:v>
      </x:c>
      <x:c r="K99" s="180"/>
      <x:c r="L99" s="180"/>
      <x:c r="M99" s="181"/>
    </x:row>
    <x:row r="100" spans="2:13" ht="24.949999999999999" customHeight="1">
      <x:c r="B100" s="54" t="str">
        <x:f>IF(B36="","",B36)</x:f>
        <x:v>최 현 수</x:v>
      </x:c>
      <x:c r="C100" s="24">
        <x:f>IF(C36="","",C36)</x:f>
        <x:v>45.299999999999997</x:v>
      </x:c>
      <x:c r="D100" s="24" t="str">
        <x:f>IF(D36="","",D36)</x:f>
        <x:v/>
      </x:c>
      <x:c r="E100" s="25" t="str">
        <x:f>IF(E36="","",E36)</x:f>
        <x:v/>
      </x:c>
      <x:c r="F100" s="175"/>
      <x:c r="G100" s="182" t="s">
        <x:v>62</x:v>
      </x:c>
      <x:c r="H100" s="183"/>
      <x:c r="I100" s="184"/>
      <x:c r="J100" s="26" t="str">
        <x:f>IF(J36="","",J36)</x:f>
        <x:v>나 경 주</x:v>
      </x:c>
      <x:c r="K100" s="27" t="str">
        <x:f>IF(K36="","",K36)</x:f>
        <x:v/>
      </x:c>
      <x:c r="L100" s="27" t="str">
        <x:f>IF(L36="","",L36)</x:f>
        <x:v/>
      </x:c>
      <x:c r="M100" s="28" t="str">
        <x:f>IF(M36="","",M36)</x:f>
        <x:v/>
      </x:c>
    </x:row>
    <x:row r="101" spans="2:13" ht="24.949999999999999" customHeight="1">
      <x:c r="B101" s="155" t="s">
        <x:v>29</x:v>
      </x:c>
      <x:c r="C101" s="156"/>
      <x:c r="D101" s="156"/>
      <x:c r="E101" s="156"/>
      <x:c r="F101" s="156"/>
      <x:c r="G101" s="156"/>
      <x:c r="H101" s="157"/>
      <x:c r="I101" s="158" t="s">
        <x:v>66</x:v>
      </x:c>
      <x:c r="J101" s="159"/>
      <x:c r="K101" s="160" t="s">
        <x:v>67</x:v>
      </x:c>
      <x:c r="L101" s="161"/>
      <x:c r="M101" s="162"/>
    </x:row>
    <x:row r="102" spans="2:13" ht="24.949999999999999" customHeight="1">
      <x:c r="B102" s="21" t="str">
        <x:f t="shared" ref="B102:G104" si="25">IF(B38="","",B38)</x:f>
        <x:v>송 정 현</x:v>
      </x:c>
      <x:c r="C102" s="64">
        <x:f t="shared" si="25"/>
        <x:v>224</x:v>
      </x:c>
      <x:c r="D102" s="32" t="str">
        <x:f t="shared" si="25"/>
        <x:v>임 연 진</x:v>
      </x:c>
      <x:c r="E102" s="67">
        <x:f t="shared" si="25"/>
        <x:v>247</x:v>
      </x:c>
      <x:c r="F102" s="30" t="str">
        <x:f t="shared" si="25"/>
        <x:v/>
      </x:c>
      <x:c r="G102" s="70" t="str">
        <x:f t="shared" si="25"/>
        <x:v/>
      </x:c>
      <x:c r="H102" s="157"/>
      <x:c r="I102" s="23" t="str">
        <x:f>IF(I38="","",I38)</x:f>
        <x:v/>
      </x:c>
      <x:c r="J102" s="50" t="str">
        <x:f>IF(J38="","",J38)</x:f>
        <x:v/>
      </x:c>
      <x:c r="K102" s="57" t="str">
        <x:f>IF(K38="","",K38)</x:f>
        <x:v>손 은 주</x:v>
      </x:c>
      <x:c r="L102" s="58" t="str">
        <x:f t="shared" ref="L102:M102" si="26">IF(L38="","",L38)</x:f>
        <x:v/>
      </x:c>
      <x:c r="M102" s="59" t="str">
        <x:f t="shared" si="26"/>
        <x:v/>
      </x:c>
    </x:row>
    <x:row r="103" spans="2:13" ht="24.949999999999999" customHeight="1">
      <x:c r="B103" s="46" t="str">
        <x:f t="shared" si="25"/>
        <x:v>최 현 수</x:v>
      </x:c>
      <x:c r="C103" s="65">
        <x:f t="shared" si="25"/>
        <x:v>267</x:v>
      </x:c>
      <x:c r="D103" s="47" t="str">
        <x:f t="shared" si="25"/>
        <x:v/>
      </x:c>
      <x:c r="E103" s="68" t="str">
        <x:f t="shared" si="25"/>
        <x:v/>
      </x:c>
      <x:c r="F103" s="48" t="str">
        <x:f t="shared" si="25"/>
        <x:v/>
      </x:c>
      <x:c r="G103" s="71" t="str">
        <x:f t="shared" si="25"/>
        <x:v/>
      </x:c>
      <x:c r="H103" s="157"/>
      <x:c r="I103" s="49" t="str">
        <x:f>IF(I39="","",I39)</x:f>
        <x:v/>
      </x:c>
      <x:c r="J103" s="51" t="str">
        <x:f>IF(J39="","",J39)</x:f>
        <x:v/>
      </x:c>
      <x:c r="K103" s="57" t="str">
        <x:f t="shared" ref="K103:M104" si="27">IF(K39="","",K39)</x:f>
        <x:v>이 정 석</x:v>
      </x:c>
      <x:c r="L103" s="58" t="str">
        <x:f t="shared" si="27"/>
        <x:v/>
      </x:c>
      <x:c r="M103" s="59" t="str">
        <x:f t="shared" si="27"/>
        <x:v/>
      </x:c>
    </x:row>
    <x:row r="104" spans="2:13" ht="24.949999999999999" customHeight="1">
      <x:c r="B104" s="29" t="str">
        <x:f t="shared" si="25"/>
        <x:v>이 대 용</x:v>
      </x:c>
      <x:c r="C104" s="66">
        <x:f t="shared" si="25"/>
        <x:v>235</x:v>
      </x:c>
      <x:c r="D104" s="33" t="str">
        <x:f t="shared" si="25"/>
        <x:v/>
      </x:c>
      <x:c r="E104" s="69" t="str">
        <x:f t="shared" si="25"/>
        <x:v/>
      </x:c>
      <x:c r="F104" s="31" t="str">
        <x:f t="shared" si="25"/>
        <x:v/>
      </x:c>
      <x:c r="G104" s="72" t="str">
        <x:f t="shared" si="25"/>
        <x:v/>
      </x:c>
      <x:c r="H104" s="157"/>
      <x:c r="I104" s="24" t="str">
        <x:f>IF(I40="","",I40)</x:f>
        <x:v/>
      </x:c>
      <x:c r="J104" s="52" t="str">
        <x:f>IF(J40="","",J40)</x:f>
        <x:v/>
      </x:c>
      <x:c r="K104" s="60" t="str">
        <x:f t="shared" si="27"/>
        <x:v/>
      </x:c>
      <x:c r="L104" s="53" t="str">
        <x:f t="shared" si="27"/>
        <x:v/>
      </x:c>
      <x:c r="M104" s="61" t="str">
        <x:f t="shared" si="27"/>
        <x:v/>
      </x:c>
    </x:row>
    <x:row r="105" spans="2:13" ht="24.949999999999999" customHeight="1">
      <x:c r="B105" s="163" t="s">
        <x:v>51</x:v>
      </x:c>
      <x:c r="C105" s="164"/>
      <x:c r="D105" s="164"/>
      <x:c r="E105" s="164"/>
      <x:c r="F105" s="164"/>
      <x:c r="G105" s="164"/>
      <x:c r="H105" s="164"/>
      <x:c r="I105" s="164"/>
      <x:c r="J105" s="164"/>
      <x:c r="K105" s="164"/>
      <x:c r="L105" s="164"/>
      <x:c r="M105" s="165"/>
    </x:row>
    <x:row r="106" spans="2:13" ht="24.949999999999999" customHeight="1">
      <x:c r="B106" s="35" t="str">
        <x:f t="shared" ref="B106:F110" si="28">IF(B42="","",B42)</x:f>
        <x:v>변 상 필</x:v>
      </x:c>
      <x:c r="C106" s="113">
        <x:f t="shared" si="28"/>
        <x:v>20</x:v>
      </x:c>
      <x:c r="D106" s="40">
        <x:f t="shared" si="28"/>
        <x:v>-19</x:v>
      </x:c>
      <x:c r="E106" s="40">
        <x:f t="shared" si="28"/>
        <x:v>-34</x:v>
      </x:c>
      <x:c r="F106" s="141">
        <x:f>E109</x:f>
        <x:v>25</x:v>
      </x:c>
      <x:c r="G106" s="144">
        <x:v>2</x:v>
      </x:c>
      <x:c r="H106" s="79" t="str">
        <x:f t="shared" ref="H106:L110" si="29">IF(H42="","",H42)</x:f>
        <x:v>장 영 민</x:v>
      </x:c>
      <x:c r="I106" s="113">
        <x:f t="shared" si="29"/>
        <x:v>37</x:v>
      </x:c>
      <x:c r="J106" s="40">
        <x:f t="shared" si="29"/>
        <x:v>-8</x:v>
      </x:c>
      <x:c r="K106" s="40">
        <x:f t="shared" si="29"/>
        <x:v>13</x:v>
      </x:c>
      <x:c r="L106" s="149">
        <x:f>K108</x:f>
        <x:v>7</x:v>
      </x:c>
      <x:c r="M106" s="152">
        <x:v>4</x:v>
      </x:c>
    </x:row>
    <x:row r="107" spans="2:13" ht="24.949999999999999" customHeight="1">
      <x:c r="B107" s="36" t="str">
        <x:f t="shared" si="28"/>
        <x:v>이 정 석</x:v>
      </x:c>
      <x:c r="C107" s="114">
        <x:f t="shared" si="28"/>
        <x:v>29</x:v>
      </x:c>
      <x:c r="D107" s="41">
        <x:f t="shared" si="28"/>
        <x:v>-34</x:v>
      </x:c>
      <x:c r="E107" s="41">
        <x:f t="shared" si="28"/>
        <x:v>-9</x:v>
      </x:c>
      <x:c r="F107" s="142" t="str">
        <x:f t="shared" si="28"/>
        <x:v/>
      </x:c>
      <x:c r="G107" s="145"/>
      <x:c r="H107" s="36" t="str">
        <x:f t="shared" si="29"/>
        <x:v>지 옥 명</x:v>
      </x:c>
      <x:c r="I107" s="114">
        <x:f t="shared" si="29"/>
        <x:v>17</x:v>
      </x:c>
      <x:c r="J107" s="41">
        <x:f t="shared" si="29"/>
        <x:v>-23</x:v>
      </x:c>
      <x:c r="K107" s="41">
        <x:f t="shared" si="29"/>
        <x:v>22</x:v>
      </x:c>
      <x:c r="L107" s="150" t="str">
        <x:f t="shared" si="29"/>
        <x:v/>
      </x:c>
      <x:c r="M107" s="153"/>
    </x:row>
    <x:row r="108" spans="2:13" ht="24.949999999999999" customHeight="1">
      <x:c r="B108" s="36" t="str">
        <x:f t="shared" si="28"/>
        <x:v>엄 정 도</x:v>
      </x:c>
      <x:c r="C108" s="41">
        <x:f t="shared" si="28"/>
        <x:v>-2</x:v>
      </x:c>
      <x:c r="D108" s="41">
        <x:f t="shared" si="28"/>
        <x:v>-6</x:v>
      </x:c>
      <x:c r="E108" s="41">
        <x:f t="shared" si="28"/>
        <x:v>37</x:v>
      </x:c>
      <x:c r="F108" s="142" t="str">
        <x:f t="shared" si="28"/>
        <x:v/>
      </x:c>
      <x:c r="G108" s="145"/>
      <x:c r="H108" s="36" t="str">
        <x:f t="shared" si="29"/>
        <x:v>천 성 일</x:v>
      </x:c>
      <x:c r="I108" s="114">
        <x:f t="shared" si="29"/>
        <x:v>14</x:v>
      </x:c>
      <x:c r="J108" s="114">
        <x:f t="shared" si="29"/>
        <x:v>28</x:v>
      </x:c>
      <x:c r="K108" s="114">
        <x:f t="shared" si="29"/>
        <x:v>7</x:v>
      </x:c>
      <x:c r="L108" s="150" t="str">
        <x:f t="shared" si="29"/>
        <x:v/>
      </x:c>
      <x:c r="M108" s="153"/>
    </x:row>
    <x:row r="109" spans="2:13" ht="24.949999999999999" customHeight="1">
      <x:c r="B109" s="36" t="str">
        <x:f t="shared" si="28"/>
        <x:v>송 정 현</x:v>
      </x:c>
      <x:c r="C109" s="114">
        <x:f t="shared" si="28"/>
        <x:v>37</x:v>
      </x:c>
      <x:c r="D109" s="114">
        <x:f t="shared" si="28"/>
        <x:v>16</x:v>
      </x:c>
      <x:c r="E109" s="114">
        <x:f t="shared" si="28"/>
        <x:v>25</x:v>
      </x:c>
      <x:c r="F109" s="142" t="str">
        <x:f t="shared" si="28"/>
        <x:v/>
      </x:c>
      <x:c r="G109" s="145"/>
      <x:c r="H109" s="36" t="str">
        <x:f t="shared" si="29"/>
        <x:v>황 인 교</x:v>
      </x:c>
      <x:c r="I109" s="41">
        <x:f t="shared" si="29"/>
        <x:v>-16</x:v>
      </x:c>
      <x:c r="J109" s="41">
        <x:f t="shared" si="29"/>
        <x:v>-4</x:v>
      </x:c>
      <x:c r="K109" s="41">
        <x:f t="shared" si="29"/>
        <x:v>-6</x:v>
      </x:c>
      <x:c r="L109" s="150" t="str">
        <x:f t="shared" si="29"/>
        <x:v/>
      </x:c>
      <x:c r="M109" s="153"/>
    </x:row>
    <x:row r="110" spans="2:13" ht="24.949999999999999" customHeight="1">
      <x:c r="B110" s="36" t="str">
        <x:f t="shared" si="28"/>
        <x:v>이 승 미</x:v>
      </x:c>
      <x:c r="C110" s="41">
        <x:f t="shared" si="28"/>
        <x:v>5</x:v>
      </x:c>
      <x:c r="D110" s="41">
        <x:f t="shared" si="28"/>
        <x:v>11</x:v>
      </x:c>
      <x:c r="E110" s="41">
        <x:f t="shared" si="28"/>
        <x:v>-12</x:v>
      </x:c>
      <x:c r="F110" s="142" t="str">
        <x:f t="shared" si="28"/>
        <x:v/>
      </x:c>
      <x:c r="G110" s="145"/>
      <x:c r="H110" s="36">
        <x:f t="shared" si="29"/>
        <x:v>0</x:v>
      </x:c>
      <x:c r="I110" s="41">
        <x:f t="shared" si="29"/>
        <x:v>0</x:v>
      </x:c>
      <x:c r="J110" s="41">
        <x:f t="shared" si="29"/>
        <x:v>0</x:v>
      </x:c>
      <x:c r="K110" s="41">
        <x:f t="shared" si="29"/>
        <x:v>0</x:v>
      </x:c>
      <x:c r="L110" s="150" t="str">
        <x:f t="shared" si="29"/>
        <x:v/>
      </x:c>
      <x:c r="M110" s="153"/>
    </x:row>
    <x:row r="111" spans="2:13" ht="24.949999999999999" customHeight="1">
      <x:c r="B111" s="37" t="str">
        <x:f t="shared" ref="B111:F111" si="30">IF(B47="","",B47)</x:f>
        <x:v/>
      </x:c>
      <x:c r="C111" s="42">
        <x:f t="shared" si="30"/>
        <x:v>89</x:v>
      </x:c>
      <x:c r="D111" s="42">
        <x:f t="shared" si="30"/>
        <x:v>-32</x:v>
      </x:c>
      <x:c r="E111" s="42">
        <x:f t="shared" si="30"/>
        <x:v>7</x:v>
      </x:c>
      <x:c r="F111" s="143" t="str">
        <x:f t="shared" si="30"/>
        <x:v/>
      </x:c>
      <x:c r="G111" s="146"/>
      <x:c r="H111" s="37" t="str">
        <x:f t="shared" ref="H111:L111" si="31">IF(H47="","",H47)</x:f>
        <x:v/>
      </x:c>
      <x:c r="I111" s="42">
        <x:f t="shared" si="31"/>
        <x:v>52</x:v>
      </x:c>
      <x:c r="J111" s="42">
        <x:f t="shared" si="31"/>
        <x:v>-7</x:v>
      </x:c>
      <x:c r="K111" s="42">
        <x:f t="shared" si="31"/>
        <x:v>36</x:v>
      </x:c>
      <x:c r="L111" s="151" t="str">
        <x:f t="shared" si="31"/>
        <x:v/>
      </x:c>
      <x:c r="M111" s="154"/>
    </x:row>
    <x:row r="112" spans="2:13" ht="24.949999999999999" customHeight="1"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</x:row>
    <x:row r="113" spans="2:13" ht="24.949999999999999" customHeight="1">
      <x:c r="B113" s="35" t="str">
        <x:f t="shared" ref="B113:M117" si="32">IF(B49="","",B49)</x:f>
        <x:v>이 우 석</x:v>
      </x:c>
      <x:c r="C113" s="40">
        <x:f t="shared" si="32"/>
        <x:v>-28</x:v>
      </x:c>
      <x:c r="D113" s="40">
        <x:f t="shared" si="32"/>
        <x:v>22</x:v>
      </x:c>
      <x:c r="E113" s="40">
        <x:f t="shared" si="32"/>
        <x:v>42</x:v>
      </x:c>
      <x:c r="F113" s="149">
        <x:f>E116</x:f>
        <x:v>-5</x:v>
      </x:c>
      <x:c r="G113" s="152">
        <x:v>3</x:v>
      </x:c>
      <x:c r="H113" s="79" t="str">
        <x:f t="shared" si="32"/>
        <x:v>이 대 용</x:v>
      </x:c>
      <x:c r="I113" s="113">
        <x:f t="shared" si="32"/>
        <x:v>4</x:v>
      </x:c>
      <x:c r="J113" s="113">
        <x:f t="shared" si="32"/>
        <x:v>-4</x:v>
      </x:c>
      <x:c r="K113" s="113">
        <x:f t="shared" si="32"/>
        <x:v>35</x:v>
      </x:c>
      <x:c r="L113" s="149">
        <x:f>K113</x:f>
        <x:v>35</x:v>
      </x:c>
      <x:c r="M113" s="152">
        <x:v>1</x:v>
      </x:c>
    </x:row>
    <x:row r="114" spans="2:13" ht="24.949999999999999" customHeight="1">
      <x:c r="B114" s="36" t="str">
        <x:f t="shared" si="32"/>
        <x:v>강 희 태</x:v>
      </x:c>
      <x:c r="C114" s="114">
        <x:f t="shared" si="32"/>
        <x:v>44</x:v>
      </x:c>
      <x:c r="D114" s="41">
        <x:f t="shared" si="32"/>
        <x:v>15</x:v>
      </x:c>
      <x:c r="E114" s="41">
        <x:f t="shared" si="32"/>
        <x:v>-21</x:v>
      </x:c>
      <x:c r="F114" s="150" t="str">
        <x:f t="shared" si="32"/>
        <x:v/>
      </x:c>
      <x:c r="G114" s="153" t="str">
        <x:f t="shared" si="32"/>
        <x:v/>
      </x:c>
      <x:c r="H114" s="36" t="str">
        <x:f t="shared" si="32"/>
        <x:v>나 경 주</x:v>
      </x:c>
      <x:c r="I114" s="114">
        <x:f t="shared" si="32"/>
        <x:v>55</x:v>
      </x:c>
      <x:c r="J114" s="41">
        <x:f t="shared" si="32"/>
        <x:v>-3</x:v>
      </x:c>
      <x:c r="K114" s="41">
        <x:f t="shared" si="32"/>
        <x:v>-17</x:v>
      </x:c>
      <x:c r="L114" s="150" t="str">
        <x:f t="shared" si="32"/>
        <x:v/>
      </x:c>
      <x:c r="M114" s="153" t="str">
        <x:f t="shared" si="32"/>
        <x:v/>
      </x:c>
    </x:row>
    <x:row r="115" spans="2:13" ht="24.949999999999999" customHeight="1">
      <x:c r="B115" s="36" t="str">
        <x:f t="shared" si="32"/>
        <x:v>고 경 훈</x:v>
      </x:c>
      <x:c r="C115" s="114">
        <x:f t="shared" si="32"/>
        <x:v>52</x:v>
      </x:c>
      <x:c r="D115" s="41">
        <x:f t="shared" si="32"/>
        <x:v>17</x:v>
      </x:c>
      <x:c r="E115" s="41">
        <x:f t="shared" si="32"/>
        <x:v>55</x:v>
      </x:c>
      <x:c r="F115" s="150" t="str">
        <x:f t="shared" si="32"/>
        <x:v/>
      </x:c>
      <x:c r="G115" s="153" t="str">
        <x:f t="shared" si="32"/>
        <x:v/>
      </x:c>
      <x:c r="H115" s="36" t="str">
        <x:f t="shared" si="32"/>
        <x:v>박 성 현</x:v>
      </x:c>
      <x:c r="I115" s="114">
        <x:f t="shared" si="32"/>
        <x:v>9</x:v>
      </x:c>
      <x:c r="J115" s="41">
        <x:f t="shared" si="32"/>
        <x:v>-58</x:v>
      </x:c>
      <x:c r="K115" s="41">
        <x:f t="shared" si="32"/>
        <x:v>-6</x:v>
      </x:c>
      <x:c r="L115" s="150" t="str">
        <x:f t="shared" si="32"/>
        <x:v/>
      </x:c>
      <x:c r="M115" s="153" t="str">
        <x:f t="shared" si="32"/>
        <x:v/>
      </x:c>
    </x:row>
    <x:row r="116" spans="2:13" ht="24.949999999999999" customHeight="1">
      <x:c r="B116" s="36" t="str">
        <x:f t="shared" si="32"/>
        <x:v>김 종 훈</x:v>
      </x:c>
      <x:c r="C116" s="114">
        <x:f t="shared" si="32"/>
        <x:v>21</x:v>
      </x:c>
      <x:c r="D116" s="114">
        <x:f t="shared" si="32"/>
        <x:v>17</x:v>
      </x:c>
      <x:c r="E116" s="114">
        <x:f t="shared" si="32"/>
        <x:v>-5</x:v>
      </x:c>
      <x:c r="F116" s="150" t="str">
        <x:f t="shared" si="32"/>
        <x:v/>
      </x:c>
      <x:c r="G116" s="153" t="str">
        <x:f t="shared" si="32"/>
        <x:v/>
      </x:c>
      <x:c r="H116" s="36" t="str">
        <x:f t="shared" si="32"/>
        <x:v>이 상 현</x:v>
      </x:c>
      <x:c r="I116" s="41">
        <x:f t="shared" si="32"/>
        <x:v>-17</x:v>
      </x:c>
      <x:c r="J116" s="41">
        <x:f t="shared" si="32"/>
        <x:v>-31</x:v>
      </x:c>
      <x:c r="K116" s="41">
        <x:f t="shared" si="32"/>
        <x:v>38</x:v>
      </x:c>
      <x:c r="L116" s="150" t="str">
        <x:f t="shared" si="32"/>
        <x:v/>
      </x:c>
      <x:c r="M116" s="153" t="str">
        <x:f t="shared" si="32"/>
        <x:v/>
      </x:c>
    </x:row>
    <x:row r="117" spans="2:13" ht="24.949999999999999" customHeight="1">
      <x:c r="B117" s="36" t="str">
        <x:f t="shared" si="32"/>
        <x:v>진 명 옥</x:v>
      </x:c>
      <x:c r="C117" s="41">
        <x:f t="shared" si="32"/>
        <x:v>19</x:v>
      </x:c>
      <x:c r="D117" s="41">
        <x:f t="shared" si="32"/>
        <x:v>-3</x:v>
      </x:c>
      <x:c r="E117" s="41">
        <x:f t="shared" si="32"/>
        <x:v>-20</x:v>
      </x:c>
      <x:c r="F117" s="150" t="str">
        <x:f t="shared" si="32"/>
        <x:v/>
      </x:c>
      <x:c r="G117" s="153" t="str">
        <x:f t="shared" si="32"/>
        <x:v/>
      </x:c>
      <x:c r="H117" s="36" t="str">
        <x:f t="shared" si="32"/>
        <x:v>김 미 란</x:v>
      </x:c>
      <x:c r="I117" s="41">
        <x:f t="shared" si="32"/>
        <x:v>-11</x:v>
      </x:c>
      <x:c r="J117" s="41">
        <x:f t="shared" si="32"/>
        <x:v>32</x:v>
      </x:c>
      <x:c r="K117" s="41">
        <x:f t="shared" si="32"/>
        <x:v>-56</x:v>
      </x:c>
      <x:c r="L117" s="150" t="str">
        <x:f t="shared" si="32"/>
        <x:v/>
      </x:c>
      <x:c r="M117" s="153" t="str">
        <x:f t="shared" si="32"/>
        <x:v/>
      </x:c>
    </x:row>
    <x:row r="118" spans="2:13" ht="24.949999999999999" customHeight="1">
      <x:c r="B118" s="37" t="str">
        <x:f t="shared" ref="B118:M118" si="33">IF(B54="","",B54)</x:f>
        <x:v/>
      </x:c>
      <x:c r="C118" s="42">
        <x:f t="shared" si="33"/>
        <x:v>108</x:v>
      </x:c>
      <x:c r="D118" s="42">
        <x:f t="shared" si="33"/>
        <x:v>68</x:v>
      </x:c>
      <x:c r="E118" s="42">
        <x:f t="shared" si="33"/>
        <x:v>51</x:v>
      </x:c>
      <x:c r="F118" s="151" t="str">
        <x:f t="shared" si="33"/>
        <x:v/>
      </x:c>
      <x:c r="G118" s="154" t="str">
        <x:f t="shared" si="33"/>
        <x:v/>
      </x:c>
      <x:c r="H118" s="37" t="str">
        <x:f t="shared" si="33"/>
        <x:v/>
      </x:c>
      <x:c r="I118" s="42">
        <x:f t="shared" si="33"/>
        <x:v>40</x:v>
      </x:c>
      <x:c r="J118" s="42">
        <x:f t="shared" si="33"/>
        <x:v>-64</x:v>
      </x:c>
      <x:c r="K118" s="42">
        <x:f t="shared" si="33"/>
        <x:v>-6</x:v>
      </x:c>
      <x:c r="L118" s="151" t="str">
        <x:f t="shared" si="33"/>
        <x:v/>
      </x:c>
      <x:c r="M118" s="154" t="str">
        <x:f t="shared" si="33"/>
        <x:v/>
      </x:c>
    </x:row>
    <x:row r="119" ht="24.949999999999999" customHeight="1"/>
    <x:row r="120" spans="2:13" ht="24.949999999999999" customHeight="1">
      <x:c r="B120" s="35" t="str">
        <x:f t="shared" ref="B120:G124" si="34">IF(B56="","",B56)</x:f>
        <x:v>최 현 수</x:v>
      </x:c>
      <x:c r="C120" s="113">
        <x:f t="shared" si="34"/>
        <x:v>67</x:v>
      </x:c>
      <x:c r="D120" s="113">
        <x:f t="shared" si="34"/>
        <x:v>67</x:v>
      </x:c>
      <x:c r="E120" s="113">
        <x:f t="shared" si="34"/>
        <x:v>2</x:v>
      </x:c>
      <x:c r="F120" s="141">
        <x:f>E120</x:f>
        <x:v>2</x:v>
      </x:c>
      <x:c r="G120" s="144">
        <x:v>5</x:v>
      </x:c>
      <x:c r="H120" s="18"/>
      <x:c r="I120" s="80"/>
      <x:c r="J120" s="80"/>
      <x:c r="K120" s="80"/>
      <x:c r="L120" s="147"/>
      <x:c r="M120" s="148"/>
    </x:row>
    <x:row r="121" spans="2:13" ht="24.949999999999999" customHeight="1">
      <x:c r="B121" s="36" t="str">
        <x:f t="shared" si="34"/>
        <x:v>강 완 규</x:v>
      </x:c>
      <x:c r="C121" s="114">
        <x:f t="shared" si="34"/>
        <x:v>1</x:v>
      </x:c>
      <x:c r="D121" s="41">
        <x:f t="shared" si="34"/>
        <x:v>-5</x:v>
      </x:c>
      <x:c r="E121" s="41">
        <x:f t="shared" si="34"/>
        <x:v>-7</x:v>
      </x:c>
      <x:c r="F121" s="142" t="str">
        <x:f t="shared" si="34"/>
        <x:v/>
      </x:c>
      <x:c r="G121" s="145" t="str">
        <x:f t="shared" si="34"/>
        <x:v/>
      </x:c>
      <x:c r="H121" s="18"/>
      <x:c r="I121" s="80"/>
      <x:c r="J121" s="80"/>
      <x:c r="K121" s="80"/>
      <x:c r="L121" s="147"/>
      <x:c r="M121" s="148"/>
    </x:row>
    <x:row r="122" spans="2:13" ht="24.949999999999999" customHeight="1">
      <x:c r="B122" s="36" t="str">
        <x:f t="shared" si="34"/>
        <x:v>정 영 우</x:v>
      </x:c>
      <x:c r="C122" s="114">
        <x:f t="shared" si="34"/>
        <x:v>40</x:v>
      </x:c>
      <x:c r="D122" s="41">
        <x:f t="shared" si="34"/>
        <x:v>3</x:v>
      </x:c>
      <x:c r="E122" s="41">
        <x:f t="shared" si="34"/>
        <x:v>-1</x:v>
      </x:c>
      <x:c r="F122" s="142" t="str">
        <x:f t="shared" si="34"/>
        <x:v/>
      </x:c>
      <x:c r="G122" s="145" t="str">
        <x:f t="shared" si="34"/>
        <x:v/>
      </x:c>
      <x:c r="H122" s="18"/>
      <x:c r="I122" s="80"/>
      <x:c r="J122" s="80"/>
      <x:c r="K122" s="80"/>
      <x:c r="L122" s="147"/>
      <x:c r="M122" s="148"/>
    </x:row>
    <x:row r="123" spans="2:13" ht="24.949999999999999" customHeight="1">
      <x:c r="B123" s="36" t="str">
        <x:f t="shared" si="34"/>
        <x:v>임 연 진</x:v>
      </x:c>
      <x:c r="C123" s="41">
        <x:f t="shared" si="34"/>
        <x:v>-28</x:v>
      </x:c>
      <x:c r="D123" s="41">
        <x:f t="shared" si="34"/>
        <x:v>0</x:v>
      </x:c>
      <x:c r="E123" s="41">
        <x:f t="shared" si="34"/>
        <x:v>53</x:v>
      </x:c>
      <x:c r="F123" s="142" t="str">
        <x:f t="shared" si="34"/>
        <x:v/>
      </x:c>
      <x:c r="G123" s="145" t="str">
        <x:f t="shared" si="34"/>
        <x:v/>
      </x:c>
      <x:c r="H123" s="18"/>
      <x:c r="I123" s="80"/>
      <x:c r="J123" s="80"/>
      <x:c r="K123" s="80"/>
      <x:c r="L123" s="147"/>
      <x:c r="M123" s="148"/>
    </x:row>
    <x:row r="124" spans="2:13" ht="24.949999999999999" customHeight="1">
      <x:c r="B124" s="36" t="str">
        <x:f t="shared" si="34"/>
        <x:v>손 은 주</x:v>
      </x:c>
      <x:c r="C124" s="41">
        <x:f t="shared" si="34"/>
        <x:v>-26</x:v>
      </x:c>
      <x:c r="D124" s="41">
        <x:f t="shared" si="34"/>
        <x:v>-5</x:v>
      </x:c>
      <x:c r="E124" s="41">
        <x:f t="shared" si="34"/>
        <x:v>-50</x:v>
      </x:c>
      <x:c r="F124" s="142" t="str">
        <x:f t="shared" si="34"/>
        <x:v/>
      </x:c>
      <x:c r="G124" s="145" t="str">
        <x:f t="shared" si="34"/>
        <x:v/>
      </x:c>
      <x:c r="H124" s="18"/>
      <x:c r="I124" s="80"/>
      <x:c r="J124" s="80"/>
      <x:c r="K124" s="80"/>
      <x:c r="L124" s="147"/>
      <x:c r="M124" s="148"/>
    </x:row>
    <x:row r="125" spans="2:13" ht="24.949999999999999" customHeight="1">
      <x:c r="B125" s="37" t="str">
        <x:f t="shared" ref="B125:G125" si="35">IF(B61="","",B61)</x:f>
        <x:v/>
      </x:c>
      <x:c r="C125" s="42">
        <x:f t="shared" si="35"/>
        <x:v>54</x:v>
      </x:c>
      <x:c r="D125" s="42">
        <x:f t="shared" si="35"/>
        <x:v>60</x:v>
      </x:c>
      <x:c r="E125" s="42">
        <x:f t="shared" si="35"/>
        <x:v>-3</x:v>
      </x:c>
      <x:c r="F125" s="143" t="str">
        <x:f t="shared" si="35"/>
        <x:v/>
      </x:c>
      <x:c r="G125" s="146" t="str">
        <x:f t="shared" si="35"/>
        <x:v/>
      </x:c>
      <x:c r="H125" s="18"/>
      <x:c r="I125" s="81"/>
      <x:c r="J125" s="81"/>
      <x:c r="K125" s="81"/>
      <x:c r="L125" s="147"/>
      <x:c r="M125" s="148"/>
    </x:row>
  </x:sheetData>
  <x:mergeCells count="50">
    <x:mergeCell ref="F120:F125"/>
    <x:mergeCell ref="G120:G125"/>
    <x:mergeCell ref="L120:L125"/>
    <x:mergeCell ref="M120:M125"/>
    <x:mergeCell ref="F106:F111"/>
    <x:mergeCell ref="G106:G111"/>
    <x:mergeCell ref="L106:L111"/>
    <x:mergeCell ref="M106:M111"/>
    <x:mergeCell ref="F113:F118"/>
    <x:mergeCell ref="G113:G118"/>
    <x:mergeCell ref="L113:L118"/>
    <x:mergeCell ref="M113:M118"/>
    <x:mergeCell ref="B101:G101"/>
    <x:mergeCell ref="H101:H104"/>
    <x:mergeCell ref="I101:J101"/>
    <x:mergeCell ref="K101:M101"/>
    <x:mergeCell ref="B105:M105"/>
    <x:mergeCell ref="L66:M66"/>
    <x:mergeCell ref="B98:M98"/>
    <x:mergeCell ref="B99:E99"/>
    <x:mergeCell ref="F99:F100"/>
    <x:mergeCell ref="G99:I99"/>
    <x:mergeCell ref="J99:M99"/>
    <x:mergeCell ref="G100:I100"/>
    <x:mergeCell ref="F56:F61"/>
    <x:mergeCell ref="G56:G61"/>
    <x:mergeCell ref="L56:L61"/>
    <x:mergeCell ref="M56:M61"/>
    <x:mergeCell ref="A65:M65"/>
    <x:mergeCell ref="F42:F47"/>
    <x:mergeCell ref="G42:G47"/>
    <x:mergeCell ref="L42:L47"/>
    <x:mergeCell ref="M42:M47"/>
    <x:mergeCell ref="F49:F54"/>
    <x:mergeCell ref="G49:G54"/>
    <x:mergeCell ref="L49:L54"/>
    <x:mergeCell ref="M49:M54"/>
    <x:mergeCell ref="B37:G37"/>
    <x:mergeCell ref="H37:H40"/>
    <x:mergeCell ref="I37:J37"/>
    <x:mergeCell ref="K37:M37"/>
    <x:mergeCell ref="B41:M41"/>
    <x:mergeCell ref="A1:M1"/>
    <x:mergeCell ref="L2:M2"/>
    <x:mergeCell ref="B34:M34"/>
    <x:mergeCell ref="B35:E35"/>
    <x:mergeCell ref="F35:F36"/>
    <x:mergeCell ref="G35:I35"/>
    <x:mergeCell ref="J35:M35"/>
    <x:mergeCell ref="G36:I36"/>
  </x:mergeCells>
  <x:conditionalFormatting sqref="C38:C40">
    <x:cfRule type="cellIs" dxfId="53" priority="19" operator="greaterThan">
      <x:formula>199</x:formula>
    </x:cfRule>
  </x:conditionalFormatting>
  <x:conditionalFormatting sqref="C102:C104">
    <x:cfRule type="cellIs" dxfId="52" priority="3" operator="greaterThan">
      <x:formula>199</x:formula>
    </x:cfRule>
  </x:conditionalFormatting>
  <x:conditionalFormatting sqref="C4:E33">
    <x:cfRule type="cellIs" dxfId="51" priority="14" operator="between">
      <x:formula>200</x:formula>
      <x:formula>200</x:formula>
    </x:cfRule>
    <x:cfRule type="cellIs" dxfId="50" priority="13" operator="between">
      <x:formula>200</x:formula>
      <x:formula>300</x:formula>
    </x:cfRule>
  </x:conditionalFormatting>
  <x:conditionalFormatting sqref="C68:E97">
    <x:cfRule type="cellIs" dxfId="49" priority="7" operator="between">
      <x:formula>200</x:formula>
      <x:formula>200</x:formula>
    </x:cfRule>
    <x:cfRule type="cellIs" dxfId="48" priority="6" operator="between">
      <x:formula>200</x:formula>
      <x:formula>300</x:formula>
    </x:cfRule>
  </x:conditionalFormatting>
  <x:conditionalFormatting sqref="E38:E40">
    <x:cfRule type="cellIs" dxfId="47" priority="18" operator="greaterThan">
      <x:formula>199</x:formula>
    </x:cfRule>
  </x:conditionalFormatting>
  <x:conditionalFormatting sqref="E102:E104">
    <x:cfRule type="cellIs" dxfId="46" priority="2" operator="greaterThan">
      <x:formula>199</x:formula>
    </x:cfRule>
  </x:conditionalFormatting>
  <x:conditionalFormatting sqref="F4:F33">
    <x:cfRule type="cellIs" dxfId="45" priority="22" operator="greaterThan">
      <x:formula>599</x:formula>
    </x:cfRule>
    <x:cfRule type="cellIs" dxfId="44" priority="12" operator="between">
      <x:formula>600</x:formula>
      <x:formula>900</x:formula>
    </x:cfRule>
  </x:conditionalFormatting>
  <x:conditionalFormatting sqref="F68:F97">
    <x:cfRule type="cellIs" dxfId="43" priority="10" operator="greaterThan">
      <x:formula>599</x:formula>
    </x:cfRule>
    <x:cfRule type="cellIs" dxfId="42" priority="5" operator="between">
      <x:formula>600</x:formula>
      <x:formula>900</x:formula>
    </x:cfRule>
  </x:conditionalFormatting>
  <x:conditionalFormatting sqref="G4:G33">
    <x:cfRule type="cellIs" dxfId="41" priority="20" operator="greaterThan">
      <x:formula>199.9</x:formula>
    </x:cfRule>
  </x:conditionalFormatting>
  <x:conditionalFormatting sqref="G38:G40">
    <x:cfRule type="cellIs" dxfId="40" priority="17" operator="greaterThan">
      <x:formula>199</x:formula>
    </x:cfRule>
  </x:conditionalFormatting>
  <x:conditionalFormatting sqref="G68:G97">
    <x:cfRule type="cellIs" dxfId="39" priority="8" operator="greaterThan">
      <x:formula>199.9</x:formula>
    </x:cfRule>
  </x:conditionalFormatting>
  <x:conditionalFormatting sqref="G102:G104">
    <x:cfRule type="cellIs" dxfId="38" priority="1" operator="greaterThan">
      <x:formula>199</x:formula>
    </x:cfRule>
  </x:conditionalFormatting>
  <x:conditionalFormatting sqref="G4:H33">
    <x:cfRule type="cellIs" dxfId="37" priority="11" operator="between">
      <x:formula>200</x:formula>
      <x:formula>300</x:formula>
    </x:cfRule>
  </x:conditionalFormatting>
  <x:conditionalFormatting sqref="G68:H97">
    <x:cfRule type="cellIs" dxfId="36" priority="4" operator="between">
      <x:formula>200</x:formula>
      <x:formula>300</x:formula>
    </x:cfRule>
  </x:conditionalFormatting>
  <x:conditionalFormatting sqref="H4:H33">
    <x:cfRule type="cellIs" dxfId="35" priority="21" operator="greaterThan">
      <x:formula>199</x:formula>
    </x:cfRule>
  </x:conditionalFormatting>
  <x:conditionalFormatting sqref="H68:H97">
    <x:cfRule type="cellIs" dxfId="34" priority="9" operator="greaterThan">
      <x:formula>199</x:formula>
    </x:cfRule>
  </x:conditionalFormatting>
  <x:conditionalFormatting sqref="O37:O37">
    <x:cfRule type="cellIs" dxfId="33" priority="16" operator="greaterThan">
      <x:formula>200</x:formula>
    </x:cfRule>
  </x:conditionalFormatting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  <x:legacyDrawing r:id="rId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V92"/>
  <x:sheetViews>
    <x:sheetView topLeftCell="A1" zoomScale="80" zoomScaleNormal="80" zoomScaleSheetLayoutView="80" workbookViewId="0">
      <x:selection activeCell="C15" activeCellId="0" sqref="C15:C15"/>
    </x:sheetView>
  </x:sheetViews>
  <x:sheetFormatPr defaultColWidth="9" defaultRowHeight="16.399999999999999"/>
  <x:cols>
    <x:col min="1" max="1" width="4.625" style="11" customWidth="1"/>
    <x:col min="2" max="2" width="10.625" style="11" customWidth="1"/>
    <x:col min="3" max="11" width="9.625" style="11" customWidth="1"/>
    <x:col min="12" max="12" width="9" style="11" customWidth="1"/>
    <x:col min="13" max="13" width="9" style="11" bestFit="1" customWidth="1"/>
    <x:col min="14" max="14" width="9.875" style="11" bestFit="1" customWidth="1"/>
    <x:col min="15" max="15" width="9.375" style="11" customWidth="1"/>
    <x:col min="17" max="17" width="10.625" style="11" customWidth="1"/>
    <x:col min="19" max="19" width="13.125" style="11" customWidth="1"/>
    <x:col min="20" max="20" width="12.5" style="9" bestFit="1" customWidth="1"/>
    <x:col min="21" max="21" width="15" style="11" customWidth="1"/>
    <x:col min="22" max="22" width="9" style="9" bestFit="1" customWidth="1"/>
  </x:cols>
  <x:sheetData>
    <x:row r="1" spans="1:13" ht="60" customHeight="1">
      <x:c r="A1" s="185" t="s">
        <x:v>70</x:v>
      </x:c>
      <x:c r="B1" s="185"/>
      <x:c r="C1" s="185"/>
      <x:c r="D1" s="185"/>
      <x:c r="E1" s="185"/>
      <x:c r="F1" s="185"/>
      <x:c r="G1" s="185"/>
      <x:c r="H1" s="185"/>
      <x:c r="I1" s="185"/>
      <x:c r="J1" s="185"/>
      <x:c r="K1" s="185"/>
      <x:c r="L1" s="185"/>
      <x:c r="M1" s="185"/>
    </x:row>
    <x:row r="2" spans="1:22" ht="22.5" customHeight="1">
      <x:c r="A2" s="77"/>
      <x:c r="B2" s="77"/>
      <x:c r="C2" s="77"/>
      <x:c r="D2" s="77"/>
      <x:c r="E2" s="77"/>
      <x:c r="F2" s="77"/>
      <x:c r="G2" s="77"/>
      <x:c r="H2" s="77"/>
      <x:c r="I2" s="77"/>
      <x:c r="J2" s="77"/>
      <x:c r="K2" s="78" t="s">
        <x:v>8</x:v>
      </x:c>
      <x:c r="L2" s="166">
        <x:v>46030</x:v>
      </x:c>
      <x:c r="M2" s="167"/>
      <x:c r="S2" s="89" t="s">
        <x:v>44</x:v>
      </x:c>
      <x:c r="T2" s="90">
        <x:v>1</x:v>
      </x:c>
      <x:c r="U2" s="89" t="s">
        <x:v>61</x:v>
      </x:c>
      <x:c r="V2" s="90">
        <x:v>1</x:v>
      </x:c>
    </x:row>
    <x:row r="3" spans="1:22" ht="24.949999999999999" customHeight="1">
      <x:c r="A3" s="20"/>
      <x:c r="B3" s="14" t="s">
        <x:v>53</x:v>
      </x:c>
      <x:c r="C3" s="14" t="s">
        <x:v>2</x:v>
      </x:c>
      <x:c r="D3" s="14" t="s">
        <x:v>0</x:v>
      </x:c>
      <x:c r="E3" s="14" t="s">
        <x:v>10</x:v>
      </x:c>
      <x:c r="F3" s="14" t="s">
        <x:v>9</x:v>
      </x:c>
      <x:c r="G3" s="14" t="s">
        <x:v>6</x:v>
      </x:c>
      <x:c r="H3" s="16" t="s">
        <x:v>57</x:v>
      </x:c>
      <x:c r="I3" s="14" t="s">
        <x:v>2</x:v>
      </x:c>
      <x:c r="J3" s="14" t="s">
        <x:v>0</x:v>
      </x:c>
      <x:c r="K3" s="14" t="s">
        <x:v>10</x:v>
      </x:c>
      <x:c r="L3" s="15" t="s">
        <x:v>9</x:v>
      </x:c>
      <x:c r="M3" s="22" t="s">
        <x:v>13</x:v>
      </x:c>
      <x:c r="S3" s="92" t="s">
        <x:v>65</x:v>
      </x:c>
      <x:c r="T3" s="93"/>
      <x:c r="U3" s="93"/>
      <x:c r="V3" s="93"/>
    </x:row>
    <x:row r="4" spans="1:22" ht="24.949999999999999" customHeight="1">
      <x:c r="A4" s="12">
        <x:v>1</x:v>
      </x:c>
      <x:c r="B4" s="13" t="s">
        <x:v>34</x:v>
      </x:c>
      <x:c r="C4" s="62">
        <x:v>127</x:v>
      </x:c>
      <x:c r="D4" s="62">
        <x:v>172</x:v>
      </x:c>
      <x:c r="E4" s="62">
        <x:v>171</x:v>
      </x:c>
      <x:c r="F4" s="44">
        <x:f>SUM(C4:E4)</x:f>
        <x:v>470</x:v>
      </x:c>
      <x:c r="G4" s="45">
        <x:f>F4/3</x:f>
        <x:v>156.66666666666666</x:v>
      </x:c>
      <x:c r="H4" s="34">
        <x:f t="array" ref="H4:H4">IF(B4="","",IFERROR(INDEX('회원명단 및 기준에버'!D:G,MATCH(B4,'회원명단 및 기준에버'!$C:$C,0),CHOOSE(INT((MONTH($L$2)-1)/3)+1,1,2,3,4)),""))</x:f>
        <x:v>183</x:v>
      </x:c>
      <x:c r="I4" s="38">
        <x:f>IFERROR(C4+-H4,0)</x:f>
        <x:v>-56</x:v>
      </x:c>
      <x:c r="J4" s="38">
        <x:f>IFERROR(D4+-H4,0)</x:f>
        <x:v>-11</x:v>
      </x:c>
      <x:c r="K4" s="38">
        <x:f>IFERROR(E4+-H4,0)</x:f>
        <x:v>-12</x:v>
      </x:c>
      <x:c r="L4" s="63">
        <x:f>SUM(I4:K4)</x:f>
        <x:v>-79</x:v>
      </x:c>
      <x:c r="M4" s="39">
        <x:f>IFERROR(G4+-H4,0)</x:f>
        <x:v>-26.333333333333343</x:v>
      </x:c>
      <x:c r="N4" s="19"/>
      <x:c r="S4" s="98">
        <x:f t="shared" ref="S4:S23" si="0">MAX(C4:E4)-MIN(C4:E4)</x:f>
        <x:v>45</x:v>
      </x:c>
      <x:c r="T4" s="99">
        <x:f>IF($B4="",-999999999+A4,IF($V$2=0,(F4*10000+S4*1000+A4),(M4*10000+S4*10+A4)))</x:f>
        <x:v>-262882.33333333343</x:v>
      </x:c>
      <x:c r="U4" s="99">
        <x:f t="shared" ref="U4:U23" si="1">_xlfn.RANK.EQ(T4,$T$4:$T$23,0)</x:f>
        <x:v>20</x:v>
      </x:c>
      <x:c r="V4" s="100"/>
    </x:row>
    <x:row r="5" spans="1:22" ht="24.949999999999999" customHeight="1">
      <x:c r="A5" s="12">
        <x:v>2</x:v>
      </x:c>
      <x:c r="B5" s="13" t="s">
        <x:v>48</x:v>
      </x:c>
      <x:c r="C5" s="62">
        <x:v>213</x:v>
      </x:c>
      <x:c r="D5" s="62">
        <x:v>214</x:v>
      </x:c>
      <x:c r="E5" s="62">
        <x:v>179</x:v>
      </x:c>
      <x:c r="F5" s="44">
        <x:f>SUM(C5:E5)</x:f>
        <x:v>606</x:v>
      </x:c>
      <x:c r="G5" s="45">
        <x:f>F5/3</x:f>
        <x:v>202</x:v>
      </x:c>
      <x:c r="H5" s="34">
        <x:f t="array" ref="H5:H5">IF(B5="","",IFERROR(INDEX('회원명단 및 기준에버'!D:G,MATCH(B5,'회원명단 및 기준에버'!$C:$C,0),CHOOSE(INT((MONTH($L$2)-1)/3)+1,1,2,3,4)),""))</x:f>
        <x:v>191</x:v>
      </x:c>
      <x:c r="I5" s="38">
        <x:f>IFERROR(C5+-H5,0)</x:f>
        <x:v>22</x:v>
      </x:c>
      <x:c r="J5" s="38">
        <x:f>IFERROR(D5+-H5,0)</x:f>
        <x:v>23</x:v>
      </x:c>
      <x:c r="K5" s="38">
        <x:f>IFERROR(E5+-H5,0)</x:f>
        <x:v>-12</x:v>
      </x:c>
      <x:c r="L5" s="63">
        <x:f>SUM(I5:K5)</x:f>
        <x:v>33</x:v>
      </x:c>
      <x:c r="M5" s="39">
        <x:f>IFERROR(G5+-H5,0)</x:f>
        <x:v>11</x:v>
      </x:c>
      <x:c r="N5" s="19"/>
      <x:c r="S5" s="101">
        <x:f t="shared" si="0"/>
        <x:v>35</x:v>
      </x:c>
      <x:c r="T5" s="97">
        <x:f t="shared" ref="T5:T23" si="2">IF($B5="",-999999999+A5,IF($V$2=0,(F5*10000+S5*1000+A5),(M5*10000+S5*10+A5)))</x:f>
        <x:v>110352</x:v>
      </x:c>
      <x:c r="U5" s="97">
        <x:f t="shared" si="1"/>
        <x:v>2</x:v>
      </x:c>
      <x:c r="V5" s="102"/>
    </x:row>
    <x:row r="6" spans="1:22" ht="24.949999999999999" customHeight="1">
      <x:c r="A6" s="12">
        <x:v>3</x:v>
      </x:c>
      <x:c r="B6" s="13" t="s">
        <x:v>47</x:v>
      </x:c>
      <x:c r="C6" s="62">
        <x:v>193</x:v>
      </x:c>
      <x:c r="D6" s="62">
        <x:v>215</x:v>
      </x:c>
      <x:c r="E6" s="62">
        <x:v>192</x:v>
      </x:c>
      <x:c r="F6" s="44">
        <x:f>SUM(C6:E6)</x:f>
        <x:v>600</x:v>
      </x:c>
      <x:c r="G6" s="45">
        <x:f>F6/3</x:f>
        <x:v>200</x:v>
      </x:c>
      <x:c r="H6" s="34">
        <x:f t="array" ref="H6:H6">IF(B6="","",IFERROR(INDEX('회원명단 및 기준에버'!D:G,MATCH(B6,'회원명단 및 기준에버'!$C:$C,0),CHOOSE(INT((MONTH($L$2)-1)/3)+1,1,2,3,4)),""))</x:f>
        <x:v>200</x:v>
      </x:c>
      <x:c r="I6" s="38">
        <x:f t="shared" ref="I6:I23" si="3">IFERROR(C6+-H6,0)</x:f>
        <x:v>-7</x:v>
      </x:c>
      <x:c r="J6" s="38">
        <x:f t="shared" ref="J6:J23" si="4">IFERROR(D6+-H6,0)</x:f>
        <x:v>15</x:v>
      </x:c>
      <x:c r="K6" s="38">
        <x:f t="shared" ref="K6:K23" si="5">IFERROR(E6+-H6,0)</x:f>
        <x:v>-8</x:v>
      </x:c>
      <x:c r="L6" s="63">
        <x:f t="shared" ref="L6:L23" si="6">SUM(I6:K6)</x:f>
        <x:v>0</x:v>
      </x:c>
      <x:c r="M6" s="39">
        <x:f t="shared" ref="M6:M23" si="7">IFERROR(G6+-H6,0)</x:f>
        <x:v>0</x:v>
      </x:c>
      <x:c r="S6" s="101">
        <x:f t="shared" si="0"/>
        <x:v>23</x:v>
      </x:c>
      <x:c r="T6" s="97">
        <x:f t="shared" si="2"/>
        <x:v>233</x:v>
      </x:c>
      <x:c r="U6" s="97">
        <x:f t="shared" si="1"/>
        <x:v>12</x:v>
      </x:c>
      <x:c r="V6" s="102"/>
    </x:row>
    <x:row r="7" spans="1:22" ht="24.949999999999999" customHeight="1">
      <x:c r="A7" s="12">
        <x:v>4</x:v>
      </x:c>
      <x:c r="B7" s="13" t="s">
        <x:v>46</x:v>
      </x:c>
      <x:c r="C7" s="62">
        <x:v>182</x:v>
      </x:c>
      <x:c r="D7" s="62">
        <x:v>192</x:v>
      </x:c>
      <x:c r="E7" s="62">
        <x:v>247</x:v>
      </x:c>
      <x:c r="F7" s="44">
        <x:f>SUM(C7:E7)</x:f>
        <x:v>621</x:v>
      </x:c>
      <x:c r="G7" s="45">
        <x:f>F7/3</x:f>
        <x:v>207</x:v>
      </x:c>
      <x:c r="H7" s="34">
        <x:f t="array" ref="H7:H7">IF(B7="","",IFERROR(INDEX('회원명단 및 기준에버'!D:G,MATCH(B7,'회원명단 및 기준에버'!$C:$C,0),CHOOSE(INT((MONTH($L$2)-1)/3)+1,1,2,3,4)),""))</x:f>
        <x:v>200</x:v>
      </x:c>
      <x:c r="I7" s="38">
        <x:f t="shared" si="3"/>
        <x:v>-18</x:v>
      </x:c>
      <x:c r="J7" s="38">
        <x:f t="shared" si="4"/>
        <x:v>-8</x:v>
      </x:c>
      <x:c r="K7" s="38">
        <x:f t="shared" si="5"/>
        <x:v>47</x:v>
      </x:c>
      <x:c r="L7" s="63">
        <x:f t="shared" si="6"/>
        <x:v>21</x:v>
      </x:c>
      <x:c r="M7" s="39">
        <x:f t="shared" si="7"/>
        <x:v>7</x:v>
      </x:c>
      <x:c r="S7" s="101">
        <x:f t="shared" si="0"/>
        <x:v>65</x:v>
      </x:c>
      <x:c r="T7" s="97">
        <x:f t="shared" si="2"/>
        <x:v>70654</x:v>
      </x:c>
      <x:c r="U7" s="97">
        <x:f t="shared" si="1"/>
        <x:v>5</x:v>
      </x:c>
      <x:c r="V7" s="102"/>
    </x:row>
    <x:row r="8" spans="1:22" ht="24.949999999999999" customHeight="1">
      <x:c r="A8" s="12">
        <x:v>5</x:v>
      </x:c>
      <x:c r="B8" s="13" t="s">
        <x:v>42</x:v>
      </x:c>
      <x:c r="C8" s="62">
        <x:v>153</x:v>
      </x:c>
      <x:c r="D8" s="62">
        <x:v>180</x:v>
      </x:c>
      <x:c r="E8" s="62">
        <x:v>143</x:v>
      </x:c>
      <x:c r="F8" s="44">
        <x:f t="shared" ref="F8:F23" si="8">SUM(C8:E8)</x:f>
        <x:v>476</x:v>
      </x:c>
      <x:c r="G8" s="45">
        <x:f t="shared" ref="G8:G23" si="9">F8/3</x:f>
        <x:v>158.66666666666666</x:v>
      </x:c>
      <x:c r="H8" s="34">
        <x:f t="array" ref="H8:H8">IF(B8="","",IFERROR(INDEX('회원명단 및 기준에버'!D:G,MATCH(B8,'회원명단 및 기준에버'!$C:$C,0),CHOOSE(INT((MONTH($L$2)-1)/3)+1,1,2,3,4)),""))</x:f>
        <x:v>184</x:v>
      </x:c>
      <x:c r="I8" s="38">
        <x:f t="shared" si="3"/>
        <x:v>-31</x:v>
      </x:c>
      <x:c r="J8" s="38">
        <x:f t="shared" si="4"/>
        <x:v>-4</x:v>
      </x:c>
      <x:c r="K8" s="38">
        <x:f t="shared" si="5"/>
        <x:v>-41</x:v>
      </x:c>
      <x:c r="L8" s="63">
        <x:f t="shared" si="6"/>
        <x:v>-76</x:v>
      </x:c>
      <x:c r="M8" s="39">
        <x:f t="shared" si="7"/>
        <x:v>-25.333333333333343</x:v>
      </x:c>
      <x:c r="S8" s="101">
        <x:f t="shared" si="0"/>
        <x:v>37</x:v>
      </x:c>
      <x:c r="T8" s="97">
        <x:f t="shared" si="2"/>
        <x:v>-252958.33333333343</x:v>
      </x:c>
      <x:c r="U8" s="97">
        <x:f t="shared" si="1"/>
        <x:v>19</x:v>
      </x:c>
      <x:c r="V8" s="102"/>
    </x:row>
    <x:row r="9" spans="1:22" ht="24.949999999999999" customHeight="1">
      <x:c r="A9" s="12">
        <x:v>6</x:v>
      </x:c>
      <x:c r="B9" s="13" t="s">
        <x:v>35</x:v>
      </x:c>
      <x:c r="C9" s="62">
        <x:v>133</x:v>
      </x:c>
      <x:c r="D9" s="62">
        <x:v>162</x:v>
      </x:c>
      <x:c r="E9" s="62">
        <x:v>192</x:v>
      </x:c>
      <x:c r="F9" s="44">
        <x:f t="shared" si="8"/>
        <x:v>487</x:v>
      </x:c>
      <x:c r="G9" s="45">
        <x:f t="shared" si="9"/>
        <x:v>162.33333333333334</x:v>
      </x:c>
      <x:c r="H9" s="34">
        <x:f t="array" ref="H9:H9">IF(B9="","",IFERROR(INDEX('회원명단 및 기준에버'!D:G,MATCH(B9,'회원명단 및 기준에버'!$C:$C,0),CHOOSE(INT((MONTH($L$2)-1)/3)+1,1,2,3,4)),""))</x:f>
        <x:v>165</x:v>
      </x:c>
      <x:c r="I9" s="38">
        <x:f t="shared" si="3"/>
        <x:v>-32</x:v>
      </x:c>
      <x:c r="J9" s="38">
        <x:f t="shared" si="4"/>
        <x:v>-3</x:v>
      </x:c>
      <x:c r="K9" s="38">
        <x:f t="shared" si="5"/>
        <x:v>27</x:v>
      </x:c>
      <x:c r="L9" s="63">
        <x:f t="shared" si="6"/>
        <x:v>-8</x:v>
      </x:c>
      <x:c r="M9" s="39">
        <x:f t="shared" si="7"/>
        <x:v>-2.6666666666666572</x:v>
      </x:c>
      <x:c r="S9" s="101">
        <x:f t="shared" si="0"/>
        <x:v>59</x:v>
      </x:c>
      <x:c r="T9" s="97">
        <x:f t="shared" si="2"/>
        <x:v>-26070.666666666573</x:v>
      </x:c>
      <x:c r="U9" s="97">
        <x:f t="shared" si="1"/>
        <x:v>13</x:v>
      </x:c>
      <x:c r="V9" s="102"/>
    </x:row>
    <x:row r="10" spans="1:22" ht="24.949999999999999" customHeight="1">
      <x:c r="A10" s="12">
        <x:v>7</x:v>
      </x:c>
      <x:c r="B10" s="13" t="s">
        <x:v>20</x:v>
      </x:c>
      <x:c r="C10" s="62">
        <x:v>219</x:v>
      </x:c>
      <x:c r="D10" s="62">
        <x:v>196</x:v>
      </x:c>
      <x:c r="E10" s="62">
        <x:v>201</x:v>
      </x:c>
      <x:c r="F10" s="44">
        <x:f t="shared" si="8"/>
        <x:v>616</x:v>
      </x:c>
      <x:c r="G10" s="45">
        <x:f t="shared" si="9"/>
        <x:v>205.33333333333334</x:v>
      </x:c>
      <x:c r="H10" s="34">
        <x:f t="array" ref="H10:H10">IF(B10="","",IFERROR(INDEX('회원명단 및 기준에버'!D:G,MATCH(B10,'회원명단 및 기준에버'!$C:$C,0),CHOOSE(INT((MONTH($L$2)-1)/3)+1,1,2,3,4)),""))</x:f>
        <x:v>196</x:v>
      </x:c>
      <x:c r="I10" s="38">
        <x:f t="shared" si="3"/>
        <x:v>23</x:v>
      </x:c>
      <x:c r="J10" s="38">
        <x:f t="shared" si="4"/>
        <x:v>0</x:v>
      </x:c>
      <x:c r="K10" s="38">
        <x:f t="shared" si="5"/>
        <x:v>5</x:v>
      </x:c>
      <x:c r="L10" s="63">
        <x:f t="shared" si="6"/>
        <x:v>28</x:v>
      </x:c>
      <x:c r="M10" s="39">
        <x:f t="shared" si="7"/>
        <x:v>9.3333333333333428</x:v>
      </x:c>
      <x:c r="S10" s="101">
        <x:f t="shared" si="0"/>
        <x:v>23</x:v>
      </x:c>
      <x:c r="T10" s="97">
        <x:f t="shared" si="2"/>
        <x:v>93570.33333333343</x:v>
      </x:c>
      <x:c r="U10" s="97">
        <x:f t="shared" si="1"/>
        <x:v>3</x:v>
      </x:c>
      <x:c r="V10" s="102"/>
    </x:row>
    <x:row r="11" spans="1:22" ht="24.949999999999999" customHeight="1">
      <x:c r="A11" s="12">
        <x:v>8</x:v>
      </x:c>
      <x:c r="B11" s="13" t="s">
        <x:v>36</x:v>
      </x:c>
      <x:c r="C11" s="62">
        <x:v>202</x:v>
      </x:c>
      <x:c r="D11" s="62">
        <x:v>191</x:v>
      </x:c>
      <x:c r="E11" s="62">
        <x:v>178</x:v>
      </x:c>
      <x:c r="F11" s="44">
        <x:f t="shared" si="8"/>
        <x:v>571</x:v>
      </x:c>
      <x:c r="G11" s="45">
        <x:f t="shared" si="9"/>
        <x:v>190.33333333333334</x:v>
      </x:c>
      <x:c r="H11" s="34">
        <x:f t="array" ref="H11:H11">IF(B11="","",IFERROR(INDEX('회원명단 및 기준에버'!D:G,MATCH(B11,'회원명단 및 기준에버'!$C:$C,0),CHOOSE(INT((MONTH($L$2)-1)/3)+1,1,2,3,4)),""))</x:f>
        <x:v>200</x:v>
      </x:c>
      <x:c r="I11" s="38">
        <x:f t="shared" si="3"/>
        <x:v>2</x:v>
      </x:c>
      <x:c r="J11" s="38">
        <x:f t="shared" si="4"/>
        <x:v>-9</x:v>
      </x:c>
      <x:c r="K11" s="38">
        <x:f t="shared" si="5"/>
        <x:v>-22</x:v>
      </x:c>
      <x:c r="L11" s="63">
        <x:f t="shared" si="6"/>
        <x:v>-29</x:v>
      </x:c>
      <x:c r="M11" s="39">
        <x:f t="shared" si="7"/>
        <x:v>-9.6666666666666572</x:v>
      </x:c>
      <x:c r="S11" s="101">
        <x:f t="shared" si="0"/>
        <x:v>24</x:v>
      </x:c>
      <x:c r="T11" s="97">
        <x:f t="shared" si="2"/>
        <x:v>-96418.66666666657</x:v>
      </x:c>
      <x:c r="U11" s="97">
        <x:f t="shared" si="1"/>
        <x:v>16</x:v>
      </x:c>
      <x:c r="V11" s="102"/>
    </x:row>
    <x:row r="12" spans="1:22" ht="24.949999999999999" customHeight="1">
      <x:c r="A12" s="12">
        <x:v>9</x:v>
      </x:c>
      <x:c r="B12" s="13" t="s">
        <x:v>59</x:v>
      </x:c>
      <x:c r="C12" s="62">
        <x:v>200</x:v>
      </x:c>
      <x:c r="D12" s="62">
        <x:v>171</x:v>
      </x:c>
      <x:c r="E12" s="62">
        <x:v>214</x:v>
      </x:c>
      <x:c r="F12" s="44">
        <x:f t="shared" si="8"/>
        <x:v>585</x:v>
      </x:c>
      <x:c r="G12" s="45">
        <x:f t="shared" si="9"/>
        <x:v>195</x:v>
      </x:c>
      <x:c r="H12" s="34" t="str">
        <x:f t="array" ref="H12:H12">IF(B12="","",IFERROR(INDEX('회원명단 및 기준에버'!D:G,MATCH(B12,'회원명단 및 기준에버'!$C:$C,0),CHOOSE(INT((MONTH($L$2)-1)/3)+1,1,2,3,4)),""))</x:f>
        <x:v/>
      </x:c>
      <x:c r="I12" s="38">
        <x:f t="shared" si="3"/>
        <x:v>0</x:v>
      </x:c>
      <x:c r="J12" s="38">
        <x:f t="shared" si="4"/>
        <x:v>0</x:v>
      </x:c>
      <x:c r="K12" s="38">
        <x:f t="shared" si="5"/>
        <x:v>0</x:v>
      </x:c>
      <x:c r="L12" s="63">
        <x:f t="shared" si="6"/>
        <x:v>0</x:v>
      </x:c>
      <x:c r="M12" s="39">
        <x:f t="shared" si="7"/>
        <x:v>0</x:v>
      </x:c>
      <x:c r="S12" s="101">
        <x:f t="shared" si="0"/>
        <x:v>43</x:v>
      </x:c>
      <x:c r="T12" s="97">
        <x:f t="shared" si="2"/>
        <x:v>439</x:v>
      </x:c>
      <x:c r="U12" s="97">
        <x:f t="shared" si="1"/>
        <x:v>11</x:v>
      </x:c>
      <x:c r="V12" s="102"/>
    </x:row>
    <x:row r="13" spans="1:22" ht="24.949999999999999" customHeight="1">
      <x:c r="A13" s="12">
        <x:v>10</x:v>
      </x:c>
      <x:c r="B13" s="13" t="s">
        <x:v>56</x:v>
      </x:c>
      <x:c r="C13" s="62">
        <x:v>179</x:v>
      </x:c>
      <x:c r="D13" s="62">
        <x:v>177</x:v>
      </x:c>
      <x:c r="E13" s="62">
        <x:v>177</x:v>
      </x:c>
      <x:c r="F13" s="44">
        <x:f t="shared" si="8"/>
        <x:v>533</x:v>
      </x:c>
      <x:c r="G13" s="45">
        <x:f t="shared" si="9"/>
        <x:v>177.66666666666666</x:v>
      </x:c>
      <x:c r="H13" s="34">
        <x:f t="array" ref="H13:H13">IF(B13="","",IFERROR(INDEX('회원명단 및 기준에버'!D:G,MATCH(B13,'회원명단 및 기준에버'!$C:$C,0),CHOOSE(INT((MONTH($L$2)-1)/3)+1,1,2,3,4)),""))</x:f>
        <x:v>198</x:v>
      </x:c>
      <x:c r="I13" s="38">
        <x:f t="shared" si="3"/>
        <x:v>-19</x:v>
      </x:c>
      <x:c r="J13" s="38">
        <x:f t="shared" si="4"/>
        <x:v>-21</x:v>
      </x:c>
      <x:c r="K13" s="38">
        <x:f t="shared" si="5"/>
        <x:v>-21</x:v>
      </x:c>
      <x:c r="L13" s="63">
        <x:f t="shared" si="6"/>
        <x:v>-61</x:v>
      </x:c>
      <x:c r="M13" s="39">
        <x:f t="shared" si="7"/>
        <x:v>-20.333333333333343</x:v>
      </x:c>
      <x:c r="S13" s="101">
        <x:f t="shared" si="0"/>
        <x:v>2</x:v>
      </x:c>
      <x:c r="T13" s="97">
        <x:f t="shared" si="2"/>
        <x:v>-203303.33333333343</x:v>
      </x:c>
      <x:c r="U13" s="97">
        <x:f t="shared" si="1"/>
        <x:v>17</x:v>
      </x:c>
      <x:c r="V13" s="102"/>
    </x:row>
    <x:row r="14" spans="1:22" ht="24.949999999999999" customHeight="1">
      <x:c r="A14" s="12">
        <x:v>11</x:v>
      </x:c>
      <x:c r="B14" s="13" t="s">
        <x:v>41</x:v>
      </x:c>
      <x:c r="C14" s="62">
        <x:v>182</x:v>
      </x:c>
      <x:c r="D14" s="62">
        <x:v>184</x:v>
      </x:c>
      <x:c r="E14" s="62">
        <x:v>118</x:v>
      </x:c>
      <x:c r="F14" s="44">
        <x:f t="shared" si="8"/>
        <x:v>484</x:v>
      </x:c>
      <x:c r="G14" s="45">
        <x:f t="shared" si="9"/>
        <x:v>161.33333333333334</x:v>
      </x:c>
      <x:c r="H14" s="34">
        <x:f t="array" ref="H14:H14">IF(B14="","",IFERROR(INDEX('회원명단 및 기준에버'!D:G,MATCH(B14,'회원명단 및 기준에버'!$C:$C,0),CHOOSE(INT((MONTH($L$2)-1)/3)+1,1,2,3,4)),""))</x:f>
        <x:v>161</x:v>
      </x:c>
      <x:c r="I14" s="38">
        <x:f t="shared" si="3"/>
        <x:v>21</x:v>
      </x:c>
      <x:c r="J14" s="38">
        <x:f t="shared" si="4"/>
        <x:v>23</x:v>
      </x:c>
      <x:c r="K14" s="38">
        <x:f t="shared" si="5"/>
        <x:v>-43</x:v>
      </x:c>
      <x:c r="L14" s="63">
        <x:f t="shared" si="6"/>
        <x:v>1</x:v>
      </x:c>
      <x:c r="M14" s="39">
        <x:f t="shared" si="7"/>
        <x:v>0.33333333333334281</x:v>
      </x:c>
      <x:c r="S14" s="101">
        <x:f t="shared" si="0"/>
        <x:v>66</x:v>
      </x:c>
      <x:c r="T14" s="97">
        <x:f t="shared" si="2"/>
        <x:v>4004.3333333334281</x:v>
      </x:c>
      <x:c r="U14" s="97">
        <x:f t="shared" si="1"/>
        <x:v>10</x:v>
      </x:c>
      <x:c r="V14" s="102"/>
    </x:row>
    <x:row r="15" spans="1:22" ht="24.949999999999999" customHeight="1">
      <x:c r="A15" s="12">
        <x:v>12</x:v>
      </x:c>
      <x:c r="B15" s="13" t="s">
        <x:v>45</x:v>
      </x:c>
      <x:c r="C15" s="62">
        <x:v>180</x:v>
      </x:c>
      <x:c r="D15" s="62">
        <x:v>168</x:v>
      </x:c>
      <x:c r="E15" s="62">
        <x:v>136</x:v>
      </x:c>
      <x:c r="F15" s="44">
        <x:f t="shared" si="8"/>
        <x:v>484</x:v>
      </x:c>
      <x:c r="G15" s="45">
        <x:f t="shared" si="9"/>
        <x:v>161.33333333333334</x:v>
      </x:c>
      <x:c r="H15" s="34">
        <x:f t="array" ref="H15:H15">IF(B15="","",IFERROR(INDEX('회원명단 및 기준에버'!D:G,MATCH(B15,'회원명단 및 기준에버'!$C:$C,0),CHOOSE(INT((MONTH($L$2)-1)/3)+1,1,2,3,4)),""))</x:f>
        <x:v>182</x:v>
      </x:c>
      <x:c r="I15" s="38">
        <x:f t="shared" si="3"/>
        <x:v>-2</x:v>
      </x:c>
      <x:c r="J15" s="38">
        <x:f t="shared" si="4"/>
        <x:v>-14</x:v>
      </x:c>
      <x:c r="K15" s="38">
        <x:f t="shared" si="5"/>
        <x:v>-46</x:v>
      </x:c>
      <x:c r="L15" s="63">
        <x:f t="shared" si="6"/>
        <x:v>-62</x:v>
      </x:c>
      <x:c r="M15" s="39">
        <x:f t="shared" si="7"/>
        <x:v>-20.666666666666657</x:v>
      </x:c>
      <x:c r="S15" s="101">
        <x:f t="shared" si="0"/>
        <x:v>44</x:v>
      </x:c>
      <x:c r="T15" s="97">
        <x:f t="shared" si="2"/>
        <x:v>-206214.66666666657</x:v>
      </x:c>
      <x:c r="U15" s="97">
        <x:f t="shared" si="1"/>
        <x:v>18</x:v>
      </x:c>
      <x:c r="V15" s="102"/>
    </x:row>
    <x:row r="16" spans="1:22" ht="24.949999999999999" customHeight="1">
      <x:c r="A16" s="12">
        <x:v>13</x:v>
      </x:c>
      <x:c r="B16" s="13" t="s">
        <x:v>22</x:v>
      </x:c>
      <x:c r="C16" s="62">
        <x:v>225</x:v>
      </x:c>
      <x:c r="D16" s="62">
        <x:v>233</x:v>
      </x:c>
      <x:c r="E16" s="62">
        <x:v>176</x:v>
      </x:c>
      <x:c r="F16" s="44">
        <x:f t="shared" si="8"/>
        <x:v>634</x:v>
      </x:c>
      <x:c r="G16" s="45">
        <x:f t="shared" si="9"/>
        <x:v>211.33333333333334</x:v>
      </x:c>
      <x:c r="H16" s="34">
        <x:f t="array" ref="H16:H16">IF(B16="","",IFERROR(INDEX('회원명단 및 기준에버'!D:G,MATCH(B16,'회원명단 및 기준에버'!$C:$C,0),CHOOSE(INT((MONTH($L$2)-1)/3)+1,1,2,3,4)),""))</x:f>
        <x:v>194</x:v>
      </x:c>
      <x:c r="I16" s="38">
        <x:f t="shared" si="3"/>
        <x:v>31</x:v>
      </x:c>
      <x:c r="J16" s="38">
        <x:f t="shared" si="4"/>
        <x:v>39</x:v>
      </x:c>
      <x:c r="K16" s="38">
        <x:f t="shared" si="5"/>
        <x:v>-18</x:v>
      </x:c>
      <x:c r="L16" s="63">
        <x:f t="shared" si="6"/>
        <x:v>52</x:v>
      </x:c>
      <x:c r="M16" s="39">
        <x:f t="shared" si="7"/>
        <x:v>17.333333333333343</x:v>
      </x:c>
      <x:c r="S16" s="101">
        <x:f t="shared" si="0"/>
        <x:v>57</x:v>
      </x:c>
      <x:c r="T16" s="97">
        <x:f t="shared" si="2"/>
        <x:v>173916.33333333343</x:v>
      </x:c>
      <x:c r="U16" s="97">
        <x:f t="shared" si="1"/>
        <x:v>1</x:v>
      </x:c>
      <x:c r="V16" s="102"/>
    </x:row>
    <x:row r="17" spans="1:22" ht="24.949999999999999" customHeight="1">
      <x:c r="A17" s="12">
        <x:v>14</x:v>
      </x:c>
      <x:c r="B17" s="13" t="s">
        <x:v>37</x:v>
      </x:c>
      <x:c r="C17" s="62">
        <x:v>233</x:v>
      </x:c>
      <x:c r="D17" s="62">
        <x:v>207</x:v>
      </x:c>
      <x:c r="E17" s="62">
        <x:v>149</x:v>
      </x:c>
      <x:c r="F17" s="44">
        <x:f t="shared" si="8"/>
        <x:v>589</x:v>
      </x:c>
      <x:c r="G17" s="45">
        <x:f t="shared" si="9"/>
        <x:v>196.33333333333334</x:v>
      </x:c>
      <x:c r="H17" s="34">
        <x:f t="array" ref="H17:H17">IF(B17="","",IFERROR(INDEX('회원명단 및 기준에버'!D:G,MATCH(B17,'회원명단 및 기준에버'!$C:$C,0),CHOOSE(INT((MONTH($L$2)-1)/3)+1,1,2,3,4)),""))</x:f>
        <x:v>200</x:v>
      </x:c>
      <x:c r="I17" s="38">
        <x:f t="shared" si="3"/>
        <x:v>33</x:v>
      </x:c>
      <x:c r="J17" s="38">
        <x:f t="shared" si="4"/>
        <x:v>7</x:v>
      </x:c>
      <x:c r="K17" s="38">
        <x:f t="shared" si="5"/>
        <x:v>-51</x:v>
      </x:c>
      <x:c r="L17" s="63">
        <x:f t="shared" si="6"/>
        <x:v>-11</x:v>
      </x:c>
      <x:c r="M17" s="39">
        <x:f t="shared" si="7"/>
        <x:v>-3.6666666666666572</x:v>
      </x:c>
      <x:c r="S17" s="101">
        <x:f t="shared" si="0"/>
        <x:v>84</x:v>
      </x:c>
      <x:c r="T17" s="97">
        <x:f t="shared" si="2"/>
        <x:v>-35812.66666666657</x:v>
      </x:c>
      <x:c r="U17" s="97">
        <x:f t="shared" si="1"/>
        <x:v>14</x:v>
      </x:c>
      <x:c r="V17" s="102"/>
    </x:row>
    <x:row r="18" spans="1:22" ht="24.949999999999999" customHeight="1">
      <x:c r="A18" s="12">
        <x:v>15</x:v>
      </x:c>
      <x:c r="B18" s="13" t="s">
        <x:v>18</x:v>
      </x:c>
      <x:c r="C18" s="62">
        <x:v>204</x:v>
      </x:c>
      <x:c r="D18" s="62">
        <x:v>177</x:v>
      </x:c>
      <x:c r="E18" s="62">
        <x:v>199</x:v>
      </x:c>
      <x:c r="F18" s="44">
        <x:f t="shared" si="8"/>
        <x:v>580</x:v>
      </x:c>
      <x:c r="G18" s="45">
        <x:f t="shared" si="9"/>
        <x:v>193.33333333333334</x:v>
      </x:c>
      <x:c r="H18" s="34">
        <x:f t="array" ref="H18:H18">IF(B18="","",IFERROR(INDEX('회원명단 및 기준에버'!D:G,MATCH(B18,'회원명단 및 기준에버'!$C:$C,0),CHOOSE(INT((MONTH($L$2)-1)/3)+1,1,2,3,4)),""))</x:f>
        <x:v>192</x:v>
      </x:c>
      <x:c r="I18" s="38">
        <x:f t="shared" si="3"/>
        <x:v>12</x:v>
      </x:c>
      <x:c r="J18" s="38">
        <x:f t="shared" si="4"/>
        <x:v>-15</x:v>
      </x:c>
      <x:c r="K18" s="38">
        <x:f t="shared" si="5"/>
        <x:v>7</x:v>
      </x:c>
      <x:c r="L18" s="63">
        <x:f t="shared" si="6"/>
        <x:v>4</x:v>
      </x:c>
      <x:c r="M18" s="39">
        <x:f t="shared" si="7"/>
        <x:v>1.3333333333333428</x:v>
      </x:c>
      <x:c r="S18" s="101">
        <x:f t="shared" si="0"/>
        <x:v>27</x:v>
      </x:c>
      <x:c r="T18" s="97">
        <x:f t="shared" si="2"/>
        <x:v>13618.333333333429</x:v>
      </x:c>
      <x:c r="U18" s="97">
        <x:f t="shared" si="1"/>
        <x:v>9</x:v>
      </x:c>
      <x:c r="V18" s="102"/>
    </x:row>
    <x:row r="19" spans="1:22" ht="24.949999999999999" customHeight="1">
      <x:c r="A19" s="12">
        <x:v>16</x:v>
      </x:c>
      <x:c r="B19" s="13" t="s">
        <x:v>27</x:v>
      </x:c>
      <x:c r="C19" s="62">
        <x:v>153</x:v>
      </x:c>
      <x:c r="D19" s="62">
        <x:v>182</x:v>
      </x:c>
      <x:c r="E19" s="62">
        <x:v>204</x:v>
      </x:c>
      <x:c r="F19" s="44">
        <x:f t="shared" si="8"/>
        <x:v>539</x:v>
      </x:c>
      <x:c r="G19" s="45">
        <x:f t="shared" si="9"/>
        <x:v>179.66666666666666</x:v>
      </x:c>
      <x:c r="H19" s="34">
        <x:f t="array" ref="H19:H19">IF(B19="","",IFERROR(INDEX('회원명단 및 기준에버'!D:G,MATCH(B19,'회원명단 및 기준에버'!$C:$C,0),CHOOSE(INT((MONTH($L$2)-1)/3)+1,1,2,3,4)),""))</x:f>
        <x:v>171</x:v>
      </x:c>
      <x:c r="I19" s="38">
        <x:f t="shared" si="3"/>
        <x:v>-18</x:v>
      </x:c>
      <x:c r="J19" s="38">
        <x:f t="shared" si="4"/>
        <x:v>11</x:v>
      </x:c>
      <x:c r="K19" s="38">
        <x:f t="shared" si="5"/>
        <x:v>33</x:v>
      </x:c>
      <x:c r="L19" s="63">
        <x:f t="shared" si="6"/>
        <x:v>26</x:v>
      </x:c>
      <x:c r="M19" s="39">
        <x:f t="shared" si="7"/>
        <x:v>8.6666666666666572</x:v>
      </x:c>
      <x:c r="S19" s="101">
        <x:f t="shared" si="0"/>
        <x:v>51</x:v>
      </x:c>
      <x:c r="T19" s="97">
        <x:f t="shared" si="2"/>
        <x:v>87192.66666666657</x:v>
      </x:c>
      <x:c r="U19" s="97">
        <x:f t="shared" si="1"/>
        <x:v>4</x:v>
      </x:c>
      <x:c r="V19" s="102"/>
    </x:row>
    <x:row r="20" spans="1:22" ht="24.949999999999999" customHeight="1">
      <x:c r="A20" s="12">
        <x:v>17</x:v>
      </x:c>
      <x:c r="B20" s="13" t="s">
        <x:v>21</x:v>
      </x:c>
      <x:c r="C20" s="62">
        <x:v>202</x:v>
      </x:c>
      <x:c r="D20" s="62">
        <x:v>217</x:v>
      </x:c>
      <x:c r="E20" s="62">
        <x:v>170</x:v>
      </x:c>
      <x:c r="F20" s="44">
        <x:f t="shared" si="8"/>
        <x:v>589</x:v>
      </x:c>
      <x:c r="G20" s="45">
        <x:f t="shared" si="9"/>
        <x:v>196.33333333333334</x:v>
      </x:c>
      <x:c r="H20" s="34">
        <x:f t="array" ref="H20:H20">IF(B20="","",IFERROR(INDEX('회원명단 및 기준에버'!D:G,MATCH(B20,'회원명단 및 기준에버'!$C:$C,0),CHOOSE(INT((MONTH($L$2)-1)/3)+1,1,2,3,4)),""))</x:f>
        <x:v>194</x:v>
      </x:c>
      <x:c r="I20" s="38">
        <x:f t="shared" si="3"/>
        <x:v>8</x:v>
      </x:c>
      <x:c r="J20" s="38">
        <x:f t="shared" si="4"/>
        <x:v>23</x:v>
      </x:c>
      <x:c r="K20" s="38">
        <x:f t="shared" si="5"/>
        <x:v>-24</x:v>
      </x:c>
      <x:c r="L20" s="63">
        <x:f t="shared" si="6"/>
        <x:v>7</x:v>
      </x:c>
      <x:c r="M20" s="39">
        <x:f t="shared" si="7"/>
        <x:v>2.3333333333333428</x:v>
      </x:c>
      <x:c r="S20" s="101">
        <x:f t="shared" si="0"/>
        <x:v>47</x:v>
      </x:c>
      <x:c r="T20" s="97">
        <x:f t="shared" si="2"/>
        <x:v>23820.333333333427</x:v>
      </x:c>
      <x:c r="U20" s="97">
        <x:f t="shared" si="1"/>
        <x:v>6</x:v>
      </x:c>
      <x:c r="V20" s="102"/>
    </x:row>
    <x:row r="21" spans="1:22" ht="24.949999999999999" customHeight="1">
      <x:c r="A21" s="12">
        <x:v>18</x:v>
      </x:c>
      <x:c r="B21" s="13" t="s">
        <x:v>39</x:v>
      </x:c>
      <x:c r="C21" s="62">
        <x:v>231</x:v>
      </x:c>
      <x:c r="D21" s="62">
        <x:v>170</x:v>
      </x:c>
      <x:c r="E21" s="62">
        <x:v>204</x:v>
      </x:c>
      <x:c r="F21" s="44">
        <x:f t="shared" si="8"/>
        <x:v>605</x:v>
      </x:c>
      <x:c r="G21" s="45">
        <x:f t="shared" si="9"/>
        <x:v>201.66666666666666</x:v>
      </x:c>
      <x:c r="H21" s="34">
        <x:f t="array" ref="H21:H21">IF(B21="","",IFERROR(INDEX('회원명단 및 기준에버'!D:G,MATCH(B21,'회원명단 및 기준에버'!$C:$C,0),CHOOSE(INT((MONTH($L$2)-1)/3)+1,1,2,3,4)),""))</x:f>
        <x:v>200</x:v>
      </x:c>
      <x:c r="I21" s="38">
        <x:f t="shared" si="3"/>
        <x:v>31</x:v>
      </x:c>
      <x:c r="J21" s="38">
        <x:f t="shared" si="4"/>
        <x:v>-30</x:v>
      </x:c>
      <x:c r="K21" s="38">
        <x:f t="shared" si="5"/>
        <x:v>4</x:v>
      </x:c>
      <x:c r="L21" s="63">
        <x:f t="shared" si="6"/>
        <x:v>5</x:v>
      </x:c>
      <x:c r="M21" s="39">
        <x:f t="shared" si="7"/>
        <x:v>1.6666666666666572</x:v>
      </x:c>
      <x:c r="S21" s="101">
        <x:f t="shared" si="0"/>
        <x:v>61</x:v>
      </x:c>
      <x:c r="T21" s="97">
        <x:f t="shared" si="2"/>
        <x:v>17294.666666666573</x:v>
      </x:c>
      <x:c r="U21" s="97">
        <x:f t="shared" si="1"/>
        <x:v>8</x:v>
      </x:c>
      <x:c r="V21" s="102"/>
    </x:row>
    <x:row r="22" spans="1:22" ht="24.949999999999999" customHeight="1">
      <x:c r="A22" s="12">
        <x:v>19</x:v>
      </x:c>
      <x:c r="B22" s="13" t="s">
        <x:v>17</x:v>
      </x:c>
      <x:c r="C22" s="62">
        <x:v>214</x:v>
      </x:c>
      <x:c r="D22" s="62">
        <x:v>156</x:v>
      </x:c>
      <x:c r="E22" s="62">
        <x:v>188</x:v>
      </x:c>
      <x:c r="F22" s="44">
        <x:f t="shared" si="8"/>
        <x:v>558</x:v>
      </x:c>
      <x:c r="G22" s="45">
        <x:f t="shared" si="9"/>
        <x:v>186</x:v>
      </x:c>
      <x:c r="H22" s="34">
        <x:f t="array" ref="H22:H22">IF(B22="","",IFERROR(INDEX('회원명단 및 기준에버'!D:G,MATCH(B22,'회원명단 및 기준에버'!$C:$C,0),CHOOSE(INT((MONTH($L$2)-1)/3)+1,1,2,3,4)),""))</x:f>
        <x:v>184</x:v>
      </x:c>
      <x:c r="I22" s="38">
        <x:f t="shared" si="3"/>
        <x:v>30</x:v>
      </x:c>
      <x:c r="J22" s="38">
        <x:f t="shared" si="4"/>
        <x:v>-28</x:v>
      </x:c>
      <x:c r="K22" s="38">
        <x:f t="shared" si="5"/>
        <x:v>4</x:v>
      </x:c>
      <x:c r="L22" s="63">
        <x:f t="shared" si="6"/>
        <x:v>6</x:v>
      </x:c>
      <x:c r="M22" s="39">
        <x:f t="shared" si="7"/>
        <x:v>2</x:v>
      </x:c>
      <x:c r="S22" s="101">
        <x:f t="shared" si="0"/>
        <x:v>58</x:v>
      </x:c>
      <x:c r="T22" s="97">
        <x:f t="shared" si="2"/>
        <x:v>20599</x:v>
      </x:c>
      <x:c r="U22" s="97">
        <x:f t="shared" si="1"/>
        <x:v>7</x:v>
      </x:c>
      <x:c r="V22" s="102"/>
    </x:row>
    <x:row r="23" spans="1:22" ht="24.949999999999999" customHeight="1">
      <x:c r="A23" s="12">
        <x:v>20</x:v>
      </x:c>
      <x:c r="B23" s="13" t="s">
        <x:v>16</x:v>
      </x:c>
      <x:c r="C23" s="62">
        <x:v>209</x:v>
      </x:c>
      <x:c r="D23" s="62">
        <x:v>135</x:v>
      </x:c>
      <x:c r="E23" s="62">
        <x:v>193</x:v>
      </x:c>
      <x:c r="F23" s="44">
        <x:f t="shared" si="8"/>
        <x:v>537</x:v>
      </x:c>
      <x:c r="G23" s="45">
        <x:f t="shared" si="9"/>
        <x:v>179</x:v>
      </x:c>
      <x:c r="H23" s="34">
        <x:f t="array" ref="H23:H23">IF(B23="","",IFERROR(INDEX('회원명단 및 기준에버'!D:G,MATCH(B23,'회원명단 및 기준에버'!$C:$C,0),CHOOSE(INT((MONTH($L$2)-1)/3)+1,1,2,3,4)),""))</x:f>
        <x:v>184</x:v>
      </x:c>
      <x:c r="I23" s="38">
        <x:f t="shared" si="3"/>
        <x:v>25</x:v>
      </x:c>
      <x:c r="J23" s="38">
        <x:f t="shared" si="4"/>
        <x:v>-49</x:v>
      </x:c>
      <x:c r="K23" s="38">
        <x:f t="shared" si="5"/>
        <x:v>9</x:v>
      </x:c>
      <x:c r="L23" s="63">
        <x:f t="shared" si="6"/>
        <x:v>-15</x:v>
      </x:c>
      <x:c r="M23" s="39">
        <x:f t="shared" si="7"/>
        <x:v>-5</x:v>
      </x:c>
      <x:c r="S23" s="101">
        <x:f t="shared" si="0"/>
        <x:v>74</x:v>
      </x:c>
      <x:c r="T23" s="97">
        <x:f t="shared" si="2"/>
        <x:v>-49240</x:v>
      </x:c>
      <x:c r="U23" s="97">
        <x:f t="shared" si="1"/>
        <x:v>15</x:v>
      </x:c>
      <x:c r="V23" s="102"/>
    </x:row>
    <x:row r="24" spans="2:13" s="18" customFormat="1" ht="24.949999999999999" customHeight="1">
      <x:c r="B24" s="168" t="s">
        <x:v>63</x:v>
      </x:c>
      <x:c r="C24" s="169"/>
      <x:c r="D24" s="169"/>
      <x:c r="E24" s="169"/>
      <x:c r="F24" s="169"/>
      <x:c r="G24" s="169"/>
      <x:c r="H24" s="169"/>
      <x:c r="I24" s="169"/>
      <x:c r="J24" s="169"/>
      <x:c r="K24" s="169"/>
      <x:c r="L24" s="169"/>
      <x:c r="M24" s="170"/>
    </x:row>
    <x:row r="25" spans="2:13" s="18" customFormat="1" ht="24.949999999999999" customHeight="1">
      <x:c r="B25" s="171" t="s">
        <x:v>68</x:v>
      </x:c>
      <x:c r="C25" s="172"/>
      <x:c r="D25" s="172"/>
      <x:c r="E25" s="173"/>
      <x:c r="F25" s="174" t="s">
        <x:v>28</x:v>
      </x:c>
      <x:c r="G25" s="176" t="s">
        <x:v>14</x:v>
      </x:c>
      <x:c r="H25" s="177"/>
      <x:c r="I25" s="178"/>
      <x:c r="J25" s="179" t="s">
        <x:v>55</x:v>
      </x:c>
      <x:c r="K25" s="180"/>
      <x:c r="L25" s="180"/>
      <x:c r="M25" s="181"/>
    </x:row>
    <x:row r="26" spans="2:13" s="18" customFormat="1" ht="24.949999999999999" customHeight="1">
      <x:c r="B26" s="54"/>
      <x:c r="C26" s="24"/>
      <x:c r="D26" s="55"/>
      <x:c r="E26" s="56"/>
      <x:c r="F26" s="175"/>
      <x:c r="G26" s="182" t="s">
        <x:v>62</x:v>
      </x:c>
      <x:c r="H26" s="183"/>
      <x:c r="I26" s="184"/>
      <x:c r="J26" s="26"/>
      <x:c r="K26" s="27"/>
      <x:c r="L26" s="27"/>
      <x:c r="M26" s="28"/>
    </x:row>
    <x:row r="27" spans="2:13" s="18" customFormat="1" ht="24.949999999999999" customHeight="1">
      <x:c r="B27" s="155" t="s">
        <x:v>29</x:v>
      </x:c>
      <x:c r="C27" s="156"/>
      <x:c r="D27" s="156"/>
      <x:c r="E27" s="156"/>
      <x:c r="F27" s="156"/>
      <x:c r="G27" s="156"/>
      <x:c r="H27" s="157"/>
      <x:c r="I27" s="158" t="s">
        <x:v>66</x:v>
      </x:c>
      <x:c r="J27" s="159"/>
      <x:c r="K27" s="160" t="s">
        <x:v>67</x:v>
      </x:c>
      <x:c r="L27" s="161"/>
      <x:c r="M27" s="162"/>
    </x:row>
    <x:row r="28" spans="2:13" s="18" customFormat="1" ht="24.949999999999999" customHeight="1">
      <x:c r="B28" s="21" t="s">
        <x:v>20</x:v>
      </x:c>
      <x:c r="C28" s="64">
        <x:v>219</x:v>
      </x:c>
      <x:c r="D28" s="32"/>
      <x:c r="E28" s="67"/>
      <x:c r="F28" s="30"/>
      <x:c r="G28" s="70"/>
      <x:c r="H28" s="157"/>
      <x:c r="I28" s="23"/>
      <x:c r="J28" s="50"/>
      <x:c r="K28" s="57" t="s">
        <x:v>35</x:v>
      </x:c>
      <x:c r="L28" s="58"/>
      <x:c r="M28" s="59"/>
    </x:row>
    <x:row r="29" spans="2:13" s="18" customFormat="1" ht="24.949999999999999" customHeight="1">
      <x:c r="B29" s="46" t="s">
        <x:v>46</x:v>
      </x:c>
      <x:c r="C29" s="65">
        <x:v>247</x:v>
      </x:c>
      <x:c r="D29" s="47"/>
      <x:c r="E29" s="68"/>
      <x:c r="F29" s="48"/>
      <x:c r="G29" s="71"/>
      <x:c r="H29" s="157"/>
      <x:c r="I29" s="49"/>
      <x:c r="J29" s="51"/>
      <x:c r="K29" s="57"/>
      <x:c r="L29" s="58"/>
      <x:c r="M29" s="59"/>
    </x:row>
    <x:row r="30" spans="2:13" s="18" customFormat="1" ht="24.949999999999999" customHeight="1">
      <x:c r="B30" s="29" t="s">
        <x:v>18</x:v>
      </x:c>
      <x:c r="C30" s="66">
        <x:v>199</x:v>
      </x:c>
      <x:c r="D30" s="33"/>
      <x:c r="E30" s="69"/>
      <x:c r="F30" s="31"/>
      <x:c r="G30" s="72"/>
      <x:c r="H30" s="157"/>
      <x:c r="I30" s="24"/>
      <x:c r="J30" s="52"/>
      <x:c r="K30" s="60"/>
      <x:c r="L30" s="53"/>
      <x:c r="M30" s="61"/>
    </x:row>
    <x:row r="31" spans="1:13" s="18" customFormat="1" ht="24.949999999999999" customHeight="1">
      <x:c r="A31" s="17"/>
      <x:c r="B31" s="163" t="s">
        <x:v>51</x:v>
      </x:c>
      <x:c r="C31" s="164"/>
      <x:c r="D31" s="164"/>
      <x:c r="E31" s="164"/>
      <x:c r="F31" s="164"/>
      <x:c r="G31" s="164"/>
      <x:c r="H31" s="164"/>
      <x:c r="I31" s="164"/>
      <x:c r="J31" s="164"/>
      <x:c r="K31" s="164"/>
      <x:c r="L31" s="164"/>
      <x:c r="M31" s="165"/>
    </x:row>
    <x:row r="32" spans="2:13" s="18" customFormat="1" ht="24.949999999999999" customHeight="1">
      <x:c r="B32" s="35" t="str">
        <x:f>$B4</x:f>
        <x:v>지 옥 명</x:v>
      </x:c>
      <x:c r="C32" s="40">
        <x:f>IF($T$2=0,$C4,$I4)</x:f>
        <x:v>-56</x:v>
      </x:c>
      <x:c r="D32" s="40">
        <x:f>IF($T$2=0,$D4,$J4)</x:f>
        <x:v>-11</x:v>
      </x:c>
      <x:c r="E32" s="40">
        <x:f>IF($T$2=0,$E4,$K4)</x:f>
        <x:v>-12</x:v>
      </x:c>
      <x:c r="F32" s="141">
        <x:f>E37+D37+C37</x:f>
        <x:v>-101</x:v>
      </x:c>
      <x:c r="G32" s="144"/>
      <x:c r="H32" s="79" t="str">
        <x:f>$B9</x:f>
        <x:v>이 승 미</x:v>
      </x:c>
      <x:c r="I32" s="40">
        <x:f>IF($T$2=0,$C9,$I9)</x:f>
        <x:v>-32</x:v>
      </x:c>
      <x:c r="J32" s="40">
        <x:f>IF($T$2=0,$D9,$J9)</x:f>
        <x:v>-3</x:v>
      </x:c>
      <x:c r="K32" s="40">
        <x:f>IF($T$2=0,$E9,$K9)</x:f>
        <x:v>27</x:v>
      </x:c>
      <x:c r="L32" s="149">
        <x:f>K37+J37+I37</x:f>
        <x:v>-70</x:v>
      </x:c>
      <x:c r="M32" s="152"/>
    </x:row>
    <x:row r="33" spans="2:13" s="18" customFormat="1" ht="24.949999999999999" customHeight="1">
      <x:c r="B33" s="36" t="str">
        <x:f>$B5</x:f>
        <x:v>천 성 일</x:v>
      </x:c>
      <x:c r="C33" s="41">
        <x:f>IF($T$2=0,$C5,$I5)</x:f>
        <x:v>22</x:v>
      </x:c>
      <x:c r="D33" s="41">
        <x:f>IF($T$2=0,$D5,$J5)</x:f>
        <x:v>23</x:v>
      </x:c>
      <x:c r="E33" s="41">
        <x:f>IF($T$2=0,$E5,$K5)</x:f>
        <x:v>-12</x:v>
      </x:c>
      <x:c r="F33" s="142"/>
      <x:c r="G33" s="145"/>
      <x:c r="H33" s="36" t="str">
        <x:f>$B10</x:f>
        <x:v>이 정 석</x:v>
      </x:c>
      <x:c r="I33" s="41">
        <x:f>IF($T$2=0,$C10,$I10)</x:f>
        <x:v>23</x:v>
      </x:c>
      <x:c r="J33" s="41">
        <x:f>IF($T$2=0,$D10,$J10)</x:f>
        <x:v>0</x:v>
      </x:c>
      <x:c r="K33" s="41">
        <x:f>IF($T$2=0,$E10,$K10)</x:f>
        <x:v>5</x:v>
      </x:c>
      <x:c r="L33" s="150"/>
      <x:c r="M33" s="153"/>
    </x:row>
    <x:row r="34" spans="2:13" s="18" customFormat="1" ht="24.949999999999999" customHeight="1">
      <x:c r="B34" s="36" t="str">
        <x:f>$B6</x:f>
        <x:v>장 영 민</x:v>
      </x:c>
      <x:c r="C34" s="41">
        <x:f>IF($T$2=0,$C6,$I6)</x:f>
        <x:v>-7</x:v>
      </x:c>
      <x:c r="D34" s="41">
        <x:f>IF($T$2=0,$D6,$J6)</x:f>
        <x:v>15</x:v>
      </x:c>
      <x:c r="E34" s="41">
        <x:f>IF($T$2=0,$E6,$K6)</x:f>
        <x:v>-8</x:v>
      </x:c>
      <x:c r="F34" s="142"/>
      <x:c r="G34" s="145"/>
      <x:c r="H34" s="36" t="str">
        <x:f>$B11</x:f>
        <x:v>변 상 필</x:v>
      </x:c>
      <x:c r="I34" s="41">
        <x:f>IF($T$2=0,$C11,$I11)</x:f>
        <x:v>2</x:v>
      </x:c>
      <x:c r="J34" s="41">
        <x:f>IF($T$2=0,$D11,$J11)</x:f>
        <x:v>-9</x:v>
      </x:c>
      <x:c r="K34" s="41">
        <x:f>IF($T$2=0,$E11,$K11)</x:f>
        <x:v>-22</x:v>
      </x:c>
      <x:c r="L34" s="150"/>
      <x:c r="M34" s="153"/>
    </x:row>
    <x:row r="35" spans="2:13" s="18" customFormat="1" ht="24.949999999999999" customHeight="1">
      <x:c r="B35" s="36" t="str">
        <x:f>$B7</x:f>
        <x:v>강 희 태</x:v>
      </x:c>
      <x:c r="C35" s="41">
        <x:f>IF($T$2=0,$C7,$I7)</x:f>
        <x:v>-18</x:v>
      </x:c>
      <x:c r="D35" s="41">
        <x:f>IF($T$2=0,$D7,$J7)</x:f>
        <x:v>-8</x:v>
      </x:c>
      <x:c r="E35" s="41">
        <x:f>IF($T$2=0,$E7,$K7)</x:f>
        <x:v>47</x:v>
      </x:c>
      <x:c r="F35" s="142"/>
      <x:c r="G35" s="145"/>
      <x:c r="H35" s="36" t="str">
        <x:f>$B12</x:f>
        <x:v>최  진</x:v>
      </x:c>
      <x:c r="I35" s="41">
        <x:f>IF($T$2=0,$C12,$I12)</x:f>
        <x:v>0</x:v>
      </x:c>
      <x:c r="J35" s="41">
        <x:f>IF($T$2=0,$D12,$J12)</x:f>
        <x:v>0</x:v>
      </x:c>
      <x:c r="K35" s="41">
        <x:f>IF($T$2=0,$E12,$K12)</x:f>
        <x:v>0</x:v>
      </x:c>
      <x:c r="L35" s="150"/>
      <x:c r="M35" s="153"/>
    </x:row>
    <x:row r="36" spans="2:13" s="18" customFormat="1" ht="24.949999999999999" customHeight="1">
      <x:c r="B36" s="36" t="str">
        <x:f>$B8</x:f>
        <x:v>황 인 교</x:v>
      </x:c>
      <x:c r="C36" s="41">
        <x:f>IF($T$2=0,$C8,$I8)</x:f>
        <x:v>-31</x:v>
      </x:c>
      <x:c r="D36" s="41">
        <x:f>IF($T$2=0,$D8,$J8)</x:f>
        <x:v>-4</x:v>
      </x:c>
      <x:c r="E36" s="41">
        <x:f>IF($T$2=0,$E8,$K8)</x:f>
        <x:v>-41</x:v>
      </x:c>
      <x:c r="F36" s="142"/>
      <x:c r="G36" s="145"/>
      <x:c r="H36" s="36" t="str">
        <x:f>$B13</x:f>
        <x:v>김 종 훈</x:v>
      </x:c>
      <x:c r="I36" s="41">
        <x:f>IF($T$2=0,$C13,$I13)</x:f>
        <x:v>-19</x:v>
      </x:c>
      <x:c r="J36" s="41">
        <x:f>IF($T$2=0,$D13,$J13)</x:f>
        <x:v>-21</x:v>
      </x:c>
      <x:c r="K36" s="41">
        <x:f>IF($T$2=0,$E13,$K13)</x:f>
        <x:v>-21</x:v>
      </x:c>
      <x:c r="L36" s="150"/>
      <x:c r="M36" s="153"/>
    </x:row>
    <x:row r="37" spans="2:13" s="18" customFormat="1" ht="24.949999999999999" customHeight="1">
      <x:c r="B37" s="37"/>
      <x:c r="C37" s="42">
        <x:f>SUM(C32:C36)</x:f>
        <x:v>-90</x:v>
      </x:c>
      <x:c r="D37" s="42">
        <x:f>SUM(D32:D36)</x:f>
        <x:v>15</x:v>
      </x:c>
      <x:c r="E37" s="42">
        <x:f>SUM(E32:E36)</x:f>
        <x:v>-26</x:v>
      </x:c>
      <x:c r="F37" s="143"/>
      <x:c r="G37" s="146"/>
      <x:c r="H37" s="37"/>
      <x:c r="I37" s="42">
        <x:f>SUM(I32:I36)</x:f>
        <x:v>-26</x:v>
      </x:c>
      <x:c r="J37" s="42">
        <x:f>SUM(J32:J36)</x:f>
        <x:v>-33</x:v>
      </x:c>
      <x:c r="K37" s="42">
        <x:f>SUM(K32:K36)</x:f>
        <x:v>-11</x:v>
      </x:c>
      <x:c r="L37" s="151"/>
      <x:c r="M37" s="154"/>
    </x:row>
    <x:row r="38" s="18" customFormat="1" ht="24.949999999999999" customHeight="1"/>
    <x:row r="39" spans="2:13" s="18" customFormat="1" ht="24.949999999999999" customHeight="1">
      <x:c r="B39" s="35" t="str">
        <x:f>$B14</x:f>
        <x:v>김 선 미</x:v>
      </x:c>
      <x:c r="C39" s="40">
        <x:f>IF($T$2=0,$C14,$I14)</x:f>
        <x:v>21</x:v>
      </x:c>
      <x:c r="D39" s="40">
        <x:f>IF($T$2=0,$D14,$J14)</x:f>
        <x:v>23</x:v>
      </x:c>
      <x:c r="E39" s="40">
        <x:f>IF($T$2=0,$E14,$K14)</x:f>
        <x:v>-43</x:v>
      </x:c>
      <x:c r="F39" s="141">
        <x:f>E44+D44+C44</x:f>
        <x:v>-16</x:v>
      </x:c>
      <x:c r="G39" s="144"/>
      <x:c r="H39" s="79" t="str">
        <x:f>$B19</x:f>
        <x:v>진 명 옥</x:v>
      </x:c>
      <x:c r="I39" s="40">
        <x:f>IF($T$2=0,$C19,$I19)</x:f>
        <x:v>-18</x:v>
      </x:c>
      <x:c r="J39" s="40">
        <x:f>IF($T$2=0,$D19,$J19)</x:f>
        <x:v>11</x:v>
      </x:c>
      <x:c r="K39" s="40">
        <x:f>IF($T$2=0,$E19,$K19)</x:f>
        <x:v>33</x:v>
      </x:c>
      <x:c r="L39" s="149">
        <x:f>K44+J44+I44</x:f>
        <x:v>29</x:v>
      </x:c>
      <x:c r="M39" s="152"/>
    </x:row>
    <x:row r="40" spans="2:13" s="17" customFormat="1" ht="24.949999999999999" customHeight="1">
      <x:c r="B40" s="36" t="str">
        <x:f>$B15</x:f>
        <x:v>김 미 란</x:v>
      </x:c>
      <x:c r="C40" s="41">
        <x:f>IF($T$2=0,$C15,$I15)</x:f>
        <x:v>-2</x:v>
      </x:c>
      <x:c r="D40" s="41">
        <x:f>IF($T$2=0,$D15,$J15)</x:f>
        <x:v>-14</x:v>
      </x:c>
      <x:c r="E40" s="41">
        <x:f>IF($T$2=0,$E15,$K15)</x:f>
        <x:v>-46</x:v>
      </x:c>
      <x:c r="F40" s="142"/>
      <x:c r="G40" s="145"/>
      <x:c r="H40" s="36" t="str">
        <x:f>$B20</x:f>
        <x:v>임 연 진</x:v>
      </x:c>
      <x:c r="I40" s="41">
        <x:f>IF($T$2=0,$C20,$I20)</x:f>
        <x:v>8</x:v>
      </x:c>
      <x:c r="J40" s="41">
        <x:f>IF($T$2=0,$D20,$J20)</x:f>
        <x:v>23</x:v>
      </x:c>
      <x:c r="K40" s="41">
        <x:f>IF($T$2=0,$E20,$K20)</x:f>
        <x:v>-24</x:v>
      </x:c>
      <x:c r="L40" s="150"/>
      <x:c r="M40" s="153"/>
    </x:row>
    <x:row r="41" spans="2:13" s="17" customFormat="1" ht="24.949999999999999" customHeight="1">
      <x:c r="B41" s="36" t="str">
        <x:f>$B16</x:f>
        <x:v>강 완 규</x:v>
      </x:c>
      <x:c r="C41" s="41">
        <x:f>IF($T$2=0,$C16,$I16)</x:f>
        <x:v>31</x:v>
      </x:c>
      <x:c r="D41" s="41">
        <x:f>IF($T$2=0,$D16,$J16)</x:f>
        <x:v>39</x:v>
      </x:c>
      <x:c r="E41" s="41">
        <x:f>IF($T$2=0,$E16,$K16)</x:f>
        <x:v>-18</x:v>
      </x:c>
      <x:c r="F41" s="142"/>
      <x:c r="G41" s="145"/>
      <x:c r="H41" s="36" t="str">
        <x:f>$B21</x:f>
        <x:v>이 우 석</x:v>
      </x:c>
      <x:c r="I41" s="41">
        <x:f>IF($T$2=0,$C21,$I21)</x:f>
        <x:v>31</x:v>
      </x:c>
      <x:c r="J41" s="41">
        <x:f>IF($T$2=0,$D21,$J21)</x:f>
        <x:v>-30</x:v>
      </x:c>
      <x:c r="K41" s="41">
        <x:f>IF($T$2=0,$E21,$K21)</x:f>
        <x:v>4</x:v>
      </x:c>
      <x:c r="L41" s="150"/>
      <x:c r="M41" s="153"/>
    </x:row>
    <x:row r="42" spans="2:13" s="17" customFormat="1" ht="24.949999999999999" customHeight="1">
      <x:c r="B42" s="36" t="str">
        <x:f>$B17</x:f>
        <x:v>이 대 용</x:v>
      </x:c>
      <x:c r="C42" s="41">
        <x:f>IF($T$2=0,$C17,$I17)</x:f>
        <x:v>33</x:v>
      </x:c>
      <x:c r="D42" s="41">
        <x:f>IF($T$2=0,$D17,$J17)</x:f>
        <x:v>7</x:v>
      </x:c>
      <x:c r="E42" s="41">
        <x:f>IF($T$2=0,$E17,$K17)</x:f>
        <x:v>-51</x:v>
      </x:c>
      <x:c r="F42" s="142"/>
      <x:c r="G42" s="145"/>
      <x:c r="H42" s="36" t="str">
        <x:f>$B22</x:f>
        <x:v>정 영 우</x:v>
      </x:c>
      <x:c r="I42" s="41">
        <x:f>IF($T$2=0,$C22,$I22)</x:f>
        <x:v>30</x:v>
      </x:c>
      <x:c r="J42" s="41">
        <x:f>IF($T$2=0,$D22,$J22)</x:f>
        <x:v>-28</x:v>
      </x:c>
      <x:c r="K42" s="41">
        <x:f>IF($T$2=0,$E22,$K22)</x:f>
        <x:v>4</x:v>
      </x:c>
      <x:c r="L42" s="150"/>
      <x:c r="M42" s="153"/>
    </x:row>
    <x:row r="43" spans="2:13" s="17" customFormat="1" ht="24.949999999999999" customHeight="1">
      <x:c r="B43" s="36" t="str">
        <x:f>$B18</x:f>
        <x:v>나 경 주</x:v>
      </x:c>
      <x:c r="C43" s="41">
        <x:f>IF($T$2=0,$C18,$I18)</x:f>
        <x:v>12</x:v>
      </x:c>
      <x:c r="D43" s="41">
        <x:f>IF($T$2=0,$D18,$J18)</x:f>
        <x:v>-15</x:v>
      </x:c>
      <x:c r="E43" s="41">
        <x:f>IF($T$2=0,$E18,$K18)</x:f>
        <x:v>7</x:v>
      </x:c>
      <x:c r="F43" s="142"/>
      <x:c r="G43" s="145"/>
      <x:c r="H43" s="36" t="str">
        <x:f>$B23</x:f>
        <x:v>엄 정 도</x:v>
      </x:c>
      <x:c r="I43" s="41">
        <x:f>IF($T$2=0,$C23,$I23)</x:f>
        <x:v>25</x:v>
      </x:c>
      <x:c r="J43" s="41">
        <x:f>IF($T$2=0,$D23,$J23)</x:f>
        <x:v>-49</x:v>
      </x:c>
      <x:c r="K43" s="41">
        <x:f>IF($T$2=0,$E23,$K23)</x:f>
        <x:v>9</x:v>
      </x:c>
      <x:c r="L43" s="150"/>
      <x:c r="M43" s="153"/>
    </x:row>
    <x:row r="44" spans="2:13" s="17" customFormat="1" ht="24.949999999999999" customHeight="1">
      <x:c r="B44" s="37"/>
      <x:c r="C44" s="42">
        <x:f>SUM(C39:C43)</x:f>
        <x:v>95</x:v>
      </x:c>
      <x:c r="D44" s="42">
        <x:f>SUM(D39:D43)</x:f>
        <x:v>40</x:v>
      </x:c>
      <x:c r="E44" s="42">
        <x:f>SUM(E39:E43)</x:f>
        <x:v>-151</x:v>
      </x:c>
      <x:c r="F44" s="143"/>
      <x:c r="G44" s="146"/>
      <x:c r="H44" s="37"/>
      <x:c r="I44" s="42">
        <x:f>SUM(I39:I43)</x:f>
        <x:v>76</x:v>
      </x:c>
      <x:c r="J44" s="42">
        <x:f>SUM(J39:J43)</x:f>
        <x:v>-73</x:v>
      </x:c>
      <x:c r="K44" s="42">
        <x:f>SUM(K39:K43)</x:f>
        <x:v>26</x:v>
      </x:c>
      <x:c r="L44" s="151"/>
      <x:c r="M44" s="154"/>
    </x:row>
    <x:row r="45" ht="24.949999999999999" customHeight="1"/>
    <x:row r="46" ht="24.949999999999999" customHeight="1"/>
    <x:row r="47" ht="24.949999999999999" customHeight="1"/>
    <x:row r="48" ht="24.949999999999999" customHeight="1"/>
    <x:row r="49" spans="1:13" ht="60" customHeight="1">
      <x:c r="A49" s="185" t="str">
        <x:f>A1</x:f>
        <x:v>2026 아르케 존 01회 정기 모임 점수</x:v>
      </x:c>
      <x:c r="B49" s="185"/>
      <x:c r="C49" s="185"/>
      <x:c r="D49" s="185"/>
      <x:c r="E49" s="185"/>
      <x:c r="F49" s="185"/>
      <x:c r="G49" s="185"/>
      <x:c r="H49" s="185"/>
      <x:c r="I49" s="185"/>
      <x:c r="J49" s="185"/>
      <x:c r="K49" s="185"/>
      <x:c r="L49" s="185"/>
      <x:c r="M49" s="185"/>
    </x:row>
    <x:row r="50" spans="1:13" ht="24.949999999999999" customHeight="1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8" t="s">
        <x:v>8</x:v>
      </x:c>
      <x:c r="L50" s="166">
        <x:f>L2</x:f>
        <x:v>46030</x:v>
      </x:c>
      <x:c r="M50" s="167"/>
    </x:row>
    <x:row r="51" spans="1:13" ht="24.949999999999999" customHeight="1">
      <x:c r="A51" s="20"/>
      <x:c r="B51" s="14" t="s">
        <x:v>53</x:v>
      </x:c>
      <x:c r="C51" s="14" t="s">
        <x:v>2</x:v>
      </x:c>
      <x:c r="D51" s="14" t="s">
        <x:v>0</x:v>
      </x:c>
      <x:c r="E51" s="14" t="s">
        <x:v>10</x:v>
      </x:c>
      <x:c r="F51" s="14" t="s">
        <x:v>9</x:v>
      </x:c>
      <x:c r="G51" s="14" t="s">
        <x:v>6</x:v>
      </x:c>
      <x:c r="H51" s="16" t="s">
        <x:v>57</x:v>
      </x:c>
      <x:c r="I51" s="14" t="s">
        <x:v>2</x:v>
      </x:c>
      <x:c r="J51" s="14" t="s">
        <x:v>0</x:v>
      </x:c>
      <x:c r="K51" s="14" t="s">
        <x:v>10</x:v>
      </x:c>
      <x:c r="L51" s="15" t="s">
        <x:v>9</x:v>
      </x:c>
      <x:c r="M51" s="22" t="s">
        <x:v>13</x:v>
      </x:c>
    </x:row>
    <x:row r="52" spans="1:13" ht="24.949999999999999" customHeight="1">
      <x:c r="A52" s="12">
        <x:v>1</x:v>
      </x:c>
      <x:c r="B52" s="13" t="str">
        <x:f t="array" ref="B52:B52">INDEX($B$4:$M$23,MATCH($A52,$U$4:$U$23,0),COLUMN(A$1))</x:f>
        <x:v>강 완 규</x:v>
      </x:c>
      <x:c r="C52" s="62">
        <x:f t="array" ref="C52:C52">INDEX($B$4:$M$23,MATCH($A52,$U$4:$U$23,0),COLUMN(B$1))</x:f>
        <x:v>225</x:v>
      </x:c>
      <x:c r="D52" s="62">
        <x:f t="array" ref="D52:D52">INDEX($B$4:$M$23,MATCH($A52,$U$4:$U$23,0),COLUMN(C$1))</x:f>
        <x:v>233</x:v>
      </x:c>
      <x:c r="E52" s="62">
        <x:f t="array" ref="E52:E52">INDEX($B$4:$M$23,MATCH($A52,$U$4:$U$23,0),COLUMN(D$1))</x:f>
        <x:v>176</x:v>
      </x:c>
      <x:c r="F52" s="44">
        <x:f>SUM(C52:E52)</x:f>
        <x:v>634</x:v>
      </x:c>
      <x:c r="G52" s="45">
        <x:f>F52/3</x:f>
        <x:v>211.33333333333334</x:v>
      </x:c>
      <x:c r="H52" s="34">
        <x:f t="array" ref="H52:H52">IF(B52="","",IFERROR(INDEX('회원명단 및 기준에버'!D:G,MATCH(B52,'회원명단 및 기준에버'!$C:$C,0),CHOOSE(INT((MONTH($L$2)-1)/3)+1,1,2,3,4)),""))</x:f>
        <x:v>194</x:v>
      </x:c>
      <x:c r="I52" s="38">
        <x:f>IFERROR(C52+-H52,0)</x:f>
        <x:v>31</x:v>
      </x:c>
      <x:c r="J52" s="38">
        <x:f>IFERROR(D52+-H52,0)</x:f>
        <x:v>39</x:v>
      </x:c>
      <x:c r="K52" s="38">
        <x:f>IFERROR(E52+-H52,0)</x:f>
        <x:v>-18</x:v>
      </x:c>
      <x:c r="L52" s="63">
        <x:f>SUM(I52:K52)</x:f>
        <x:v>52</x:v>
      </x:c>
      <x:c r="M52" s="39">
        <x:f>IFERROR(G52+-H52,0)</x:f>
        <x:v>17.333333333333343</x:v>
      </x:c>
    </x:row>
    <x:row r="53" spans="1:13" ht="24.949999999999999" customHeight="1">
      <x:c r="A53" s="12">
        <x:v>2</x:v>
      </x:c>
      <x:c r="B53" s="13" t="str">
        <x:f t="array" ref="B53:B53">INDEX($B$4:$M$23,MATCH($A53,$U$4:$U$23,0),COLUMN(A$1))</x:f>
        <x:v>천 성 일</x:v>
      </x:c>
      <x:c r="C53" s="62">
        <x:f t="array" ref="C53:C53">INDEX($B$4:$M$23,MATCH($A53,$U$4:$U$23,0),COLUMN(B$1))</x:f>
        <x:v>213</x:v>
      </x:c>
      <x:c r="D53" s="62">
        <x:f t="array" ref="D53:D53">INDEX($B$4:$M$23,MATCH($A53,$U$4:$U$23,0),COLUMN(C$1))</x:f>
        <x:v>214</x:v>
      </x:c>
      <x:c r="E53" s="62">
        <x:f t="array" ref="E53:E53">INDEX($B$4:$M$23,MATCH($A53,$U$4:$U$23,0),COLUMN(D$1))</x:f>
        <x:v>179</x:v>
      </x:c>
      <x:c r="F53" s="44">
        <x:f>SUM(C53:E53)</x:f>
        <x:v>606</x:v>
      </x:c>
      <x:c r="G53" s="45">
        <x:f>F53/3</x:f>
        <x:v>202</x:v>
      </x:c>
      <x:c r="H53" s="34">
        <x:f t="array" ref="H53:H53">IF(B53="","",IFERROR(INDEX('회원명단 및 기준에버'!D:G,MATCH(B53,'회원명단 및 기준에버'!$C:$C,0),CHOOSE(INT((MONTH($L$2)-1)/3)+1,1,2,3,4)),""))</x:f>
        <x:v>191</x:v>
      </x:c>
      <x:c r="I53" s="38">
        <x:f>IFERROR(C53+-H53,0)</x:f>
        <x:v>22</x:v>
      </x:c>
      <x:c r="J53" s="38">
        <x:f>IFERROR(D53+-H53,0)</x:f>
        <x:v>23</x:v>
      </x:c>
      <x:c r="K53" s="38">
        <x:f>IFERROR(E53+-H53,0)</x:f>
        <x:v>-12</x:v>
      </x:c>
      <x:c r="L53" s="63">
        <x:f>SUM(I53:K53)</x:f>
        <x:v>33</x:v>
      </x:c>
      <x:c r="M53" s="39">
        <x:f>IFERROR(G53+-H53,0)</x:f>
        <x:v>11</x:v>
      </x:c>
    </x:row>
    <x:row r="54" spans="1:13" ht="24.949999999999999" customHeight="1">
      <x:c r="A54" s="12">
        <x:v>3</x:v>
      </x:c>
      <x:c r="B54" s="13" t="str">
        <x:f t="array" ref="B54:B54">INDEX($B$4:$M$23,MATCH($A54,$U$4:$U$23,0),COLUMN(A$1))</x:f>
        <x:v>이 정 석</x:v>
      </x:c>
      <x:c r="C54" s="62">
        <x:f t="array" ref="C54:C54">INDEX($B$4:$M$23,MATCH($A54,$U$4:$U$23,0),COLUMN(B$1))</x:f>
        <x:v>219</x:v>
      </x:c>
      <x:c r="D54" s="62">
        <x:f t="array" ref="D54:D54">INDEX($B$4:$M$23,MATCH($A54,$U$4:$U$23,0),COLUMN(C$1))</x:f>
        <x:v>196</x:v>
      </x:c>
      <x:c r="E54" s="62">
        <x:f t="array" ref="E54:E54">INDEX($B$4:$M$23,MATCH($A54,$U$4:$U$23,0),COLUMN(D$1))</x:f>
        <x:v>201</x:v>
      </x:c>
      <x:c r="F54" s="44">
        <x:f>SUM(C54:E54)</x:f>
        <x:v>616</x:v>
      </x:c>
      <x:c r="G54" s="45">
        <x:f>F54/3</x:f>
        <x:v>205.33333333333334</x:v>
      </x:c>
      <x:c r="H54" s="34">
        <x:f t="array" ref="H54:H54">IF(B54="","",IFERROR(INDEX('회원명단 및 기준에버'!D:G,MATCH(B54,'회원명단 및 기준에버'!$C:$C,0),CHOOSE(INT((MONTH($L$2)-1)/3)+1,1,2,3,4)),""))</x:f>
        <x:v>196</x:v>
      </x:c>
      <x:c r="I54" s="38">
        <x:f t="shared" ref="I54:I71" si="10">IFERROR(C54+-H54,0)</x:f>
        <x:v>23</x:v>
      </x:c>
      <x:c r="J54" s="38">
        <x:f t="shared" ref="J54:J71" si="11">IFERROR(D54+-H54,0)</x:f>
        <x:v>0</x:v>
      </x:c>
      <x:c r="K54" s="38">
        <x:f t="shared" ref="K54:K71" si="12">IFERROR(E54+-H54,0)</x:f>
        <x:v>5</x:v>
      </x:c>
      <x:c r="L54" s="63">
        <x:f t="shared" ref="L54:L71" si="13">SUM(I54:K54)</x:f>
        <x:v>28</x:v>
      </x:c>
      <x:c r="M54" s="39">
        <x:f t="shared" ref="M54:M71" si="14">IFERROR(G54+-H54,0)</x:f>
        <x:v>9.3333333333333428</x:v>
      </x:c>
    </x:row>
    <x:row r="55" spans="1:13" ht="24.949999999999999" customHeight="1">
      <x:c r="A55" s="12">
        <x:v>4</x:v>
      </x:c>
      <x:c r="B55" s="13" t="str">
        <x:f t="array" ref="B55:B55">INDEX($B$4:$M$23,MATCH($A55,$U$4:$U$23,0),COLUMN(A$1))</x:f>
        <x:v>진 명 옥</x:v>
      </x:c>
      <x:c r="C55" s="62">
        <x:f t="array" ref="C55:C55">INDEX($B$4:$M$23,MATCH($A55,$U$4:$U$23,0),COLUMN(B$1))</x:f>
        <x:v>153</x:v>
      </x:c>
      <x:c r="D55" s="62">
        <x:f t="array" ref="D55:D55">INDEX($B$4:$M$23,MATCH($A55,$U$4:$U$23,0),COLUMN(C$1))</x:f>
        <x:v>182</x:v>
      </x:c>
      <x:c r="E55" s="62">
        <x:f t="array" ref="E55:E55">INDEX($B$4:$M$23,MATCH($A55,$U$4:$U$23,0),COLUMN(D$1))</x:f>
        <x:v>204</x:v>
      </x:c>
      <x:c r="F55" s="44">
        <x:f>SUM(C55:E55)</x:f>
        <x:v>539</x:v>
      </x:c>
      <x:c r="G55" s="45">
        <x:f>F55/3</x:f>
        <x:v>179.66666666666666</x:v>
      </x:c>
      <x:c r="H55" s="34">
        <x:f t="array" ref="H55:H55">IF(B55="","",IFERROR(INDEX('회원명단 및 기준에버'!D:G,MATCH(B55,'회원명단 및 기준에버'!$C:$C,0),CHOOSE(INT((MONTH($L$2)-1)/3)+1,1,2,3,4)),""))</x:f>
        <x:v>171</x:v>
      </x:c>
      <x:c r="I55" s="38">
        <x:f t="shared" si="10"/>
        <x:v>-18</x:v>
      </x:c>
      <x:c r="J55" s="38">
        <x:f t="shared" si="11"/>
        <x:v>11</x:v>
      </x:c>
      <x:c r="K55" s="38">
        <x:f t="shared" si="12"/>
        <x:v>33</x:v>
      </x:c>
      <x:c r="L55" s="63">
        <x:f t="shared" si="13"/>
        <x:v>26</x:v>
      </x:c>
      <x:c r="M55" s="39">
        <x:f t="shared" si="14"/>
        <x:v>8.6666666666666572</x:v>
      </x:c>
    </x:row>
    <x:row r="56" spans="1:13" ht="24.949999999999999" customHeight="1">
      <x:c r="A56" s="12">
        <x:v>5</x:v>
      </x:c>
      <x:c r="B56" s="13" t="str">
        <x:f t="array" ref="B56:B56">INDEX($B$4:$M$23,MATCH($A56,$U$4:$U$23,0),COLUMN(A$1))</x:f>
        <x:v>강 희 태</x:v>
      </x:c>
      <x:c r="C56" s="62">
        <x:f t="array" ref="C56:C56">INDEX($B$4:$M$23,MATCH($A56,$U$4:$U$23,0),COLUMN(B$1))</x:f>
        <x:v>182</x:v>
      </x:c>
      <x:c r="D56" s="62">
        <x:f t="array" ref="D56:D56">INDEX($B$4:$M$23,MATCH($A56,$U$4:$U$23,0),COLUMN(C$1))</x:f>
        <x:v>192</x:v>
      </x:c>
      <x:c r="E56" s="62">
        <x:f t="array" ref="E56:E56">INDEX($B$4:$M$23,MATCH($A56,$U$4:$U$23,0),COLUMN(D$1))</x:f>
        <x:v>247</x:v>
      </x:c>
      <x:c r="F56" s="44">
        <x:f t="shared" ref="F56:F71" si="15">SUM(C56:E56)</x:f>
        <x:v>621</x:v>
      </x:c>
      <x:c r="G56" s="45">
        <x:f t="shared" ref="G56:G71" si="16">F56/3</x:f>
        <x:v>207</x:v>
      </x:c>
      <x:c r="H56" s="34">
        <x:f t="array" ref="H56:H56">IF(B56="","",IFERROR(INDEX('회원명단 및 기준에버'!D:G,MATCH(B56,'회원명단 및 기준에버'!$C:$C,0),CHOOSE(INT((MONTH($L$2)-1)/3)+1,1,2,3,4)),""))</x:f>
        <x:v>200</x:v>
      </x:c>
      <x:c r="I56" s="38">
        <x:f t="shared" si="10"/>
        <x:v>-18</x:v>
      </x:c>
      <x:c r="J56" s="38">
        <x:f t="shared" si="11"/>
        <x:v>-8</x:v>
      </x:c>
      <x:c r="K56" s="38">
        <x:f t="shared" si="12"/>
        <x:v>47</x:v>
      </x:c>
      <x:c r="L56" s="63">
        <x:f t="shared" si="13"/>
        <x:v>21</x:v>
      </x:c>
      <x:c r="M56" s="39">
        <x:f t="shared" si="14"/>
        <x:v>7</x:v>
      </x:c>
    </x:row>
    <x:row r="57" spans="1:13" ht="24.949999999999999" customHeight="1">
      <x:c r="A57" s="12">
        <x:v>6</x:v>
      </x:c>
      <x:c r="B57" s="13" t="str">
        <x:f t="array" ref="B57:B57">INDEX($B$4:$M$23,MATCH($A57,$U$4:$U$23,0),COLUMN(A$1))</x:f>
        <x:v>임 연 진</x:v>
      </x:c>
      <x:c r="C57" s="62">
        <x:f t="array" ref="C57:C57">INDEX($B$4:$M$23,MATCH($A57,$U$4:$U$23,0),COLUMN(B$1))</x:f>
        <x:v>202</x:v>
      </x:c>
      <x:c r="D57" s="62">
        <x:f t="array" ref="D57:D57">INDEX($B$4:$M$23,MATCH($A57,$U$4:$U$23,0),COLUMN(C$1))</x:f>
        <x:v>217</x:v>
      </x:c>
      <x:c r="E57" s="62">
        <x:f t="array" ref="E57:E57">INDEX($B$4:$M$23,MATCH($A57,$U$4:$U$23,0),COLUMN(D$1))</x:f>
        <x:v>170</x:v>
      </x:c>
      <x:c r="F57" s="44">
        <x:f t="shared" si="15"/>
        <x:v>589</x:v>
      </x:c>
      <x:c r="G57" s="45">
        <x:f t="shared" si="16"/>
        <x:v>196.33333333333334</x:v>
      </x:c>
      <x:c r="H57" s="34">
        <x:f t="array" ref="H57:H57">IF(B57="","",IFERROR(INDEX('회원명단 및 기준에버'!D:G,MATCH(B57,'회원명단 및 기준에버'!$C:$C,0),CHOOSE(INT((MONTH($L$2)-1)/3)+1,1,2,3,4)),""))</x:f>
        <x:v>194</x:v>
      </x:c>
      <x:c r="I57" s="38">
        <x:f t="shared" si="10"/>
        <x:v>8</x:v>
      </x:c>
      <x:c r="J57" s="38">
        <x:f t="shared" si="11"/>
        <x:v>23</x:v>
      </x:c>
      <x:c r="K57" s="38">
        <x:f t="shared" si="12"/>
        <x:v>-24</x:v>
      </x:c>
      <x:c r="L57" s="63">
        <x:f t="shared" si="13"/>
        <x:v>7</x:v>
      </x:c>
      <x:c r="M57" s="39">
        <x:f t="shared" si="14"/>
        <x:v>2.3333333333333428</x:v>
      </x:c>
    </x:row>
    <x:row r="58" spans="1:13" ht="24.949999999999999" customHeight="1">
      <x:c r="A58" s="12">
        <x:v>7</x:v>
      </x:c>
      <x:c r="B58" s="13" t="str">
        <x:f t="array" ref="B58:B58">INDEX($B$4:$M$23,MATCH($A58,$U$4:$U$23,0),COLUMN(A$1))</x:f>
        <x:v>정 영 우</x:v>
      </x:c>
      <x:c r="C58" s="62">
        <x:f t="array" ref="C58:C58">INDEX($B$4:$M$23,MATCH($A58,$U$4:$U$23,0),COLUMN(B$1))</x:f>
        <x:v>214</x:v>
      </x:c>
      <x:c r="D58" s="62">
        <x:f t="array" ref="D58:D58">INDEX($B$4:$M$23,MATCH($A58,$U$4:$U$23,0),COLUMN(C$1))</x:f>
        <x:v>156</x:v>
      </x:c>
      <x:c r="E58" s="62">
        <x:f t="array" ref="E58:E58">INDEX($B$4:$M$23,MATCH($A58,$U$4:$U$23,0),COLUMN(D$1))</x:f>
        <x:v>188</x:v>
      </x:c>
      <x:c r="F58" s="44">
        <x:f t="shared" si="15"/>
        <x:v>558</x:v>
      </x:c>
      <x:c r="G58" s="45">
        <x:f t="shared" si="16"/>
        <x:v>186</x:v>
      </x:c>
      <x:c r="H58" s="34">
        <x:f t="array" ref="H58:H58">IF(B58="","",IFERROR(INDEX('회원명단 및 기준에버'!D:G,MATCH(B58,'회원명단 및 기준에버'!$C:$C,0),CHOOSE(INT((MONTH($L$2)-1)/3)+1,1,2,3,4)),""))</x:f>
        <x:v>184</x:v>
      </x:c>
      <x:c r="I58" s="38">
        <x:f t="shared" si="10"/>
        <x:v>30</x:v>
      </x:c>
      <x:c r="J58" s="38">
        <x:f t="shared" si="11"/>
        <x:v>-28</x:v>
      </x:c>
      <x:c r="K58" s="38">
        <x:f t="shared" si="12"/>
        <x:v>4</x:v>
      </x:c>
      <x:c r="L58" s="63">
        <x:f t="shared" si="13"/>
        <x:v>6</x:v>
      </x:c>
      <x:c r="M58" s="39">
        <x:f t="shared" si="14"/>
        <x:v>2</x:v>
      </x:c>
    </x:row>
    <x:row r="59" spans="1:13" ht="24.949999999999999" customHeight="1">
      <x:c r="A59" s="12">
        <x:v>8</x:v>
      </x:c>
      <x:c r="B59" s="13" t="str">
        <x:f t="array" ref="B59:B59">INDEX($B$4:$M$23,MATCH($A59,$U$4:$U$23,0),COLUMN(A$1))</x:f>
        <x:v>이 우 석</x:v>
      </x:c>
      <x:c r="C59" s="62">
        <x:f t="array" ref="C59:C59">INDEX($B$4:$M$23,MATCH($A59,$U$4:$U$23,0),COLUMN(B$1))</x:f>
        <x:v>231</x:v>
      </x:c>
      <x:c r="D59" s="62">
        <x:f t="array" ref="D59:D59">INDEX($B$4:$M$23,MATCH($A59,$U$4:$U$23,0),COLUMN(C$1))</x:f>
        <x:v>170</x:v>
      </x:c>
      <x:c r="E59" s="62">
        <x:f t="array" ref="E59:E59">INDEX($B$4:$M$23,MATCH($A59,$U$4:$U$23,0),COLUMN(D$1))</x:f>
        <x:v>204</x:v>
      </x:c>
      <x:c r="F59" s="44">
        <x:f t="shared" si="15"/>
        <x:v>605</x:v>
      </x:c>
      <x:c r="G59" s="45">
        <x:f t="shared" si="16"/>
        <x:v>201.66666666666666</x:v>
      </x:c>
      <x:c r="H59" s="34">
        <x:f t="array" ref="H59:H59">IF(B59="","",IFERROR(INDEX('회원명단 및 기준에버'!D:G,MATCH(B59,'회원명단 및 기준에버'!$C:$C,0),CHOOSE(INT((MONTH($L$2)-1)/3)+1,1,2,3,4)),""))</x:f>
        <x:v>200</x:v>
      </x:c>
      <x:c r="I59" s="38">
        <x:f t="shared" si="10"/>
        <x:v>31</x:v>
      </x:c>
      <x:c r="J59" s="38">
        <x:f t="shared" si="11"/>
        <x:v>-30</x:v>
      </x:c>
      <x:c r="K59" s="38">
        <x:f t="shared" si="12"/>
        <x:v>4</x:v>
      </x:c>
      <x:c r="L59" s="63">
        <x:f t="shared" si="13"/>
        <x:v>5</x:v>
      </x:c>
      <x:c r="M59" s="39">
        <x:f t="shared" si="14"/>
        <x:v>1.6666666666666572</x:v>
      </x:c>
    </x:row>
    <x:row r="60" spans="1:13" ht="24.949999999999999" customHeight="1">
      <x:c r="A60" s="12">
        <x:v>9</x:v>
      </x:c>
      <x:c r="B60" s="13" t="str">
        <x:f t="array" ref="B60:B60">INDEX($B$4:$M$23,MATCH($A60,$U$4:$U$23,0),COLUMN(A$1))</x:f>
        <x:v>나 경 주</x:v>
      </x:c>
      <x:c r="C60" s="62">
        <x:f t="array" ref="C60:C60">INDEX($B$4:$M$23,MATCH($A60,$U$4:$U$23,0),COLUMN(B$1))</x:f>
        <x:v>204</x:v>
      </x:c>
      <x:c r="D60" s="62">
        <x:f t="array" ref="D60:D60">INDEX($B$4:$M$23,MATCH($A60,$U$4:$U$23,0),COLUMN(C$1))</x:f>
        <x:v>177</x:v>
      </x:c>
      <x:c r="E60" s="62">
        <x:f t="array" ref="E60:E60">INDEX($B$4:$M$23,MATCH($A60,$U$4:$U$23,0),COLUMN(D$1))</x:f>
        <x:v>199</x:v>
      </x:c>
      <x:c r="F60" s="44">
        <x:f t="shared" si="15"/>
        <x:v>580</x:v>
      </x:c>
      <x:c r="G60" s="45">
        <x:f t="shared" si="16"/>
        <x:v>193.33333333333334</x:v>
      </x:c>
      <x:c r="H60" s="34">
        <x:f t="array" ref="H60:H60">IF(B60="","",IFERROR(INDEX('회원명단 및 기준에버'!D:G,MATCH(B60,'회원명단 및 기준에버'!$C:$C,0),CHOOSE(INT((MONTH($L$2)-1)/3)+1,1,2,3,4)),""))</x:f>
        <x:v>192</x:v>
      </x:c>
      <x:c r="I60" s="38">
        <x:f t="shared" si="10"/>
        <x:v>12</x:v>
      </x:c>
      <x:c r="J60" s="38">
        <x:f t="shared" si="11"/>
        <x:v>-15</x:v>
      </x:c>
      <x:c r="K60" s="38">
        <x:f t="shared" si="12"/>
        <x:v>7</x:v>
      </x:c>
      <x:c r="L60" s="63">
        <x:f t="shared" si="13"/>
        <x:v>4</x:v>
      </x:c>
      <x:c r="M60" s="39">
        <x:f t="shared" si="14"/>
        <x:v>1.3333333333333428</x:v>
      </x:c>
    </x:row>
    <x:row r="61" spans="1:13" ht="24.949999999999999" customHeight="1">
      <x:c r="A61" s="12">
        <x:v>10</x:v>
      </x:c>
      <x:c r="B61" s="13" t="str">
        <x:f t="array" ref="B61:B61">INDEX($B$4:$M$23,MATCH($A61,$U$4:$U$23,0),COLUMN(A$1))</x:f>
        <x:v>김 선 미</x:v>
      </x:c>
      <x:c r="C61" s="62">
        <x:f t="array" ref="C61:C61">INDEX($B$4:$M$23,MATCH($A61,$U$4:$U$23,0),COLUMN(B$1))</x:f>
        <x:v>182</x:v>
      </x:c>
      <x:c r="D61" s="62">
        <x:f t="array" ref="D61:D61">INDEX($B$4:$M$23,MATCH($A61,$U$4:$U$23,0),COLUMN(C$1))</x:f>
        <x:v>184</x:v>
      </x:c>
      <x:c r="E61" s="62">
        <x:f t="array" ref="E61:E61">INDEX($B$4:$M$23,MATCH($A61,$U$4:$U$23,0),COLUMN(D$1))</x:f>
        <x:v>118</x:v>
      </x:c>
      <x:c r="F61" s="44">
        <x:f t="shared" si="15"/>
        <x:v>484</x:v>
      </x:c>
      <x:c r="G61" s="45">
        <x:f t="shared" si="16"/>
        <x:v>161.33333333333334</x:v>
      </x:c>
      <x:c r="H61" s="34">
        <x:f t="array" ref="H61:H61">IF(B61="","",IFERROR(INDEX('회원명단 및 기준에버'!D:G,MATCH(B61,'회원명단 및 기준에버'!$C:$C,0),CHOOSE(INT((MONTH($L$2)-1)/3)+1,1,2,3,4)),""))</x:f>
        <x:v>161</x:v>
      </x:c>
      <x:c r="I61" s="38">
        <x:f t="shared" si="10"/>
        <x:v>21</x:v>
      </x:c>
      <x:c r="J61" s="38">
        <x:f t="shared" si="11"/>
        <x:v>23</x:v>
      </x:c>
      <x:c r="K61" s="38">
        <x:f t="shared" si="12"/>
        <x:v>-43</x:v>
      </x:c>
      <x:c r="L61" s="63">
        <x:f t="shared" si="13"/>
        <x:v>1</x:v>
      </x:c>
      <x:c r="M61" s="39">
        <x:f t="shared" si="14"/>
        <x:v>0.33333333333334281</x:v>
      </x:c>
    </x:row>
    <x:row r="62" spans="1:13" ht="24.949999999999999" customHeight="1">
      <x:c r="A62" s="12">
        <x:v>11</x:v>
      </x:c>
      <x:c r="B62" s="13" t="str">
        <x:f t="array" ref="B62:B62">INDEX($B$4:$M$23,MATCH($A62,$U$4:$U$23,0),COLUMN(A$1))</x:f>
        <x:v>최  진</x:v>
      </x:c>
      <x:c r="C62" s="62">
        <x:f t="array" ref="C62:C62">INDEX($B$4:$M$23,MATCH($A62,$U$4:$U$23,0),COLUMN(B$1))</x:f>
        <x:v>200</x:v>
      </x:c>
      <x:c r="D62" s="62">
        <x:f t="array" ref="D62:D62">INDEX($B$4:$M$23,MATCH($A62,$U$4:$U$23,0),COLUMN(C$1))</x:f>
        <x:v>171</x:v>
      </x:c>
      <x:c r="E62" s="62">
        <x:f t="array" ref="E62:E62">INDEX($B$4:$M$23,MATCH($A62,$U$4:$U$23,0),COLUMN(D$1))</x:f>
        <x:v>214</x:v>
      </x:c>
      <x:c r="F62" s="44">
        <x:f t="shared" si="15"/>
        <x:v>585</x:v>
      </x:c>
      <x:c r="G62" s="45">
        <x:f t="shared" si="16"/>
        <x:v>195</x:v>
      </x:c>
      <x:c r="H62" s="34" t="str">
        <x:f t="array" ref="H62:H62">IF(B62="","",IFERROR(INDEX('회원명단 및 기준에버'!D:G,MATCH(B62,'회원명단 및 기준에버'!$C:$C,0),CHOOSE(INT((MONTH($L$2)-1)/3)+1,1,2,3,4)),""))</x:f>
        <x:v/>
      </x:c>
      <x:c r="I62" s="38">
        <x:f t="shared" si="10"/>
        <x:v>0</x:v>
      </x:c>
      <x:c r="J62" s="38">
        <x:f t="shared" si="11"/>
        <x:v>0</x:v>
      </x:c>
      <x:c r="K62" s="38">
        <x:f t="shared" si="12"/>
        <x:v>0</x:v>
      </x:c>
      <x:c r="L62" s="63">
        <x:f t="shared" si="13"/>
        <x:v>0</x:v>
      </x:c>
      <x:c r="M62" s="39">
        <x:f t="shared" si="14"/>
        <x:v>0</x:v>
      </x:c>
    </x:row>
    <x:row r="63" spans="1:13" ht="24.949999999999999" customHeight="1">
      <x:c r="A63" s="12">
        <x:v>12</x:v>
      </x:c>
      <x:c r="B63" s="13" t="str">
        <x:f t="array" ref="B63:B63">INDEX($B$4:$M$23,MATCH($A63,$U$4:$U$23,0),COLUMN(A$1))</x:f>
        <x:v>장 영 민</x:v>
      </x:c>
      <x:c r="C63" s="62">
        <x:f t="array" ref="C63:C63">INDEX($B$4:$M$23,MATCH($A63,$U$4:$U$23,0),COLUMN(B$1))</x:f>
        <x:v>193</x:v>
      </x:c>
      <x:c r="D63" s="62">
        <x:f t="array" ref="D63:D63">INDEX($B$4:$M$23,MATCH($A63,$U$4:$U$23,0),COLUMN(C$1))</x:f>
        <x:v>215</x:v>
      </x:c>
      <x:c r="E63" s="62">
        <x:f t="array" ref="E63:E63">INDEX($B$4:$M$23,MATCH($A63,$U$4:$U$23,0),COLUMN(D$1))</x:f>
        <x:v>192</x:v>
      </x:c>
      <x:c r="F63" s="44">
        <x:f t="shared" si="15"/>
        <x:v>600</x:v>
      </x:c>
      <x:c r="G63" s="45">
        <x:f t="shared" si="16"/>
        <x:v>200</x:v>
      </x:c>
      <x:c r="H63" s="34">
        <x:f t="array" ref="H63:H63">IF(B63="","",IFERROR(INDEX('회원명단 및 기준에버'!D:G,MATCH(B63,'회원명단 및 기준에버'!$C:$C,0),CHOOSE(INT((MONTH($L$2)-1)/3)+1,1,2,3,4)),""))</x:f>
        <x:v>200</x:v>
      </x:c>
      <x:c r="I63" s="38">
        <x:f t="shared" si="10"/>
        <x:v>-7</x:v>
      </x:c>
      <x:c r="J63" s="38">
        <x:f t="shared" si="11"/>
        <x:v>15</x:v>
      </x:c>
      <x:c r="K63" s="38">
        <x:f t="shared" si="12"/>
        <x:v>-8</x:v>
      </x:c>
      <x:c r="L63" s="63">
        <x:f t="shared" si="13"/>
        <x:v>0</x:v>
      </x:c>
      <x:c r="M63" s="39">
        <x:f t="shared" si="14"/>
        <x:v>0</x:v>
      </x:c>
    </x:row>
    <x:row r="64" spans="1:13" ht="24.949999999999999" customHeight="1">
      <x:c r="A64" s="12">
        <x:v>13</x:v>
      </x:c>
      <x:c r="B64" s="13" t="str">
        <x:f t="array" ref="B64:B64">INDEX($B$4:$M$23,MATCH($A64,$U$4:$U$23,0),COLUMN(A$1))</x:f>
        <x:v>이 승 미</x:v>
      </x:c>
      <x:c r="C64" s="62">
        <x:f t="array" ref="C64:C64">INDEX($B$4:$M$23,MATCH($A64,$U$4:$U$23,0),COLUMN(B$1))</x:f>
        <x:v>133</x:v>
      </x:c>
      <x:c r="D64" s="62">
        <x:f t="array" ref="D64:D64">INDEX($B$4:$M$23,MATCH($A64,$U$4:$U$23,0),COLUMN(C$1))</x:f>
        <x:v>162</x:v>
      </x:c>
      <x:c r="E64" s="62">
        <x:f t="array" ref="E64:E64">INDEX($B$4:$M$23,MATCH($A64,$U$4:$U$23,0),COLUMN(D$1))</x:f>
        <x:v>192</x:v>
      </x:c>
      <x:c r="F64" s="44">
        <x:f t="shared" si="15"/>
        <x:v>487</x:v>
      </x:c>
      <x:c r="G64" s="45">
        <x:f t="shared" si="16"/>
        <x:v>162.33333333333334</x:v>
      </x:c>
      <x:c r="H64" s="34">
        <x:f t="array" ref="H64:H64">IF(B64="","",IFERROR(INDEX('회원명단 및 기준에버'!D:G,MATCH(B64,'회원명단 및 기준에버'!$C:$C,0),CHOOSE(INT((MONTH($L$2)-1)/3)+1,1,2,3,4)),""))</x:f>
        <x:v>165</x:v>
      </x:c>
      <x:c r="I64" s="38">
        <x:f t="shared" si="10"/>
        <x:v>-32</x:v>
      </x:c>
      <x:c r="J64" s="38">
        <x:f t="shared" si="11"/>
        <x:v>-3</x:v>
      </x:c>
      <x:c r="K64" s="38">
        <x:f t="shared" si="12"/>
        <x:v>27</x:v>
      </x:c>
      <x:c r="L64" s="63">
        <x:f t="shared" si="13"/>
        <x:v>-8</x:v>
      </x:c>
      <x:c r="M64" s="39">
        <x:f t="shared" si="14"/>
        <x:v>-2.6666666666666572</x:v>
      </x:c>
    </x:row>
    <x:row r="65" spans="1:13" ht="24.949999999999999" customHeight="1">
      <x:c r="A65" s="12">
        <x:v>14</x:v>
      </x:c>
      <x:c r="B65" s="13" t="str">
        <x:f t="array" ref="B65:B65">INDEX($B$4:$M$23,MATCH($A65,$U$4:$U$23,0),COLUMN(A$1))</x:f>
        <x:v>이 대 용</x:v>
      </x:c>
      <x:c r="C65" s="62">
        <x:f t="array" ref="C65:C65">INDEX($B$4:$M$23,MATCH($A65,$U$4:$U$23,0),COLUMN(B$1))</x:f>
        <x:v>233</x:v>
      </x:c>
      <x:c r="D65" s="62">
        <x:f t="array" ref="D65:D65">INDEX($B$4:$M$23,MATCH($A65,$U$4:$U$23,0),COLUMN(C$1))</x:f>
        <x:v>207</x:v>
      </x:c>
      <x:c r="E65" s="62">
        <x:f t="array" ref="E65:E65">INDEX($B$4:$M$23,MATCH($A65,$U$4:$U$23,0),COLUMN(D$1))</x:f>
        <x:v>149</x:v>
      </x:c>
      <x:c r="F65" s="44">
        <x:f t="shared" si="15"/>
        <x:v>589</x:v>
      </x:c>
      <x:c r="G65" s="45">
        <x:f t="shared" si="16"/>
        <x:v>196.33333333333334</x:v>
      </x:c>
      <x:c r="H65" s="34">
        <x:f t="array" ref="H65:H65">IF(B65="","",IFERROR(INDEX('회원명단 및 기준에버'!D:G,MATCH(B65,'회원명단 및 기준에버'!$C:$C,0),CHOOSE(INT((MONTH($L$2)-1)/3)+1,1,2,3,4)),""))</x:f>
        <x:v>200</x:v>
      </x:c>
      <x:c r="I65" s="38">
        <x:f t="shared" si="10"/>
        <x:v>33</x:v>
      </x:c>
      <x:c r="J65" s="38">
        <x:f t="shared" si="11"/>
        <x:v>7</x:v>
      </x:c>
      <x:c r="K65" s="38">
        <x:f t="shared" si="12"/>
        <x:v>-51</x:v>
      </x:c>
      <x:c r="L65" s="63">
        <x:f t="shared" si="13"/>
        <x:v>-11</x:v>
      </x:c>
      <x:c r="M65" s="39">
        <x:f t="shared" si="14"/>
        <x:v>-3.6666666666666572</x:v>
      </x:c>
    </x:row>
    <x:row r="66" spans="1:13" ht="24.949999999999999" customHeight="1">
      <x:c r="A66" s="12">
        <x:v>15</x:v>
      </x:c>
      <x:c r="B66" s="13" t="str">
        <x:f t="array" ref="B66:B66">INDEX($B$4:$M$23,MATCH($A66,$U$4:$U$23,0),COLUMN(A$1))</x:f>
        <x:v>엄 정 도</x:v>
      </x:c>
      <x:c r="C66" s="62">
        <x:f t="array" ref="C66:C66">INDEX($B$4:$M$23,MATCH($A66,$U$4:$U$23,0),COLUMN(B$1))</x:f>
        <x:v>209</x:v>
      </x:c>
      <x:c r="D66" s="62">
        <x:f t="array" ref="D66:D66">INDEX($B$4:$M$23,MATCH($A66,$U$4:$U$23,0),COLUMN(C$1))</x:f>
        <x:v>135</x:v>
      </x:c>
      <x:c r="E66" s="62">
        <x:f t="array" ref="E66:E66">INDEX($B$4:$M$23,MATCH($A66,$U$4:$U$23,0),COLUMN(D$1))</x:f>
        <x:v>193</x:v>
      </x:c>
      <x:c r="F66" s="44">
        <x:f t="shared" si="15"/>
        <x:v>537</x:v>
      </x:c>
      <x:c r="G66" s="45">
        <x:f t="shared" si="16"/>
        <x:v>179</x:v>
      </x:c>
      <x:c r="H66" s="34">
        <x:f t="array" ref="H66:H66">IF(B66="","",IFERROR(INDEX('회원명단 및 기준에버'!D:G,MATCH(B66,'회원명단 및 기준에버'!$C:$C,0),CHOOSE(INT((MONTH($L$2)-1)/3)+1,1,2,3,4)),""))</x:f>
        <x:v>184</x:v>
      </x:c>
      <x:c r="I66" s="38">
        <x:f t="shared" si="10"/>
        <x:v>25</x:v>
      </x:c>
      <x:c r="J66" s="38">
        <x:f t="shared" si="11"/>
        <x:v>-49</x:v>
      </x:c>
      <x:c r="K66" s="38">
        <x:f t="shared" si="12"/>
        <x:v>9</x:v>
      </x:c>
      <x:c r="L66" s="63">
        <x:f t="shared" si="13"/>
        <x:v>-15</x:v>
      </x:c>
      <x:c r="M66" s="39">
        <x:f t="shared" si="14"/>
        <x:v>-5</x:v>
      </x:c>
    </x:row>
    <x:row r="67" spans="1:13" ht="24.949999999999999" customHeight="1">
      <x:c r="A67" s="12">
        <x:v>16</x:v>
      </x:c>
      <x:c r="B67" s="13" t="str">
        <x:f t="array" ref="B67:B67">INDEX($B$4:$M$23,MATCH($A67,$U$4:$U$23,0),COLUMN(A$1))</x:f>
        <x:v>변 상 필</x:v>
      </x:c>
      <x:c r="C67" s="62">
        <x:f t="array" ref="C67:C67">INDEX($B$4:$M$23,MATCH($A67,$U$4:$U$23,0),COLUMN(B$1))</x:f>
        <x:v>202</x:v>
      </x:c>
      <x:c r="D67" s="62">
        <x:f t="array" ref="D67:D67">INDEX($B$4:$M$23,MATCH($A67,$U$4:$U$23,0),COLUMN(C$1))</x:f>
        <x:v>191</x:v>
      </x:c>
      <x:c r="E67" s="62">
        <x:f t="array" ref="E67:E67">INDEX($B$4:$M$23,MATCH($A67,$U$4:$U$23,0),COLUMN(D$1))</x:f>
        <x:v>178</x:v>
      </x:c>
      <x:c r="F67" s="44">
        <x:f t="shared" si="15"/>
        <x:v>571</x:v>
      </x:c>
      <x:c r="G67" s="45">
        <x:f t="shared" si="16"/>
        <x:v>190.33333333333334</x:v>
      </x:c>
      <x:c r="H67" s="34">
        <x:f t="array" ref="H67:H67">IF(B67="","",IFERROR(INDEX('회원명단 및 기준에버'!D:G,MATCH(B67,'회원명단 및 기준에버'!$C:$C,0),CHOOSE(INT((MONTH($L$2)-1)/3)+1,1,2,3,4)),""))</x:f>
        <x:v>200</x:v>
      </x:c>
      <x:c r="I67" s="38">
        <x:f t="shared" si="10"/>
        <x:v>2</x:v>
      </x:c>
      <x:c r="J67" s="38">
        <x:f t="shared" si="11"/>
        <x:v>-9</x:v>
      </x:c>
      <x:c r="K67" s="38">
        <x:f t="shared" si="12"/>
        <x:v>-22</x:v>
      </x:c>
      <x:c r="L67" s="63">
        <x:f t="shared" si="13"/>
        <x:v>-29</x:v>
      </x:c>
      <x:c r="M67" s="39">
        <x:f t="shared" si="14"/>
        <x:v>-9.6666666666666572</x:v>
      </x:c>
    </x:row>
    <x:row r="68" spans="1:13" ht="24.949999999999999" customHeight="1">
      <x:c r="A68" s="12">
        <x:v>17</x:v>
      </x:c>
      <x:c r="B68" s="13" t="str">
        <x:f t="array" ref="B68:B68">INDEX($B$4:$M$23,MATCH($A68,$U$4:$U$23,0),COLUMN(A$1))</x:f>
        <x:v>김 종 훈</x:v>
      </x:c>
      <x:c r="C68" s="62">
        <x:f t="array" ref="C68:C68">INDEX($B$4:$M$23,MATCH($A68,$U$4:$U$23,0),COLUMN(B$1))</x:f>
        <x:v>179</x:v>
      </x:c>
      <x:c r="D68" s="62">
        <x:f t="array" ref="D68:D68">INDEX($B$4:$M$23,MATCH($A68,$U$4:$U$23,0),COLUMN(C$1))</x:f>
        <x:v>177</x:v>
      </x:c>
      <x:c r="E68" s="62">
        <x:f t="array" ref="E68:E68">INDEX($B$4:$M$23,MATCH($A68,$U$4:$U$23,0),COLUMN(D$1))</x:f>
        <x:v>177</x:v>
      </x:c>
      <x:c r="F68" s="44">
        <x:f t="shared" si="15"/>
        <x:v>533</x:v>
      </x:c>
      <x:c r="G68" s="45">
        <x:f t="shared" si="16"/>
        <x:v>177.66666666666666</x:v>
      </x:c>
      <x:c r="H68" s="34">
        <x:f t="array" ref="H68:H68">IF(B68="","",IFERROR(INDEX('회원명단 및 기준에버'!D:G,MATCH(B68,'회원명단 및 기준에버'!$C:$C,0),CHOOSE(INT((MONTH($L$2)-1)/3)+1,1,2,3,4)),""))</x:f>
        <x:v>198</x:v>
      </x:c>
      <x:c r="I68" s="38">
        <x:f t="shared" si="10"/>
        <x:v>-19</x:v>
      </x:c>
      <x:c r="J68" s="38">
        <x:f t="shared" si="11"/>
        <x:v>-21</x:v>
      </x:c>
      <x:c r="K68" s="38">
        <x:f t="shared" si="12"/>
        <x:v>-21</x:v>
      </x:c>
      <x:c r="L68" s="63">
        <x:f t="shared" si="13"/>
        <x:v>-61</x:v>
      </x:c>
      <x:c r="M68" s="39">
        <x:f t="shared" si="14"/>
        <x:v>-20.333333333333343</x:v>
      </x:c>
    </x:row>
    <x:row r="69" spans="1:13" ht="24.949999999999999" customHeight="1">
      <x:c r="A69" s="12">
        <x:v>18</x:v>
      </x:c>
      <x:c r="B69" s="13" t="str">
        <x:f t="array" ref="B69:B69">INDEX($B$4:$M$23,MATCH($A69,$U$4:$U$23,0),COLUMN(A$1))</x:f>
        <x:v>김 미 란</x:v>
      </x:c>
      <x:c r="C69" s="62">
        <x:f t="array" ref="C69:C69">INDEX($B$4:$M$23,MATCH($A69,$U$4:$U$23,0),COLUMN(B$1))</x:f>
        <x:v>180</x:v>
      </x:c>
      <x:c r="D69" s="62">
        <x:f t="array" ref="D69:D69">INDEX($B$4:$M$23,MATCH($A69,$U$4:$U$23,0),COLUMN(C$1))</x:f>
        <x:v>168</x:v>
      </x:c>
      <x:c r="E69" s="62">
        <x:f t="array" ref="E69:E69">INDEX($B$4:$M$23,MATCH($A69,$U$4:$U$23,0),COLUMN(D$1))</x:f>
        <x:v>136</x:v>
      </x:c>
      <x:c r="F69" s="44">
        <x:f t="shared" si="15"/>
        <x:v>484</x:v>
      </x:c>
      <x:c r="G69" s="45">
        <x:f t="shared" si="16"/>
        <x:v>161.33333333333334</x:v>
      </x:c>
      <x:c r="H69" s="34">
        <x:f t="array" ref="H69:H69">IF(B69="","",IFERROR(INDEX('회원명단 및 기준에버'!D:G,MATCH(B69,'회원명단 및 기준에버'!$C:$C,0),CHOOSE(INT((MONTH($L$2)-1)/3)+1,1,2,3,4)),""))</x:f>
        <x:v>182</x:v>
      </x:c>
      <x:c r="I69" s="38">
        <x:f t="shared" si="10"/>
        <x:v>-2</x:v>
      </x:c>
      <x:c r="J69" s="38">
        <x:f t="shared" si="11"/>
        <x:v>-14</x:v>
      </x:c>
      <x:c r="K69" s="38">
        <x:f t="shared" si="12"/>
        <x:v>-46</x:v>
      </x:c>
      <x:c r="L69" s="63">
        <x:f t="shared" si="13"/>
        <x:v>-62</x:v>
      </x:c>
      <x:c r="M69" s="39">
        <x:f t="shared" si="14"/>
        <x:v>-20.666666666666657</x:v>
      </x:c>
    </x:row>
    <x:row r="70" spans="1:13" ht="24.949999999999999" customHeight="1">
      <x:c r="A70" s="12">
        <x:v>19</x:v>
      </x:c>
      <x:c r="B70" s="13" t="str">
        <x:f t="array" ref="B70:B70">INDEX($B$4:$M$23,MATCH($A70,$U$4:$U$23,0),COLUMN(A$1))</x:f>
        <x:v>황 인 교</x:v>
      </x:c>
      <x:c r="C70" s="62">
        <x:f t="array" ref="C70:C70">INDEX($B$4:$M$23,MATCH($A70,$U$4:$U$23,0),COLUMN(B$1))</x:f>
        <x:v>153</x:v>
      </x:c>
      <x:c r="D70" s="62">
        <x:f t="array" ref="D70:D70">INDEX($B$4:$M$23,MATCH($A70,$U$4:$U$23,0),COLUMN(C$1))</x:f>
        <x:v>180</x:v>
      </x:c>
      <x:c r="E70" s="62">
        <x:f t="array" ref="E70:E70">INDEX($B$4:$M$23,MATCH($A70,$U$4:$U$23,0),COLUMN(D$1))</x:f>
        <x:v>143</x:v>
      </x:c>
      <x:c r="F70" s="44">
        <x:f t="shared" si="15"/>
        <x:v>476</x:v>
      </x:c>
      <x:c r="G70" s="45">
        <x:f t="shared" si="16"/>
        <x:v>158.66666666666666</x:v>
      </x:c>
      <x:c r="H70" s="34">
        <x:f t="array" ref="H70:H70">IF(B70="","",IFERROR(INDEX('회원명단 및 기준에버'!D:G,MATCH(B70,'회원명단 및 기준에버'!$C:$C,0),CHOOSE(INT((MONTH($L$2)-1)/3)+1,1,2,3,4)),""))</x:f>
        <x:v>184</x:v>
      </x:c>
      <x:c r="I70" s="38">
        <x:f t="shared" si="10"/>
        <x:v>-31</x:v>
      </x:c>
      <x:c r="J70" s="38">
        <x:f t="shared" si="11"/>
        <x:v>-4</x:v>
      </x:c>
      <x:c r="K70" s="38">
        <x:f t="shared" si="12"/>
        <x:v>-41</x:v>
      </x:c>
      <x:c r="L70" s="63">
        <x:f t="shared" si="13"/>
        <x:v>-76</x:v>
      </x:c>
      <x:c r="M70" s="39">
        <x:f t="shared" si="14"/>
        <x:v>-25.333333333333343</x:v>
      </x:c>
    </x:row>
    <x:row r="71" spans="1:13" ht="24.949999999999999" customHeight="1">
      <x:c r="A71" s="12">
        <x:v>20</x:v>
      </x:c>
      <x:c r="B71" s="13" t="str">
        <x:f t="array" ref="B71:B71">INDEX($B$4:$M$23,MATCH($A71,$U$4:$U$23,0),COLUMN(A$1))</x:f>
        <x:v>지 옥 명</x:v>
      </x:c>
      <x:c r="C71" s="62">
        <x:f t="array" ref="C71:C71">INDEX($B$4:$M$23,MATCH($A71,$U$4:$U$23,0),COLUMN(B$1))</x:f>
        <x:v>127</x:v>
      </x:c>
      <x:c r="D71" s="62">
        <x:f t="array" ref="D71:D71">INDEX($B$4:$M$23,MATCH($A71,$U$4:$U$23,0),COLUMN(C$1))</x:f>
        <x:v>172</x:v>
      </x:c>
      <x:c r="E71" s="62">
        <x:f t="array" ref="E71:E71">INDEX($B$4:$M$23,MATCH($A71,$U$4:$U$23,0),COLUMN(D$1))</x:f>
        <x:v>171</x:v>
      </x:c>
      <x:c r="F71" s="44">
        <x:f t="shared" si="15"/>
        <x:v>470</x:v>
      </x:c>
      <x:c r="G71" s="45">
        <x:f t="shared" si="16"/>
        <x:v>156.66666666666666</x:v>
      </x:c>
      <x:c r="H71" s="34">
        <x:f t="array" ref="H71:H71">IF(B71="","",IFERROR(INDEX('회원명단 및 기준에버'!D:G,MATCH(B71,'회원명단 및 기준에버'!$C:$C,0),CHOOSE(INT((MONTH($L$2)-1)/3)+1,1,2,3,4)),""))</x:f>
        <x:v>183</x:v>
      </x:c>
      <x:c r="I71" s="38">
        <x:f t="shared" si="10"/>
        <x:v>-56</x:v>
      </x:c>
      <x:c r="J71" s="38">
        <x:f t="shared" si="11"/>
        <x:v>-11</x:v>
      </x:c>
      <x:c r="K71" s="38">
        <x:f t="shared" si="12"/>
        <x:v>-12</x:v>
      </x:c>
      <x:c r="L71" s="63">
        <x:f t="shared" si="13"/>
        <x:v>-79</x:v>
      </x:c>
      <x:c r="M71" s="39">
        <x:f t="shared" si="14"/>
        <x:v>-26.333333333333343</x:v>
      </x:c>
    </x:row>
    <x:row r="72" spans="2:13" ht="24.949999999999999" customHeight="1">
      <x:c r="B72" s="168" t="s">
        <x:v>63</x:v>
      </x:c>
      <x:c r="C72" s="169"/>
      <x:c r="D72" s="169"/>
      <x:c r="E72" s="169"/>
      <x:c r="F72" s="169"/>
      <x:c r="G72" s="169"/>
      <x:c r="H72" s="169"/>
      <x:c r="I72" s="169"/>
      <x:c r="J72" s="169"/>
      <x:c r="K72" s="169"/>
      <x:c r="L72" s="169"/>
      <x:c r="M72" s="170"/>
    </x:row>
    <x:row r="73" spans="2:13" ht="24.949999999999999" customHeight="1">
      <x:c r="B73" s="171" t="s">
        <x:v>68</x:v>
      </x:c>
      <x:c r="C73" s="172"/>
      <x:c r="D73" s="172"/>
      <x:c r="E73" s="173"/>
      <x:c r="F73" s="174" t="s">
        <x:v>28</x:v>
      </x:c>
      <x:c r="G73" s="176" t="s">
        <x:v>14</x:v>
      </x:c>
      <x:c r="H73" s="177"/>
      <x:c r="I73" s="178"/>
      <x:c r="J73" s="179" t="s">
        <x:v>55</x:v>
      </x:c>
      <x:c r="K73" s="180"/>
      <x:c r="L73" s="180"/>
      <x:c r="M73" s="181"/>
    </x:row>
    <x:row r="74" spans="2:13" ht="24.949999999999999" customHeight="1">
      <x:c r="B74" s="54" t="str">
        <x:f>IF(B26="","",B26)</x:f>
        <x:v/>
      </x:c>
      <x:c r="C74" s="24" t="str">
        <x:f>IF(C26="","",C26)</x:f>
        <x:v/>
      </x:c>
      <x:c r="D74" s="24" t="str">
        <x:f>IF(D26="","",D26)</x:f>
        <x:v/>
      </x:c>
      <x:c r="E74" s="25" t="str">
        <x:f>IF(E26="","",E26)</x:f>
        <x:v/>
      </x:c>
      <x:c r="F74" s="175"/>
      <x:c r="G74" s="182" t="s">
        <x:v>62</x:v>
      </x:c>
      <x:c r="H74" s="183"/>
      <x:c r="I74" s="184"/>
      <x:c r="J74" s="26" t="str">
        <x:f>IF(J26="","",J26)</x:f>
        <x:v/>
      </x:c>
      <x:c r="K74" s="27" t="str">
        <x:f>IF(K26="","",K26)</x:f>
        <x:v/>
      </x:c>
      <x:c r="L74" s="27" t="str">
        <x:f>IF(L26="","",L26)</x:f>
        <x:v/>
      </x:c>
      <x:c r="M74" s="28" t="str">
        <x:f>IF(M26="","",M26)</x:f>
        <x:v/>
      </x:c>
    </x:row>
    <x:row r="75" spans="2:13" ht="24.949999999999999" customHeight="1">
      <x:c r="B75" s="155" t="s">
        <x:v>29</x:v>
      </x:c>
      <x:c r="C75" s="156"/>
      <x:c r="D75" s="156"/>
      <x:c r="E75" s="156"/>
      <x:c r="F75" s="156"/>
      <x:c r="G75" s="156"/>
      <x:c r="H75" s="157"/>
      <x:c r="I75" s="158" t="s">
        <x:v>66</x:v>
      </x:c>
      <x:c r="J75" s="159"/>
      <x:c r="K75" s="160" t="s">
        <x:v>67</x:v>
      </x:c>
      <x:c r="L75" s="161"/>
      <x:c r="M75" s="162"/>
    </x:row>
    <x:row r="76" spans="2:13" ht="24.949999999999999" customHeight="1">
      <x:c r="B76" s="21" t="s">
        <x:v>20</x:v>
      </x:c>
      <x:c r="C76" s="64">
        <x:v>219</x:v>
      </x:c>
      <x:c r="D76" s="32" t="str">
        <x:f t="shared" ref="D76:G78" si="17">IF(D28="","",D28)</x:f>
        <x:v/>
      </x:c>
      <x:c r="E76" s="67" t="str">
        <x:f t="shared" si="17"/>
        <x:v/>
      </x:c>
      <x:c r="F76" s="30" t="str">
        <x:f t="shared" si="17"/>
        <x:v/>
      </x:c>
      <x:c r="G76" s="70" t="str">
        <x:f t="shared" si="17"/>
        <x:v/>
      </x:c>
      <x:c r="H76" s="157"/>
      <x:c r="I76" s="23" t="str">
        <x:f t="shared" ref="I76:J78" si="18">IF(I28="","",I28)</x:f>
        <x:v/>
      </x:c>
      <x:c r="J76" s="50" t="str">
        <x:f t="shared" si="18"/>
        <x:v/>
      </x:c>
      <x:c r="K76" s="57" t="s">
        <x:v>35</x:v>
      </x:c>
      <x:c r="L76" s="58" t="str">
        <x:f t="shared" ref="L76:M76" si="19">IF(L28="","",L28)</x:f>
        <x:v/>
      </x:c>
      <x:c r="M76" s="59" t="str">
        <x:f t="shared" si="19"/>
        <x:v/>
      </x:c>
    </x:row>
    <x:row r="77" spans="2:13" ht="24.949999999999999" customHeight="1">
      <x:c r="B77" s="46" t="s">
        <x:v>46</x:v>
      </x:c>
      <x:c r="C77" s="65">
        <x:v>247</x:v>
      </x:c>
      <x:c r="D77" s="47" t="str">
        <x:f t="shared" si="17"/>
        <x:v/>
      </x:c>
      <x:c r="E77" s="68" t="str">
        <x:f t="shared" si="17"/>
        <x:v/>
      </x:c>
      <x:c r="F77" s="48" t="str">
        <x:f t="shared" si="17"/>
        <x:v/>
      </x:c>
      <x:c r="G77" s="71" t="str">
        <x:f t="shared" si="17"/>
        <x:v/>
      </x:c>
      <x:c r="H77" s="157"/>
      <x:c r="I77" s="49" t="str">
        <x:f t="shared" si="18"/>
        <x:v/>
      </x:c>
      <x:c r="J77" s="51" t="str">
        <x:f t="shared" si="18"/>
        <x:v/>
      </x:c>
      <x:c r="K77" s="57" t="str">
        <x:f t="shared" ref="K77:M78" si="20">IF(K29="","",K29)</x:f>
        <x:v/>
      </x:c>
      <x:c r="L77" s="58" t="str">
        <x:f t="shared" si="20"/>
        <x:v/>
      </x:c>
      <x:c r="M77" s="59" t="str">
        <x:f t="shared" si="20"/>
        <x:v/>
      </x:c>
    </x:row>
    <x:row r="78" spans="2:13" ht="24.949999999999999" customHeight="1">
      <x:c r="B78" s="29" t="s">
        <x:v>18</x:v>
      </x:c>
      <x:c r="C78" s="66">
        <x:v>199</x:v>
      </x:c>
      <x:c r="D78" s="33" t="str">
        <x:f t="shared" si="17"/>
        <x:v/>
      </x:c>
      <x:c r="E78" s="69" t="str">
        <x:f t="shared" si="17"/>
        <x:v/>
      </x:c>
      <x:c r="F78" s="31" t="str">
        <x:f t="shared" si="17"/>
        <x:v/>
      </x:c>
      <x:c r="G78" s="72" t="str">
        <x:f t="shared" si="17"/>
        <x:v/>
      </x:c>
      <x:c r="H78" s="157"/>
      <x:c r="I78" s="24" t="str">
        <x:f t="shared" si="18"/>
        <x:v/>
      </x:c>
      <x:c r="J78" s="52" t="str">
        <x:f t="shared" si="18"/>
        <x:v/>
      </x:c>
      <x:c r="K78" s="60" t="str">
        <x:f t="shared" si="20"/>
        <x:v/>
      </x:c>
      <x:c r="L78" s="53" t="str">
        <x:f t="shared" si="20"/>
        <x:v/>
      </x:c>
      <x:c r="M78" s="61" t="str">
        <x:f t="shared" si="20"/>
        <x:v/>
      </x:c>
    </x:row>
    <x:row r="79" spans="2:13" ht="24.949999999999999" customHeight="1">
      <x:c r="B79" s="163" t="s">
        <x:v>51</x:v>
      </x:c>
      <x:c r="C79" s="164"/>
      <x:c r="D79" s="164"/>
      <x:c r="E79" s="164"/>
      <x:c r="F79" s="164"/>
      <x:c r="G79" s="164"/>
      <x:c r="H79" s="164"/>
      <x:c r="I79" s="164"/>
      <x:c r="J79" s="164"/>
      <x:c r="K79" s="164"/>
      <x:c r="L79" s="164"/>
      <x:c r="M79" s="165"/>
    </x:row>
    <x:row r="80" spans="2:13" ht="24.949999999999999" customHeight="1">
      <x:c r="B80" s="35" t="str">
        <x:f t="shared" ref="B80:F84" si="21">IF(B32="","",B32)</x:f>
        <x:v>지 옥 명</x:v>
      </x:c>
      <x:c r="C80" s="40">
        <x:f t="shared" si="21"/>
        <x:v>-56</x:v>
      </x:c>
      <x:c r="D80" s="40">
        <x:f t="shared" si="21"/>
        <x:v>-11</x:v>
      </x:c>
      <x:c r="E80" s="40">
        <x:f t="shared" si="21"/>
        <x:v>-12</x:v>
      </x:c>
      <x:c r="F80" s="141">
        <x:f t="shared" si="21"/>
        <x:v>-101</x:v>
      </x:c>
      <x:c r="G80" s="144"/>
      <x:c r="H80" s="79" t="str">
        <x:f t="shared" ref="H80:L84" si="22">IF(H32="","",H32)</x:f>
        <x:v>이 승 미</x:v>
      </x:c>
      <x:c r="I80" s="40">
        <x:f t="shared" si="22"/>
        <x:v>-32</x:v>
      </x:c>
      <x:c r="J80" s="40">
        <x:f t="shared" si="22"/>
        <x:v>-3</x:v>
      </x:c>
      <x:c r="K80" s="40">
        <x:f t="shared" si="22"/>
        <x:v>27</x:v>
      </x:c>
      <x:c r="L80" s="149">
        <x:f t="shared" si="22"/>
        <x:v>-70</x:v>
      </x:c>
      <x:c r="M80" s="152"/>
    </x:row>
    <x:row r="81" spans="2:13" ht="24.949999999999999" customHeight="1">
      <x:c r="B81" s="36" t="str">
        <x:f t="shared" si="21"/>
        <x:v>천 성 일</x:v>
      </x:c>
      <x:c r="C81" s="41">
        <x:f t="shared" si="21"/>
        <x:v>22</x:v>
      </x:c>
      <x:c r="D81" s="41">
        <x:f t="shared" si="21"/>
        <x:v>23</x:v>
      </x:c>
      <x:c r="E81" s="41">
        <x:f t="shared" si="21"/>
        <x:v>-12</x:v>
      </x:c>
      <x:c r="F81" s="142" t="str">
        <x:f t="shared" si="21"/>
        <x:v/>
      </x:c>
      <x:c r="G81" s="145"/>
      <x:c r="H81" s="36" t="str">
        <x:f t="shared" si="22"/>
        <x:v>이 정 석</x:v>
      </x:c>
      <x:c r="I81" s="41">
        <x:f t="shared" si="22"/>
        <x:v>23</x:v>
      </x:c>
      <x:c r="J81" s="41">
        <x:f t="shared" si="22"/>
        <x:v>0</x:v>
      </x:c>
      <x:c r="K81" s="41">
        <x:f t="shared" si="22"/>
        <x:v>5</x:v>
      </x:c>
      <x:c r="L81" s="150" t="str">
        <x:f t="shared" si="22"/>
        <x:v/>
      </x:c>
      <x:c r="M81" s="153"/>
    </x:row>
    <x:row r="82" spans="2:13" ht="24.949999999999999" customHeight="1">
      <x:c r="B82" s="36" t="str">
        <x:f t="shared" si="21"/>
        <x:v>장 영 민</x:v>
      </x:c>
      <x:c r="C82" s="41">
        <x:f t="shared" si="21"/>
        <x:v>-7</x:v>
      </x:c>
      <x:c r="D82" s="41">
        <x:f t="shared" si="21"/>
        <x:v>15</x:v>
      </x:c>
      <x:c r="E82" s="41">
        <x:f t="shared" si="21"/>
        <x:v>-8</x:v>
      </x:c>
      <x:c r="F82" s="142" t="str">
        <x:f t="shared" si="21"/>
        <x:v/>
      </x:c>
      <x:c r="G82" s="145"/>
      <x:c r="H82" s="36" t="str">
        <x:f t="shared" si="22"/>
        <x:v>변 상 필</x:v>
      </x:c>
      <x:c r="I82" s="41">
        <x:f t="shared" si="22"/>
        <x:v>2</x:v>
      </x:c>
      <x:c r="J82" s="41">
        <x:f t="shared" si="22"/>
        <x:v>-9</x:v>
      </x:c>
      <x:c r="K82" s="41">
        <x:f t="shared" si="22"/>
        <x:v>-22</x:v>
      </x:c>
      <x:c r="L82" s="150" t="str">
        <x:f t="shared" si="22"/>
        <x:v/>
      </x:c>
      <x:c r="M82" s="153"/>
    </x:row>
    <x:row r="83" spans="2:13" ht="24.949999999999999" customHeight="1">
      <x:c r="B83" s="36" t="str">
        <x:f t="shared" si="21"/>
        <x:v>강 희 태</x:v>
      </x:c>
      <x:c r="C83" s="41">
        <x:f t="shared" si="21"/>
        <x:v>-18</x:v>
      </x:c>
      <x:c r="D83" s="41">
        <x:f t="shared" si="21"/>
        <x:v>-8</x:v>
      </x:c>
      <x:c r="E83" s="41">
        <x:f t="shared" si="21"/>
        <x:v>47</x:v>
      </x:c>
      <x:c r="F83" s="142" t="str">
        <x:f t="shared" si="21"/>
        <x:v/>
      </x:c>
      <x:c r="G83" s="145"/>
      <x:c r="H83" s="36" t="str">
        <x:f t="shared" si="22"/>
        <x:v>최  진</x:v>
      </x:c>
      <x:c r="I83" s="41">
        <x:f t="shared" si="22"/>
        <x:v>0</x:v>
      </x:c>
      <x:c r="J83" s="41">
        <x:f t="shared" si="22"/>
        <x:v>0</x:v>
      </x:c>
      <x:c r="K83" s="41">
        <x:f t="shared" si="22"/>
        <x:v>0</x:v>
      </x:c>
      <x:c r="L83" s="150" t="str">
        <x:f t="shared" si="22"/>
        <x:v/>
      </x:c>
      <x:c r="M83" s="153"/>
    </x:row>
    <x:row r="84" spans="2:13" ht="24.949999999999999" customHeight="1">
      <x:c r="B84" s="36" t="str">
        <x:f t="shared" si="21"/>
        <x:v>황 인 교</x:v>
      </x:c>
      <x:c r="C84" s="41">
        <x:f t="shared" si="21"/>
        <x:v>-31</x:v>
      </x:c>
      <x:c r="D84" s="41">
        <x:f t="shared" si="21"/>
        <x:v>-4</x:v>
      </x:c>
      <x:c r="E84" s="41">
        <x:f t="shared" si="21"/>
        <x:v>-41</x:v>
      </x:c>
      <x:c r="F84" s="142" t="str">
        <x:f t="shared" si="21"/>
        <x:v/>
      </x:c>
      <x:c r="G84" s="145"/>
      <x:c r="H84" s="36" t="str">
        <x:f t="shared" si="22"/>
        <x:v>김 종 훈</x:v>
      </x:c>
      <x:c r="I84" s="41">
        <x:f t="shared" si="22"/>
        <x:v>-19</x:v>
      </x:c>
      <x:c r="J84" s="41">
        <x:f t="shared" si="22"/>
        <x:v>-21</x:v>
      </x:c>
      <x:c r="K84" s="41">
        <x:f t="shared" si="22"/>
        <x:v>-21</x:v>
      </x:c>
      <x:c r="L84" s="150" t="str">
        <x:f t="shared" si="22"/>
        <x:v/>
      </x:c>
      <x:c r="M84" s="153"/>
    </x:row>
    <x:row r="85" spans="2:13" ht="24.949999999999999" customHeight="1">
      <x:c r="B85" s="37" t="str">
        <x:f t="shared" ref="B85:F85" si="23">IF(B37="","",B37)</x:f>
        <x:v/>
      </x:c>
      <x:c r="C85" s="42">
        <x:f t="shared" si="23"/>
        <x:v>-90</x:v>
      </x:c>
      <x:c r="D85" s="42">
        <x:f t="shared" si="23"/>
        <x:v>15</x:v>
      </x:c>
      <x:c r="E85" s="42">
        <x:f t="shared" si="23"/>
        <x:v>-26</x:v>
      </x:c>
      <x:c r="F85" s="143" t="str">
        <x:f t="shared" si="23"/>
        <x:v/>
      </x:c>
      <x:c r="G85" s="146"/>
      <x:c r="H85" s="37" t="str">
        <x:f t="shared" ref="H85:L85" si="24">IF(H37="","",H37)</x:f>
        <x:v/>
      </x:c>
      <x:c r="I85" s="42">
        <x:f t="shared" si="24"/>
        <x:v>-26</x:v>
      </x:c>
      <x:c r="J85" s="42">
        <x:f t="shared" si="24"/>
        <x:v>-33</x:v>
      </x:c>
      <x:c r="K85" s="42">
        <x:f t="shared" si="24"/>
        <x:v>-11</x:v>
      </x:c>
      <x:c r="L85" s="151" t="str">
        <x:f t="shared" si="24"/>
        <x:v/>
      </x:c>
      <x:c r="M85" s="154"/>
    </x:row>
    <x:row r="86" spans="2:13" ht="24.949999999999999" customHeight="1"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</x:row>
    <x:row r="87" spans="2:13" ht="24.949999999999999" customHeight="1">
      <x:c r="B87" s="35" t="str">
        <x:f t="shared" ref="B87:M91" si="25">IF(B39="","",B39)</x:f>
        <x:v>김 선 미</x:v>
      </x:c>
      <x:c r="C87" s="40">
        <x:f t="shared" si="25"/>
        <x:v>21</x:v>
      </x:c>
      <x:c r="D87" s="40">
        <x:f t="shared" si="25"/>
        <x:v>23</x:v>
      </x:c>
      <x:c r="E87" s="40">
        <x:f t="shared" si="25"/>
        <x:v>-43</x:v>
      </x:c>
      <x:c r="F87" s="149">
        <x:f t="shared" si="25"/>
        <x:v>-16</x:v>
      </x:c>
      <x:c r="G87" s="152" t="str">
        <x:f t="shared" si="25"/>
        <x:v/>
      </x:c>
      <x:c r="H87" s="79" t="str">
        <x:f t="shared" si="25"/>
        <x:v>진 명 옥</x:v>
      </x:c>
      <x:c r="I87" s="40">
        <x:f t="shared" si="25"/>
        <x:v>-18</x:v>
      </x:c>
      <x:c r="J87" s="40">
        <x:f t="shared" si="25"/>
        <x:v>11</x:v>
      </x:c>
      <x:c r="K87" s="40">
        <x:f t="shared" si="25"/>
        <x:v>33</x:v>
      </x:c>
      <x:c r="L87" s="149">
        <x:f t="shared" si="25"/>
        <x:v>29</x:v>
      </x:c>
      <x:c r="M87" s="152" t="str">
        <x:f t="shared" si="25"/>
        <x:v/>
      </x:c>
    </x:row>
    <x:row r="88" spans="2:13" ht="24.949999999999999" customHeight="1">
      <x:c r="B88" s="36" t="str">
        <x:f t="shared" si="25"/>
        <x:v>김 미 란</x:v>
      </x:c>
      <x:c r="C88" s="41">
        <x:f t="shared" si="25"/>
        <x:v>-2</x:v>
      </x:c>
      <x:c r="D88" s="41">
        <x:f t="shared" si="25"/>
        <x:v>-14</x:v>
      </x:c>
      <x:c r="E88" s="41">
        <x:f t="shared" si="25"/>
        <x:v>-46</x:v>
      </x:c>
      <x:c r="F88" s="150" t="str">
        <x:f t="shared" si="25"/>
        <x:v/>
      </x:c>
      <x:c r="G88" s="153" t="str">
        <x:f t="shared" si="25"/>
        <x:v/>
      </x:c>
      <x:c r="H88" s="36" t="str">
        <x:f t="shared" si="25"/>
        <x:v>임 연 진</x:v>
      </x:c>
      <x:c r="I88" s="41">
        <x:f t="shared" si="25"/>
        <x:v>8</x:v>
      </x:c>
      <x:c r="J88" s="41">
        <x:f t="shared" si="25"/>
        <x:v>23</x:v>
      </x:c>
      <x:c r="K88" s="41">
        <x:f t="shared" si="25"/>
        <x:v>-24</x:v>
      </x:c>
      <x:c r="L88" s="150" t="str">
        <x:f t="shared" si="25"/>
        <x:v/>
      </x:c>
      <x:c r="M88" s="153" t="str">
        <x:f t="shared" si="25"/>
        <x:v/>
      </x:c>
    </x:row>
    <x:row r="89" spans="2:13" ht="24.949999999999999" customHeight="1">
      <x:c r="B89" s="36" t="str">
        <x:f t="shared" si="25"/>
        <x:v>강 완 규</x:v>
      </x:c>
      <x:c r="C89" s="41">
        <x:f t="shared" si="25"/>
        <x:v>31</x:v>
      </x:c>
      <x:c r="D89" s="41">
        <x:f t="shared" si="25"/>
        <x:v>39</x:v>
      </x:c>
      <x:c r="E89" s="41">
        <x:f t="shared" si="25"/>
        <x:v>-18</x:v>
      </x:c>
      <x:c r="F89" s="150" t="str">
        <x:f t="shared" si="25"/>
        <x:v/>
      </x:c>
      <x:c r="G89" s="153" t="str">
        <x:f t="shared" si="25"/>
        <x:v/>
      </x:c>
      <x:c r="H89" s="36" t="str">
        <x:f t="shared" si="25"/>
        <x:v>이 우 석</x:v>
      </x:c>
      <x:c r="I89" s="41">
        <x:f t="shared" si="25"/>
        <x:v>31</x:v>
      </x:c>
      <x:c r="J89" s="41">
        <x:f t="shared" si="25"/>
        <x:v>-30</x:v>
      </x:c>
      <x:c r="K89" s="41">
        <x:f t="shared" si="25"/>
        <x:v>4</x:v>
      </x:c>
      <x:c r="L89" s="150" t="str">
        <x:f t="shared" si="25"/>
        <x:v/>
      </x:c>
      <x:c r="M89" s="153" t="str">
        <x:f t="shared" si="25"/>
        <x:v/>
      </x:c>
    </x:row>
    <x:row r="90" spans="2:13" ht="24.949999999999999" customHeight="1">
      <x:c r="B90" s="36" t="str">
        <x:f t="shared" si="25"/>
        <x:v>이 대 용</x:v>
      </x:c>
      <x:c r="C90" s="41">
        <x:f t="shared" si="25"/>
        <x:v>33</x:v>
      </x:c>
      <x:c r="D90" s="41">
        <x:f t="shared" si="25"/>
        <x:v>7</x:v>
      </x:c>
      <x:c r="E90" s="41">
        <x:f t="shared" si="25"/>
        <x:v>-51</x:v>
      </x:c>
      <x:c r="F90" s="150" t="str">
        <x:f t="shared" si="25"/>
        <x:v/>
      </x:c>
      <x:c r="G90" s="153" t="str">
        <x:f t="shared" si="25"/>
        <x:v/>
      </x:c>
      <x:c r="H90" s="36" t="str">
        <x:f t="shared" si="25"/>
        <x:v>정 영 우</x:v>
      </x:c>
      <x:c r="I90" s="41">
        <x:f t="shared" si="25"/>
        <x:v>30</x:v>
      </x:c>
      <x:c r="J90" s="41">
        <x:f t="shared" si="25"/>
        <x:v>-28</x:v>
      </x:c>
      <x:c r="K90" s="41">
        <x:f t="shared" si="25"/>
        <x:v>4</x:v>
      </x:c>
      <x:c r="L90" s="150" t="str">
        <x:f t="shared" si="25"/>
        <x:v/>
      </x:c>
      <x:c r="M90" s="153" t="str">
        <x:f t="shared" si="25"/>
        <x:v/>
      </x:c>
    </x:row>
    <x:row r="91" spans="2:13" ht="24.949999999999999" customHeight="1">
      <x:c r="B91" s="36" t="str">
        <x:f t="shared" si="25"/>
        <x:v>나 경 주</x:v>
      </x:c>
      <x:c r="C91" s="41">
        <x:f t="shared" si="25"/>
        <x:v>12</x:v>
      </x:c>
      <x:c r="D91" s="41">
        <x:f t="shared" si="25"/>
        <x:v>-15</x:v>
      </x:c>
      <x:c r="E91" s="41">
        <x:f t="shared" si="25"/>
        <x:v>7</x:v>
      </x:c>
      <x:c r="F91" s="150" t="str">
        <x:f t="shared" si="25"/>
        <x:v/>
      </x:c>
      <x:c r="G91" s="153" t="str">
        <x:f t="shared" si="25"/>
        <x:v/>
      </x:c>
      <x:c r="H91" s="36" t="str">
        <x:f t="shared" si="25"/>
        <x:v>엄 정 도</x:v>
      </x:c>
      <x:c r="I91" s="41">
        <x:f t="shared" si="25"/>
        <x:v>25</x:v>
      </x:c>
      <x:c r="J91" s="41">
        <x:f t="shared" si="25"/>
        <x:v>-49</x:v>
      </x:c>
      <x:c r="K91" s="41">
        <x:f t="shared" si="25"/>
        <x:v>9</x:v>
      </x:c>
      <x:c r="L91" s="150" t="str">
        <x:f t="shared" si="25"/>
        <x:v/>
      </x:c>
      <x:c r="M91" s="153" t="str">
        <x:f t="shared" si="25"/>
        <x:v/>
      </x:c>
    </x:row>
    <x:row r="92" spans="2:13" ht="24.949999999999999" customHeight="1">
      <x:c r="B92" s="37" t="str">
        <x:f t="shared" ref="B92:M92" si="26">IF(B44="","",B44)</x:f>
        <x:v/>
      </x:c>
      <x:c r="C92" s="42">
        <x:f t="shared" si="26"/>
        <x:v>95</x:v>
      </x:c>
      <x:c r="D92" s="42">
        <x:f t="shared" si="26"/>
        <x:v>40</x:v>
      </x:c>
      <x:c r="E92" s="42">
        <x:f t="shared" si="26"/>
        <x:v>-151</x:v>
      </x:c>
      <x:c r="F92" s="151" t="str">
        <x:f t="shared" si="26"/>
        <x:v/>
      </x:c>
      <x:c r="G92" s="154" t="str">
        <x:f t="shared" si="26"/>
        <x:v/>
      </x:c>
      <x:c r="H92" s="37" t="str">
        <x:f t="shared" si="26"/>
        <x:v/>
      </x:c>
      <x:c r="I92" s="42">
        <x:f t="shared" si="26"/>
        <x:v>76</x:v>
      </x:c>
      <x:c r="J92" s="42">
        <x:f t="shared" si="26"/>
        <x:v>-73</x:v>
      </x:c>
      <x:c r="K92" s="42">
        <x:f t="shared" si="26"/>
        <x:v>26</x:v>
      </x:c>
      <x:c r="L92" s="151" t="str">
        <x:f t="shared" si="26"/>
        <x:v/>
      </x:c>
      <x:c r="M92" s="154" t="str">
        <x:f t="shared" si="26"/>
        <x:v/>
      </x:c>
    </x:row>
    <x:row r="93" ht="24.949999999999999" customHeight="1"/>
  </x:sheetData>
  <x:mergeCells count="42">
    <x:mergeCell ref="F80:F85"/>
    <x:mergeCell ref="G80:G85"/>
    <x:mergeCell ref="L80:L85"/>
    <x:mergeCell ref="M80:M85"/>
    <x:mergeCell ref="F87:F92"/>
    <x:mergeCell ref="G87:G92"/>
    <x:mergeCell ref="L87:L92"/>
    <x:mergeCell ref="M87:M92"/>
    <x:mergeCell ref="B75:G75"/>
    <x:mergeCell ref="H75:H78"/>
    <x:mergeCell ref="I75:J75"/>
    <x:mergeCell ref="K75:M75"/>
    <x:mergeCell ref="B79:M79"/>
    <x:mergeCell ref="A49:M49"/>
    <x:mergeCell ref="L50:M50"/>
    <x:mergeCell ref="B72:M72"/>
    <x:mergeCell ref="B73:E73"/>
    <x:mergeCell ref="F73:F74"/>
    <x:mergeCell ref="G73:I73"/>
    <x:mergeCell ref="J73:M73"/>
    <x:mergeCell ref="G74:I74"/>
    <x:mergeCell ref="F32:F37"/>
    <x:mergeCell ref="G32:G37"/>
    <x:mergeCell ref="L32:L37"/>
    <x:mergeCell ref="M32:M37"/>
    <x:mergeCell ref="F39:F44"/>
    <x:mergeCell ref="G39:G44"/>
    <x:mergeCell ref="L39:L44"/>
    <x:mergeCell ref="M39:M44"/>
    <x:mergeCell ref="B27:G27"/>
    <x:mergeCell ref="H27:H30"/>
    <x:mergeCell ref="I27:J27"/>
    <x:mergeCell ref="K27:M27"/>
    <x:mergeCell ref="B31:M31"/>
    <x:mergeCell ref="A1:M1"/>
    <x:mergeCell ref="L2:M2"/>
    <x:mergeCell ref="B24:M24"/>
    <x:mergeCell ref="B25:E25"/>
    <x:mergeCell ref="F25:F26"/>
    <x:mergeCell ref="G25:I25"/>
    <x:mergeCell ref="J25:M25"/>
    <x:mergeCell ref="G26:I26"/>
  </x:mergeCells>
  <x:conditionalFormatting sqref="C76:C78">
    <x:cfRule type="cellIs" dxfId="32" priority="74" operator="greaterThan">
      <x:formula>199</x:formula>
    </x:cfRule>
  </x:conditionalFormatting>
  <x:conditionalFormatting sqref="C4:E23">
    <x:cfRule type="cellIs" dxfId="31" priority="85" operator="between">
      <x:formula>200</x:formula>
      <x:formula>200</x:formula>
    </x:cfRule>
    <x:cfRule type="cellIs" dxfId="30" priority="84" operator="between">
      <x:formula>200</x:formula>
      <x:formula>300</x:formula>
    </x:cfRule>
  </x:conditionalFormatting>
  <x:conditionalFormatting sqref="C52:E71">
    <x:cfRule type="cellIs" dxfId="29" priority="78" operator="between">
      <x:formula>200</x:formula>
      <x:formula>200</x:formula>
    </x:cfRule>
    <x:cfRule type="cellIs" dxfId="28" priority="77" operator="between">
      <x:formula>200</x:formula>
      <x:formula>300</x:formula>
    </x:cfRule>
  </x:conditionalFormatting>
  <x:conditionalFormatting sqref="E28:E30">
    <x:cfRule type="cellIs" dxfId="27" priority="89" operator="greaterThan">
      <x:formula>199</x:formula>
    </x:cfRule>
  </x:conditionalFormatting>
  <x:conditionalFormatting sqref="E76:E78">
    <x:cfRule type="cellIs" dxfId="26" priority="73" operator="greaterThan">
      <x:formula>199</x:formula>
    </x:cfRule>
  </x:conditionalFormatting>
  <x:conditionalFormatting sqref="F4:F23">
    <x:cfRule type="cellIs" dxfId="25" priority="93" operator="greaterThan">
      <x:formula>599</x:formula>
    </x:cfRule>
    <x:cfRule type="cellIs" dxfId="24" priority="83" operator="between">
      <x:formula>600</x:formula>
      <x:formula>900</x:formula>
    </x:cfRule>
  </x:conditionalFormatting>
  <x:conditionalFormatting sqref="F52:F71">
    <x:cfRule type="cellIs" dxfId="23" priority="81" operator="greaterThan">
      <x:formula>599</x:formula>
    </x:cfRule>
    <x:cfRule type="cellIs" dxfId="22" priority="76" operator="between">
      <x:formula>600</x:formula>
      <x:formula>900</x:formula>
    </x:cfRule>
  </x:conditionalFormatting>
  <x:conditionalFormatting sqref="G4:G23">
    <x:cfRule type="cellIs" dxfId="21" priority="91" operator="greaterThan">
      <x:formula>199.9</x:formula>
    </x:cfRule>
  </x:conditionalFormatting>
  <x:conditionalFormatting sqref="G28:G30">
    <x:cfRule type="cellIs" dxfId="20" priority="88" operator="greaterThan">
      <x:formula>199</x:formula>
    </x:cfRule>
  </x:conditionalFormatting>
  <x:conditionalFormatting sqref="G52:G71">
    <x:cfRule type="cellIs" dxfId="19" priority="79" operator="greaterThan">
      <x:formula>199.9</x:formula>
    </x:cfRule>
  </x:conditionalFormatting>
  <x:conditionalFormatting sqref="G76:G78">
    <x:cfRule type="cellIs" dxfId="18" priority="72" operator="greaterThan">
      <x:formula>199</x:formula>
    </x:cfRule>
  </x:conditionalFormatting>
  <x:conditionalFormatting sqref="G4:H23">
    <x:cfRule type="cellIs" dxfId="17" priority="82" operator="between">
      <x:formula>200</x:formula>
      <x:formula>300</x:formula>
    </x:cfRule>
  </x:conditionalFormatting>
  <x:conditionalFormatting sqref="G52:H71">
    <x:cfRule type="cellIs" dxfId="16" priority="75" operator="between">
      <x:formula>200</x:formula>
      <x:formula>300</x:formula>
    </x:cfRule>
  </x:conditionalFormatting>
  <x:conditionalFormatting sqref="H4:H23">
    <x:cfRule type="cellIs" dxfId="15" priority="92" operator="greaterThan">
      <x:formula>199</x:formula>
    </x:cfRule>
  </x:conditionalFormatting>
  <x:conditionalFormatting sqref="H52:H71">
    <x:cfRule type="cellIs" dxfId="14" priority="80" operator="greaterThan">
      <x:formula>199</x:formula>
    </x:cfRule>
  </x:conditionalFormatting>
  <x:conditionalFormatting sqref="O27:O27">
    <x:cfRule type="cellIs" dxfId="13" priority="87" operator="greaterThan">
      <x:formula>200</x:formula>
    </x:cfRule>
  </x:conditionalFormatting>
  <x:conditionalFormatting sqref="C28:C30">
    <x:cfRule type="cellIs" dxfId="12" priority="1" operator="greaterThan">
      <x:formula>199</x:formula>
    </x:cfRule>
  </x:conditionalFormatting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4294967292" verticalDpi="600" copies="1"/>
  <x:legacy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1" baseType="lpstr">
      <vt:lpstr>회원명단 및 기준에버</vt:lpstr>
      <vt:lpstr>00회정모 6인팀</vt:lpstr>
      <vt:lpstr>00회정모 5인팀</vt:lpstr>
      <vt:lpstr>00회정모 4인팀</vt:lpstr>
      <vt:lpstr>07회정모</vt:lpstr>
      <vt:lpstr>06회정모</vt:lpstr>
      <vt:lpstr>05회정모</vt:lpstr>
      <vt:lpstr>04회정모</vt:lpstr>
      <vt:lpstr>03회정모</vt:lpstr>
      <vt:lpstr>02회정모</vt:lpstr>
      <vt:lpstr xml:space="preserve">01회정모 </vt:lpstr>
    </vt:vector>
  </ep:TitlesOfParts>
  <ep:TotalTime>1441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천성일</dc:creator>
  <cp:lastModifiedBy>ok</cp:lastModifiedBy>
  <cp:revision>184</cp:revision>
  <cp:lastPrinted>2023-12-30T16:52:21.000</cp:lastPrinted>
  <dcterms:created xsi:type="dcterms:W3CDTF">2017-01-24T17:06:52.000</dcterms:created>
  <dcterms:modified xsi:type="dcterms:W3CDTF">2026-04-03T05:32:54.750</dcterms:modified>
  <cp:version>1100.0100.01</cp:version>
</cp:coreProperties>
</file>